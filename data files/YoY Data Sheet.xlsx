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Y Viz Data" sheetId="1" r:id="rId5"/>
    <sheet state="visible" name="S24" sheetId="2" r:id="rId6"/>
    <sheet state="visible" name="F24" sheetId="3" r:id="rId7"/>
    <sheet state="visible" name="S25" sheetId="4" r:id="rId8"/>
    <sheet state="visible" name="F25" sheetId="5" r:id="rId9"/>
    <sheet state="visible" name="S26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composting begun halfway through the semester, this informs clalculations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Semester begins
this adjusts calculations</t>
      </text>
    </comment>
    <comment authorId="0" ref="B3">
      <text>
        <t xml:space="preserve">Semester begins
this adjusts calculations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weighted</t>
      </text>
    </comment>
    <comment authorId="0" ref="X2">
      <text>
        <t xml:space="preserve">unweighted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weighted</t>
      </text>
    </comment>
    <comment authorId="0" ref="X2">
      <text>
        <t xml:space="preserve">unweighted</t>
      </text>
    </comment>
  </commentList>
</comments>
</file>

<file path=xl/sharedStrings.xml><?xml version="1.0" encoding="utf-8"?>
<sst xmlns="http://schemas.openxmlformats.org/spreadsheetml/2006/main" count="2603" uniqueCount="177">
  <si>
    <t>Bulk Tab →</t>
  </si>
  <si>
    <t>S24</t>
  </si>
  <si>
    <t>F24</t>
  </si>
  <si>
    <t>S25</t>
  </si>
  <si>
    <t>F25</t>
  </si>
  <si>
    <t>S26</t>
  </si>
  <si>
    <t>Sem Start Date →</t>
  </si>
  <si>
    <t>T8 · lbs by Period per Semester  →  stacked bar chart</t>
  </si>
  <si>
    <t>Period</t>
  </si>
  <si>
    <t>S26*</t>
  </si>
  <si>
    <t>Breakfast</t>
  </si>
  <si>
    <t>Lunch</t>
  </si>
  <si>
    <t>Dinner</t>
  </si>
  <si>
    <t>Breakfast/Lunch</t>
  </si>
  <si>
    <t>Total</t>
  </si>
  <si>
    <t>† S24: period approximated from timestamp hour (B: 6–11am, L: 11am–4pm, D: 4–10pm). Dining Hall unavailable for S24.</t>
  </si>
  <si>
    <t>T9 · lbs by Period × Hall per Semester  →  grouped bar / heatmap</t>
  </si>
  <si>
    <t>Hall</t>
  </si>
  <si>
    <t>MF</t>
  </si>
  <si>
    <t>BF</t>
  </si>
  <si>
    <t>† S24: Dining Hall not collected — all S24 values are 0. Rows with &lt; 50 lbs total pruned.</t>
  </si>
  <si>
    <t>T10 · Weekly lbs within Semester  →  multi-line overlay chart</t>
  </si>
  <si>
    <t>Week</t>
  </si>
  <si>
    <t>Average</t>
  </si>
  <si>
    <t>S24 date</t>
  </si>
  <si>
    <t>S24 notes</t>
  </si>
  <si>
    <t>F24 date</t>
  </si>
  <si>
    <t>F24 notes</t>
  </si>
  <si>
    <t>S25 date</t>
  </si>
  <si>
    <t>S25 notes</t>
  </si>
  <si>
    <t>F25 date</t>
  </si>
  <si>
    <t>F25 notes</t>
  </si>
  <si>
    <t>S26* date</t>
  </si>
  <si>
    <t>S26* notes</t>
  </si>
  <si>
    <t>S24 · Jan 22, 2024</t>
  </si>
  <si>
    <t>F24 · Sep 9, 2024</t>
  </si>
  <si>
    <t>S25 · Jan 20, 2025</t>
  </si>
  <si>
    <t>F25 · Sep 8, 2025</t>
  </si>
  <si>
    <t>S26* · Jan 19, 2026</t>
  </si>
  <si>
    <t>S24 · Jan 29, 2024</t>
  </si>
  <si>
    <t>F24 · Sep 16, 2024</t>
  </si>
  <si>
    <t>S25 · Jan 27, 2025</t>
  </si>
  <si>
    <t>F25 · Sep 15, 2025</t>
  </si>
  <si>
    <t>S26* · Jan 26, 2026</t>
  </si>
  <si>
    <t>S24 · Feb 5, 2024</t>
  </si>
  <si>
    <t>F24 · Sep 23, 2024</t>
  </si>
  <si>
    <t>S25 · Feb 3, 2025</t>
  </si>
  <si>
    <t>F25 · Sep 22, 2025</t>
  </si>
  <si>
    <t>S26* · Feb 2, 2026</t>
  </si>
  <si>
    <t>S24 · Feb 12, 2024</t>
  </si>
  <si>
    <t>F24 · Sep 30, 2024</t>
  </si>
  <si>
    <t>S25 · Feb 10, 2025</t>
  </si>
  <si>
    <t>F25 · Sep 29, 2025</t>
  </si>
  <si>
    <t>S26* · Feb 9, 2026</t>
  </si>
  <si>
    <t>S24 · Feb 19, 2024</t>
  </si>
  <si>
    <t>F24 · Oct 7, 2024</t>
  </si>
  <si>
    <t>S25 · Feb 17, 2025</t>
  </si>
  <si>
    <t>F25 · Oct 6, 2025</t>
  </si>
  <si>
    <t>S26* · Feb 16, 2026</t>
  </si>
  <si>
    <t>S24 · Feb 26, 2024</t>
  </si>
  <si>
    <t>F24 · Oct 14, 2024</t>
  </si>
  <si>
    <t>Columbus Day</t>
  </si>
  <si>
    <t>S25 · Feb 24, 2025</t>
  </si>
  <si>
    <t>F25 · Oct 13, 2025</t>
  </si>
  <si>
    <t>S26* · Feb 23, 2026</t>
  </si>
  <si>
    <t>3 snow days</t>
  </si>
  <si>
    <t>S24 · Mar 4, 2024</t>
  </si>
  <si>
    <t>F24 · Oct 21, 2024</t>
  </si>
  <si>
    <t>S25 · Mar 3, 2025</t>
  </si>
  <si>
    <t>F25 · Oct 20, 2025</t>
  </si>
  <si>
    <t>S26* · Mar 2, 2026</t>
  </si>
  <si>
    <t>S24 · Mar 11, 2024</t>
  </si>
  <si>
    <t>F24 · Oct 28, 2024</t>
  </si>
  <si>
    <t>S25 · Mar 10, 2025</t>
  </si>
  <si>
    <t>spring break</t>
  </si>
  <si>
    <t>F25 · Oct 27, 2025</t>
  </si>
  <si>
    <t>S26* · Mar 9, 2026</t>
  </si>
  <si>
    <t>S24 · Mar 18, 2024</t>
  </si>
  <si>
    <t>F24 · Oct 29, 2024</t>
  </si>
  <si>
    <t>S25 · Mar 17, 2025</t>
  </si>
  <si>
    <t>F25 · Oct 28, 2025</t>
  </si>
  <si>
    <t>S26* · Mar 16, 2026</t>
  </si>
  <si>
    <t>S24 · Mar 25, 2024</t>
  </si>
  <si>
    <t>F24 · Nov 4, 2024</t>
  </si>
  <si>
    <t>S25 · Mar 24, 2025</t>
  </si>
  <si>
    <t>F25 · Nov 3, 2025</t>
  </si>
  <si>
    <t>S26* · Mar 23, 2026</t>
  </si>
  <si>
    <t>S24 · Apr 1, 2024</t>
  </si>
  <si>
    <t>F24 · Nov 11, 2024</t>
  </si>
  <si>
    <t>S25 · Mar 31, 2025</t>
  </si>
  <si>
    <t>F25 · Nov 10, 2025</t>
  </si>
  <si>
    <t>S26* · Mar 30, 2026</t>
  </si>
  <si>
    <t>S24 · Apr 8, 2024</t>
  </si>
  <si>
    <t>F24 · Nov 18, 2024</t>
  </si>
  <si>
    <t>Thanksgiving</t>
  </si>
  <si>
    <t>S25 · Apr 7, 2025</t>
  </si>
  <si>
    <t>F25 · Nov 17, 2025</t>
  </si>
  <si>
    <t>S26* · Apr 6, 2026</t>
  </si>
  <si>
    <t>S24 · Apr 15, 2024</t>
  </si>
  <si>
    <t>F24 · Nov 25, 2024</t>
  </si>
  <si>
    <t>S25 · Apr 14, 2025</t>
  </si>
  <si>
    <t>F25 · Nov 24, 2025</t>
  </si>
  <si>
    <t>S26* · Apr 13, 2026</t>
  </si>
  <si>
    <t>S24 · Apr 22, 2024</t>
  </si>
  <si>
    <t>F24 · Dec 2, 2024</t>
  </si>
  <si>
    <t>S25 · Apr 21, 2025</t>
  </si>
  <si>
    <t>F25 · Dec 1, 2025</t>
  </si>
  <si>
    <t>S26* · Apr 20, 2026</t>
  </si>
  <si>
    <t>† Tooltip date cols (italic headers) show the actual calendar date per semester per week. In chart editor: select each "[sem] date" column → Column role → Tooltip.</t>
  </si>
  <si>
    <t>T11 · Program Progress  →  color-coded scatter by semester</t>
  </si>
  <si>
    <t>lifetime lbs  ──▶</t>
  </si>
  <si>
    <t>lbs this week  ──▶</t>
  </si>
  <si>
    <t>† Each semester has its own column pair (lifetime + weekly) — blank rows belong to other semesters. Select col A + cols B–F for the lifetime scatter; col A + cols G–K for the weekly scatter. Sheets will color each semester automatically.</t>
  </si>
  <si>
    <t>⚙  To add a semester: create a tab named S## or F## (e.g. F26), then use DaRP Data → 🔄 I added a new semester.</t>
  </si>
  <si>
    <t>Script last run: March 28, 2026</t>
  </si>
  <si>
    <t>Timestamp</t>
  </si>
  <si>
    <t>Name</t>
  </si>
  <si>
    <t>double name</t>
  </si>
  <si>
    <t>start hour</t>
  </si>
  <si>
    <t>hours worked</t>
  </si>
  <si>
    <t>end hour</t>
  </si>
  <si>
    <t>hours pp</t>
  </si>
  <si>
    <t>Derived Weight</t>
  </si>
  <si>
    <t>lb/hr per shift</t>
  </si>
  <si>
    <t>period</t>
  </si>
  <si>
    <t>Date</t>
  </si>
  <si>
    <t>Weekday</t>
  </si>
  <si>
    <t>lbs td</t>
  </si>
  <si>
    <t>N/A</t>
  </si>
  <si>
    <t>Monday</t>
  </si>
  <si>
    <t>Westin Palumbo</t>
  </si>
  <si>
    <t>Kayleigh O’Mealia</t>
  </si>
  <si>
    <t>Tuesday</t>
  </si>
  <si>
    <t>Bitanya</t>
  </si>
  <si>
    <t>Bitanya Hailu</t>
  </si>
  <si>
    <t>Wednesday</t>
  </si>
  <si>
    <t>Skyler Bobinski</t>
  </si>
  <si>
    <t>Thursday</t>
  </si>
  <si>
    <t>Friday</t>
  </si>
  <si>
    <t>Kayleigh Omealia</t>
  </si>
  <si>
    <t>Rushil Nepal</t>
  </si>
  <si>
    <t>Katie Field</t>
  </si>
  <si>
    <t>Katherine Field</t>
  </si>
  <si>
    <t>Katie field</t>
  </si>
  <si>
    <t>Katie  Field</t>
  </si>
  <si>
    <t>dining hall</t>
  </si>
  <si>
    <t>MF lbs td</t>
  </si>
  <si>
    <t>BF lbs td</t>
  </si>
  <si>
    <t>Lizzie Welch</t>
  </si>
  <si>
    <t>Kaya Pernini</t>
  </si>
  <si>
    <t>Cassidy Haskell</t>
  </si>
  <si>
    <t>astou dieng</t>
  </si>
  <si>
    <t>Lucas Meier</t>
  </si>
  <si>
    <t>Tyson Enes</t>
  </si>
  <si>
    <t>Skyler bobinski</t>
  </si>
  <si>
    <t>Lizzie Welxh</t>
  </si>
  <si>
    <t>Bitanya (Lost Record Weight #2)</t>
  </si>
  <si>
    <t>99.0</t>
  </si>
  <si>
    <t>Bitanya (Lost Record Weight #3)</t>
  </si>
  <si>
    <t>Lizzie welch</t>
  </si>
  <si>
    <t>Bitanya (Lost Record Weight #4)</t>
  </si>
  <si>
    <t>Bitanya (Lost Record Weight #1)</t>
  </si>
  <si>
    <t>Kaya Permini</t>
  </si>
  <si>
    <t>Kaya Pernii</t>
  </si>
  <si>
    <t>Kayleigh O’mealia</t>
  </si>
  <si>
    <t>Kaya pernini</t>
  </si>
  <si>
    <t>Marley Ahlijanian</t>
  </si>
  <si>
    <t>marley ahlijanian</t>
  </si>
  <si>
    <t>Maureen Surgot</t>
  </si>
  <si>
    <t>Anna Cunha</t>
  </si>
  <si>
    <t>Kaitlyn Deierlein</t>
  </si>
  <si>
    <t>Leisly Aceituno</t>
  </si>
  <si>
    <t>Kate Stanwood</t>
  </si>
  <si>
    <t>Brynn Hornig</t>
  </si>
  <si>
    <t>Sarah Wilme</t>
  </si>
  <si>
    <t>Lizzle Welch</t>
  </si>
  <si>
    <t>Tyson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</si>
</sst>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"/>
    <numFmt numFmtId="165" formatCode="mmm d, yyyy"/>
    <numFmt numFmtId="166" formatCode="m/d/yyyy"/>
    <numFmt numFmtId="167" formatCode="yyyy-mm-dd h:mm:ss"/>
    <numFmt numFmtId="168" formatCode="#,#0#.00"/>
    <numFmt numFmtId="169" formatCode="#,#0#"/>
    <numFmt numFmtId="170" formatCode="#,###"/>
    <numFmt numFmtId="171" formatCode="m/d/yyyy h:mm:ss"/>
    <numFmt numFmtId="172" formatCode="h:mm:ss am/pm"/>
  </numFmts>
  <fonts count="16">
    <font>
      <sz val="10.0"/>
      <color rgb="FF000000"/>
      <name val="Arial"/>
      <scheme val="minor"/>
    </font>
    <font>
      <b/>
      <sz val="8.0"/>
      <color rgb="FF495057"/>
      <name val="Arial"/>
      <scheme val="minor"/>
    </font>
    <font>
      <sz val="8.0"/>
      <color rgb="FF495057"/>
      <name val="Arial"/>
      <scheme val="minor"/>
    </font>
    <font>
      <color theme="1"/>
      <name val="Arial"/>
      <scheme val="minor"/>
    </font>
    <font>
      <b/>
      <sz val="9.0"/>
      <color rgb="FF1B4332"/>
      <name val="Arial"/>
      <scheme val="minor"/>
    </font>
    <font>
      <b/>
      <sz val="9.0"/>
      <color rgb="FFFFFFFF"/>
      <name val="Arial"/>
      <scheme val="minor"/>
    </font>
    <font>
      <b/>
      <color theme="1"/>
      <name val="Arial"/>
      <scheme val="minor"/>
    </font>
    <font>
      <i/>
      <sz val="8.0"/>
      <color rgb="FF868E96"/>
      <name val="Arial"/>
      <scheme val="minor"/>
    </font>
    <font>
      <b/>
      <sz val="9.0"/>
      <color rgb="FF1A5276"/>
      <name val="Arial"/>
      <scheme val="minor"/>
    </font>
    <font>
      <i/>
      <sz val="9.0"/>
      <color rgb="FF868E96"/>
      <name val="Arial"/>
      <scheme val="minor"/>
    </font>
    <font>
      <color rgb="FF1A5276"/>
      <name val="Arial"/>
      <scheme val="minor"/>
    </font>
    <font>
      <sz val="9.0"/>
      <color rgb="FF868E96"/>
      <name val="Arial"/>
      <scheme val="minor"/>
    </font>
    <font>
      <b/>
      <sz val="8.0"/>
      <color rgb="FF1B4332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F3F3F3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D8F3DC"/>
        <bgColor rgb="FFD8F3DC"/>
      </patternFill>
    </fill>
    <fill>
      <patternFill patternType="solid">
        <fgColor rgb="FF2D6A4F"/>
        <bgColor rgb="FF2D6A4F"/>
      </patternFill>
    </fill>
    <fill>
      <patternFill patternType="solid">
        <fgColor rgb="FFFFFFFF"/>
        <bgColor rgb="FFFFFFFF"/>
      </patternFill>
    </fill>
    <fill>
      <patternFill patternType="solid">
        <fgColor rgb="FFF0F7F4"/>
        <bgColor rgb="FFF0F7F4"/>
      </patternFill>
    </fill>
    <fill>
      <patternFill patternType="solid">
        <fgColor rgb="FFE9ECEF"/>
        <bgColor rgb="FFE9ECEF"/>
      </patternFill>
    </fill>
    <fill>
      <patternFill patternType="solid">
        <fgColor rgb="FFDEE2E6"/>
        <bgColor rgb="FFDEE2E6"/>
      </patternFill>
    </fill>
    <fill>
      <patternFill patternType="solid">
        <fgColor rgb="FFEAF4FB"/>
        <bgColor rgb="FFEAF4FB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CED4DA"/>
      </left>
      <top style="thin">
        <color rgb="FFCED4DA"/>
      </top>
    </border>
    <border>
      <top style="thin">
        <color rgb="FFCED4DA"/>
      </top>
    </border>
    <border>
      <right style="thin">
        <color rgb="FFCED4DA"/>
      </right>
      <top style="thin">
        <color rgb="FFCED4DA"/>
      </top>
    </border>
    <border>
      <left style="thin">
        <color rgb="FFCED4DA"/>
      </left>
    </border>
    <border>
      <right style="thin">
        <color rgb="FFCED4DA"/>
      </right>
    </border>
    <border>
      <left style="thin">
        <color rgb="FFCED4DA"/>
      </left>
      <bottom style="thin">
        <color rgb="FFCED4DA"/>
      </bottom>
    </border>
    <border>
      <bottom style="thin">
        <color rgb="FFCED4DA"/>
      </bottom>
    </border>
    <border>
      <right style="thin">
        <color rgb="FFCED4DA"/>
      </right>
      <bottom style="thin">
        <color rgb="FFCED4DA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2" numFmtId="164" xfId="0" applyAlignment="1" applyFont="1" applyNumberFormat="1">
      <alignment horizontal="center"/>
    </xf>
    <xf borderId="0" fillId="2" fontId="3" numFmtId="0" xfId="0" applyFont="1"/>
    <xf borderId="0" fillId="3" fontId="4" numFmtId="0" xfId="0" applyAlignment="1" applyFill="1" applyFont="1">
      <alignment readingOrder="0"/>
    </xf>
    <xf borderId="0" fillId="3" fontId="3" numFmtId="0" xfId="0" applyFont="1"/>
    <xf borderId="1" fillId="4" fontId="5" numFmtId="0" xfId="0" applyAlignment="1" applyBorder="1" applyFill="1" applyFont="1">
      <alignment horizontal="center" readingOrder="0" vertical="center"/>
    </xf>
    <xf borderId="2" fillId="4" fontId="5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 vertical="center"/>
    </xf>
    <xf borderId="4" fillId="5" fontId="3" numFmtId="0" xfId="0" applyAlignment="1" applyBorder="1" applyFill="1" applyFont="1">
      <alignment readingOrder="0"/>
    </xf>
    <xf borderId="0" fillId="5" fontId="3" numFmtId="3" xfId="0" applyFont="1" applyNumberFormat="1"/>
    <xf borderId="5" fillId="5" fontId="3" numFmtId="3" xfId="0" applyBorder="1" applyFont="1" applyNumberFormat="1"/>
    <xf borderId="4" fillId="6" fontId="3" numFmtId="0" xfId="0" applyAlignment="1" applyBorder="1" applyFill="1" applyFont="1">
      <alignment readingOrder="0"/>
    </xf>
    <xf borderId="0" fillId="6" fontId="3" numFmtId="3" xfId="0" applyFont="1" applyNumberFormat="1"/>
    <xf borderId="5" fillId="6" fontId="3" numFmtId="3" xfId="0" applyBorder="1" applyFont="1" applyNumberFormat="1"/>
    <xf borderId="6" fillId="7" fontId="6" numFmtId="0" xfId="0" applyAlignment="1" applyBorder="1" applyFill="1" applyFont="1">
      <alignment readingOrder="0"/>
    </xf>
    <xf borderId="7" fillId="7" fontId="6" numFmtId="3" xfId="0" applyBorder="1" applyFont="1" applyNumberFormat="1"/>
    <xf borderId="8" fillId="7" fontId="6" numFmtId="3" xfId="0" applyBorder="1" applyFont="1" applyNumberFormat="1"/>
    <xf borderId="0" fillId="0" fontId="7" numFmtId="0" xfId="0" applyAlignment="1" applyFont="1">
      <alignment readingOrder="0"/>
    </xf>
    <xf borderId="0" fillId="8" fontId="3" numFmtId="0" xfId="0" applyFill="1" applyFont="1"/>
    <xf borderId="0" fillId="5" fontId="3" numFmtId="0" xfId="0" applyAlignment="1" applyFont="1">
      <alignment readingOrder="0"/>
    </xf>
    <xf borderId="0" fillId="6" fontId="3" numFmtId="0" xfId="0" applyAlignment="1" applyFont="1">
      <alignment readingOrder="0"/>
    </xf>
    <xf borderId="6" fillId="6" fontId="3" numFmtId="0" xfId="0" applyAlignment="1" applyBorder="1" applyFont="1">
      <alignment readingOrder="0"/>
    </xf>
    <xf borderId="7" fillId="6" fontId="3" numFmtId="0" xfId="0" applyAlignment="1" applyBorder="1" applyFont="1">
      <alignment readingOrder="0"/>
    </xf>
    <xf borderId="7" fillId="6" fontId="3" numFmtId="3" xfId="0" applyBorder="1" applyFont="1" applyNumberFormat="1"/>
    <xf borderId="8" fillId="6" fontId="3" numFmtId="3" xfId="0" applyBorder="1" applyFont="1" applyNumberFormat="1"/>
    <xf borderId="2" fillId="9" fontId="8" numFmtId="0" xfId="0" applyAlignment="1" applyBorder="1" applyFill="1" applyFont="1">
      <alignment horizontal="center" readingOrder="0" vertical="center"/>
    </xf>
    <xf borderId="2" fillId="4" fontId="9" numFmtId="0" xfId="0" applyAlignment="1" applyBorder="1" applyFont="1">
      <alignment horizontal="center" readingOrder="0" vertical="center"/>
    </xf>
    <xf borderId="3" fillId="4" fontId="9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readingOrder="0"/>
    </xf>
    <xf borderId="0" fillId="9" fontId="10" numFmtId="3" xfId="0" applyFont="1" applyNumberFormat="1"/>
    <xf borderId="0" fillId="5" fontId="7" numFmtId="0" xfId="0" applyAlignment="1" applyFont="1">
      <alignment readingOrder="0"/>
    </xf>
    <xf borderId="0" fillId="5" fontId="11" numFmtId="0" xfId="0" applyFont="1"/>
    <xf borderId="5" fillId="5" fontId="11" numFmtId="0" xfId="0" applyBorder="1" applyFont="1"/>
    <xf borderId="4" fillId="6" fontId="3" numFmtId="0" xfId="0" applyAlignment="1" applyBorder="1" applyFont="1">
      <alignment readingOrder="0"/>
    </xf>
    <xf borderId="0" fillId="6" fontId="7" numFmtId="0" xfId="0" applyAlignment="1" applyFont="1">
      <alignment readingOrder="0"/>
    </xf>
    <xf borderId="0" fillId="6" fontId="11" numFmtId="0" xfId="0" applyFont="1"/>
    <xf borderId="5" fillId="6" fontId="11" numFmtId="0" xfId="0" applyBorder="1" applyFont="1"/>
    <xf borderId="0" fillId="6" fontId="11" numFmtId="0" xfId="0" applyAlignment="1" applyFont="1">
      <alignment readingOrder="0"/>
    </xf>
    <xf borderId="5" fillId="6" fontId="11" numFmtId="0" xfId="0" applyAlignment="1" applyBorder="1" applyFont="1">
      <alignment readingOrder="0"/>
    </xf>
    <xf borderId="5" fillId="5" fontId="11" numFmtId="0" xfId="0" applyAlignment="1" applyBorder="1" applyFont="1">
      <alignment readingOrder="0"/>
    </xf>
    <xf borderId="6" fillId="6" fontId="3" numFmtId="0" xfId="0" applyAlignment="1" applyBorder="1" applyFont="1">
      <alignment readingOrder="0"/>
    </xf>
    <xf borderId="7" fillId="9" fontId="10" numFmtId="3" xfId="0" applyBorder="1" applyFont="1" applyNumberFormat="1"/>
    <xf borderId="7" fillId="6" fontId="7" numFmtId="0" xfId="0" applyAlignment="1" applyBorder="1" applyFont="1">
      <alignment readingOrder="0"/>
    </xf>
    <xf borderId="7" fillId="6" fontId="11" numFmtId="0" xfId="0" applyBorder="1" applyFont="1"/>
    <xf borderId="8" fillId="6" fontId="11" numFmtId="0" xfId="0" applyBorder="1" applyFont="1"/>
    <xf borderId="0" fillId="3" fontId="12" numFmtId="0" xfId="0" applyAlignment="1" applyFont="1">
      <alignment horizontal="center" readingOrder="0"/>
    </xf>
    <xf borderId="4" fillId="5" fontId="3" numFmtId="165" xfId="0" applyAlignment="1" applyBorder="1" applyFont="1" applyNumberFormat="1">
      <alignment readingOrder="0"/>
    </xf>
    <xf borderId="4" fillId="6" fontId="3" numFmtId="165" xfId="0" applyAlignment="1" applyBorder="1" applyFont="1" applyNumberFormat="1">
      <alignment readingOrder="0"/>
    </xf>
    <xf borderId="6" fillId="6" fontId="3" numFmtId="165" xfId="0" applyAlignment="1" applyBorder="1" applyFont="1" applyNumberFormat="1">
      <alignment readingOrder="0"/>
    </xf>
    <xf borderId="0" fillId="10" fontId="3" numFmtId="0" xfId="0" applyFill="1" applyFont="1"/>
    <xf borderId="0" fillId="11" fontId="3" numFmtId="0" xfId="0" applyFill="1" applyFont="1"/>
    <xf borderId="0" fillId="0" fontId="3" numFmtId="0" xfId="0" applyFont="1"/>
    <xf borderId="0" fillId="0" fontId="3" numFmtId="166" xfId="0" applyAlignment="1" applyFont="1" applyNumberFormat="1">
      <alignment readingOrder="0"/>
    </xf>
    <xf borderId="0" fillId="11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12" fontId="3" numFmtId="0" xfId="0" applyFill="1" applyFont="1"/>
    <xf borderId="0" fillId="0" fontId="3" numFmtId="164" xfId="0" applyAlignment="1" applyFont="1" applyNumberFormat="1">
      <alignment readingOrder="0"/>
    </xf>
    <xf borderId="0" fillId="0" fontId="13" numFmtId="4" xfId="0" applyAlignment="1" applyFont="1" applyNumberFormat="1">
      <alignment horizontal="center" readingOrder="0"/>
    </xf>
    <xf borderId="0" fillId="0" fontId="3" numFmtId="167" xfId="0" applyFont="1" applyNumberFormat="1"/>
    <xf borderId="0" fillId="0" fontId="3" numFmtId="164" xfId="0" applyFont="1" applyNumberFormat="1"/>
    <xf borderId="0" fillId="0" fontId="14" numFmtId="0" xfId="0" applyAlignment="1" applyFont="1">
      <alignment horizontal="right" vertical="bottom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10" fontId="14" numFmtId="0" xfId="0" applyAlignment="1" applyFont="1">
      <alignment vertical="bottom"/>
    </xf>
    <xf borderId="0" fillId="11" fontId="14" numFmtId="0" xfId="0" applyAlignment="1" applyFont="1">
      <alignment vertical="bottom"/>
    </xf>
    <xf borderId="0" fillId="10" fontId="14" numFmtId="46" xfId="0" applyAlignment="1" applyFont="1" applyNumberFormat="1">
      <alignment vertical="bottom"/>
    </xf>
    <xf borderId="0" fillId="10" fontId="14" numFmtId="1" xfId="0" applyAlignment="1" applyFont="1" applyNumberFormat="1">
      <alignment vertical="bottom"/>
    </xf>
    <xf borderId="0" fillId="10" fontId="14" numFmtId="168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166" xfId="0" applyAlignment="1" applyFont="1" applyNumberFormat="1">
      <alignment readingOrder="0" vertical="bottom"/>
    </xf>
    <xf borderId="0" fillId="0" fontId="14" numFmtId="164" xfId="0" applyAlignment="1" applyFont="1" applyNumberFormat="1">
      <alignment readingOrder="0" vertical="bottom"/>
    </xf>
    <xf borderId="0" fillId="0" fontId="14" numFmtId="0" xfId="0" applyAlignment="1" applyFont="1">
      <alignment vertical="bottom"/>
    </xf>
    <xf borderId="0" fillId="0" fontId="3" numFmtId="0" xfId="0" applyFont="1"/>
    <xf borderId="0" fillId="0" fontId="14" numFmtId="167" xfId="0" applyAlignment="1" applyFont="1" applyNumberFormat="1">
      <alignment vertical="bottom"/>
    </xf>
    <xf borderId="0" fillId="0" fontId="14" numFmtId="46" xfId="0" applyAlignment="1" applyFont="1" applyNumberFormat="1">
      <alignment vertical="bottom"/>
    </xf>
    <xf borderId="0" fillId="0" fontId="14" numFmtId="1" xfId="0" applyAlignment="1" applyFont="1" applyNumberFormat="1">
      <alignment vertical="bottom"/>
    </xf>
    <xf borderId="0" fillId="0" fontId="14" numFmtId="168" xfId="0" applyAlignment="1" applyFont="1" applyNumberFormat="1">
      <alignment vertical="bottom"/>
    </xf>
    <xf borderId="0" fillId="12" fontId="14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0" fillId="11" fontId="3" numFmtId="0" xfId="0" applyFont="1"/>
    <xf borderId="0" fillId="0" fontId="3" numFmtId="46" xfId="0" applyFont="1" applyNumberFormat="1"/>
    <xf borderId="0" fillId="0" fontId="3" numFmtId="169" xfId="0" applyFont="1" applyNumberFormat="1"/>
    <xf borderId="0" fillId="0" fontId="3" numFmtId="168" xfId="0" applyFont="1" applyNumberFormat="1"/>
    <xf borderId="0" fillId="10" fontId="3" numFmtId="0" xfId="0" applyAlignment="1" applyFont="1">
      <alignment readingOrder="0"/>
    </xf>
    <xf borderId="0" fillId="10" fontId="3" numFmtId="1" xfId="0" applyAlignment="1" applyFont="1" applyNumberFormat="1">
      <alignment readingOrder="0"/>
    </xf>
    <xf borderId="0" fillId="10" fontId="3" numFmtId="2" xfId="0" applyAlignment="1" applyFont="1" applyNumberFormat="1">
      <alignment readingOrder="0"/>
    </xf>
    <xf borderId="0" fillId="10" fontId="3" numFmtId="10" xfId="0" applyAlignment="1" applyFont="1" applyNumberFormat="1">
      <alignment readingOrder="0"/>
    </xf>
    <xf borderId="0" fillId="10" fontId="3" numFmtId="46" xfId="0" applyAlignment="1" applyFont="1" applyNumberFormat="1">
      <alignment readingOrder="0"/>
    </xf>
    <xf borderId="0" fillId="10" fontId="3" numFmtId="4" xfId="0" applyAlignment="1" applyFont="1" applyNumberFormat="1">
      <alignment readingOrder="0"/>
    </xf>
    <xf borderId="0" fillId="10" fontId="3" numFmtId="170" xfId="0" applyAlignment="1" applyFont="1" applyNumberFormat="1">
      <alignment readingOrder="0"/>
    </xf>
    <xf borderId="0" fillId="0" fontId="3" numFmtId="46" xfId="0" applyAlignment="1" applyFont="1" applyNumberFormat="1">
      <alignment readingOrder="0"/>
    </xf>
    <xf borderId="0" fillId="12" fontId="3" numFmtId="1" xfId="0" applyAlignment="1" applyFont="1" applyNumberFormat="1">
      <alignment readingOrder="0"/>
    </xf>
    <xf borderId="0" fillId="12" fontId="3" numFmtId="2" xfId="0" applyAlignment="1" applyFont="1" applyNumberFormat="1">
      <alignment readingOrder="0"/>
    </xf>
    <xf borderId="0" fillId="12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13" fontId="3" numFmtId="46" xfId="0" applyAlignment="1" applyFont="1" applyNumberFormat="1">
      <alignment readingOrder="0"/>
    </xf>
    <xf borderId="0" fillId="14" fontId="3" numFmtId="46" xfId="0" applyAlignment="1" applyFont="1" applyNumberFormat="1">
      <alignment readingOrder="0"/>
    </xf>
    <xf borderId="0" fillId="13" fontId="3" numFmtId="4" xfId="0" applyAlignment="1" applyFont="1" applyNumberFormat="1">
      <alignment readingOrder="0"/>
    </xf>
    <xf borderId="0" fillId="14" fontId="3" numFmtId="4" xfId="0" applyAlignment="1" applyFont="1" applyNumberFormat="1">
      <alignment readingOrder="0"/>
    </xf>
    <xf borderId="0" fillId="15" fontId="3" numFmtId="0" xfId="0" applyAlignment="1" applyFill="1" applyFont="1">
      <alignment readingOrder="0"/>
    </xf>
    <xf borderId="0" fillId="15" fontId="3" numFmtId="46" xfId="0" applyAlignment="1" applyFont="1" applyNumberFormat="1">
      <alignment readingOrder="0"/>
    </xf>
    <xf borderId="0" fillId="13" fontId="3" numFmtId="170" xfId="0" applyAlignment="1" applyFont="1" applyNumberFormat="1">
      <alignment horizontal="center" readingOrder="0"/>
    </xf>
    <xf borderId="0" fillId="14" fontId="3" numFmtId="170" xfId="0" applyAlignment="1" applyFont="1" applyNumberFormat="1">
      <alignment horizontal="center" readingOrder="0"/>
    </xf>
    <xf borderId="0" fillId="15" fontId="3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3" numFmtId="171" xfId="0" applyFont="1" applyNumberFormat="1"/>
    <xf borderId="0" fillId="11" fontId="3" numFmtId="14" xfId="0" applyFont="1" applyNumberFormat="1"/>
    <xf borderId="0" fillId="0" fontId="14" numFmtId="1" xfId="0" applyAlignment="1" applyFont="1" applyNumberFormat="1">
      <alignment horizontal="right" vertical="bottom"/>
    </xf>
    <xf borderId="0" fillId="0" fontId="3" numFmtId="2" xfId="0" applyFont="1" applyNumberFormat="1"/>
    <xf borderId="0" fillId="0" fontId="3" numFmtId="14" xfId="0" applyFont="1" applyNumberFormat="1"/>
    <xf borderId="0" fillId="0" fontId="3" numFmtId="10" xfId="0" applyFont="1" applyNumberFormat="1"/>
    <xf borderId="0" fillId="0" fontId="3" numFmtId="1" xfId="0" applyFont="1" applyNumberFormat="1"/>
    <xf borderId="0" fillId="0" fontId="3" numFmtId="2" xfId="0" applyAlignment="1" applyFont="1" applyNumberFormat="1">
      <alignment readingOrder="0"/>
    </xf>
    <xf borderId="0" fillId="0" fontId="13" numFmtId="4" xfId="0" applyAlignment="1" applyFont="1" applyNumberFormat="1">
      <alignment readingOrder="0"/>
    </xf>
    <xf borderId="0" fillId="0" fontId="3" numFmtId="170" xfId="0" applyFont="1" applyNumberFormat="1"/>
    <xf borderId="0" fillId="0" fontId="3" numFmtId="170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0" fontId="13" numFmtId="170" xfId="0" applyAlignment="1" applyFont="1" applyNumberFormat="1">
      <alignment horizontal="center" readingOrder="0"/>
    </xf>
    <xf borderId="0" fillId="0" fontId="15" numFmtId="4" xfId="0" applyAlignment="1" applyFont="1" applyNumberFormat="1">
      <alignment readingOrder="0"/>
    </xf>
    <xf borderId="0" fillId="0" fontId="3" numFmtId="171" xfId="0" applyFont="1" applyNumberFormat="1"/>
    <xf borderId="0" fillId="10" fontId="3" numFmtId="171" xfId="0" applyFont="1" applyNumberFormat="1"/>
    <xf borderId="0" fillId="10" fontId="3" numFmtId="0" xfId="0" applyFont="1"/>
    <xf borderId="0" fillId="10" fontId="3" numFmtId="19" xfId="0" applyAlignment="1" applyFont="1" applyNumberFormat="1">
      <alignment readingOrder="0"/>
    </xf>
    <xf borderId="0" fillId="10" fontId="3" numFmtId="46" xfId="0" applyFont="1" applyNumberFormat="1"/>
    <xf borderId="0" fillId="10" fontId="3" numFmtId="19" xfId="0" applyFont="1" applyNumberFormat="1"/>
    <xf borderId="0" fillId="10" fontId="3" numFmtId="1" xfId="0" applyFont="1" applyNumberFormat="1"/>
    <xf borderId="0" fillId="10" fontId="3" numFmtId="2" xfId="0" applyFont="1" applyNumberFormat="1"/>
    <xf borderId="0" fillId="10" fontId="3" numFmtId="0" xfId="0" applyAlignment="1" applyFont="1">
      <alignment readingOrder="0"/>
    </xf>
    <xf borderId="0" fillId="10" fontId="3" numFmtId="14" xfId="0" applyFont="1" applyNumberFormat="1"/>
    <xf borderId="0" fillId="10" fontId="14" numFmtId="46" xfId="0" applyAlignment="1" applyFont="1" applyNumberFormat="1">
      <alignment horizontal="center" vertical="bottom"/>
    </xf>
    <xf borderId="0" fillId="10" fontId="14" numFmtId="2" xfId="0" applyAlignment="1" applyFont="1" applyNumberFormat="1">
      <alignment vertical="bottom"/>
    </xf>
    <xf borderId="0" fillId="10" fontId="3" numFmtId="4" xfId="0" applyFont="1" applyNumberFormat="1"/>
    <xf borderId="0" fillId="10" fontId="3" numFmtId="10" xfId="0" applyFont="1" applyNumberFormat="1"/>
    <xf borderId="0" fillId="0" fontId="3" numFmtId="19" xfId="0" applyFont="1" applyNumberFormat="1"/>
    <xf borderId="0" fillId="0" fontId="3" numFmtId="2" xfId="0" applyFont="1" applyNumberFormat="1"/>
    <xf borderId="0" fillId="10" fontId="14" numFmtId="46" xfId="0" applyAlignment="1" applyFont="1" applyNumberFormat="1">
      <alignment readingOrder="0" vertical="bottom"/>
    </xf>
    <xf borderId="0" fillId="10" fontId="14" numFmtId="168" xfId="0" applyAlignment="1" applyFont="1" applyNumberFormat="1">
      <alignment readingOrder="0" vertical="bottom"/>
    </xf>
    <xf borderId="0" fillId="10" fontId="14" numFmtId="10" xfId="0" applyAlignment="1" applyFont="1" applyNumberFormat="1">
      <alignment vertical="bottom"/>
    </xf>
    <xf borderId="0" fillId="10" fontId="14" numFmtId="0" xfId="0" applyAlignment="1" applyFont="1">
      <alignment readingOrder="0" vertical="bottom"/>
    </xf>
    <xf borderId="0" fillId="10" fontId="14" numFmtId="170" xfId="0" applyAlignment="1" applyFont="1" applyNumberFormat="1">
      <alignment vertical="bottom"/>
    </xf>
    <xf borderId="0" fillId="10" fontId="14" numFmtId="4" xfId="0" applyAlignment="1" applyFont="1" applyNumberFormat="1">
      <alignment vertical="bottom"/>
    </xf>
    <xf borderId="0" fillId="0" fontId="14" numFmtId="4" xfId="0" applyAlignment="1" applyFont="1" applyNumberFormat="1">
      <alignment vertical="bottom"/>
    </xf>
    <xf borderId="0" fillId="0" fontId="14" numFmtId="166" xfId="0" applyAlignment="1" applyFont="1" applyNumberFormat="1">
      <alignment vertical="bottom"/>
    </xf>
    <xf borderId="0" fillId="0" fontId="14" numFmtId="0" xfId="0" applyAlignment="1" applyFont="1">
      <alignment readingOrder="0" vertical="bottom"/>
    </xf>
    <xf borderId="0" fillId="0" fontId="14" numFmtId="46" xfId="0" applyAlignment="1" applyFont="1" applyNumberFormat="1">
      <alignment readingOrder="0" vertical="bottom"/>
    </xf>
    <xf borderId="0" fillId="0" fontId="14" numFmtId="168" xfId="0" applyAlignment="1" applyFont="1" applyNumberFormat="1">
      <alignment readingOrder="0" vertical="bottom"/>
    </xf>
    <xf borderId="0" fillId="12" fontId="14" numFmtId="0" xfId="0" applyAlignment="1" applyFont="1">
      <alignment readingOrder="0" vertical="bottom"/>
    </xf>
    <xf borderId="0" fillId="0" fontId="14" numFmtId="14" xfId="0" applyAlignment="1" applyFont="1" applyNumberFormat="1">
      <alignment vertical="bottom"/>
    </xf>
    <xf borderId="0" fillId="0" fontId="14" numFmtId="10" xfId="0" applyAlignment="1" applyFont="1" applyNumberFormat="1">
      <alignment readingOrder="0" vertical="bottom"/>
    </xf>
    <xf borderId="0" fillId="13" fontId="14" numFmtId="0" xfId="0" applyAlignment="1" applyFont="1">
      <alignment vertical="bottom"/>
    </xf>
    <xf borderId="0" fillId="14" fontId="14" numFmtId="0" xfId="0" applyAlignment="1" applyFont="1">
      <alignment vertical="bottom"/>
    </xf>
    <xf borderId="0" fillId="13" fontId="14" numFmtId="46" xfId="0" applyAlignment="1" applyFont="1" applyNumberFormat="1">
      <alignment vertical="bottom"/>
    </xf>
    <xf borderId="0" fillId="14" fontId="14" numFmtId="46" xfId="0" applyAlignment="1" applyFont="1" applyNumberFormat="1">
      <alignment vertical="bottom"/>
    </xf>
    <xf borderId="0" fillId="13" fontId="14" numFmtId="168" xfId="0" applyAlignment="1" applyFont="1" applyNumberFormat="1">
      <alignment vertical="bottom"/>
    </xf>
    <xf borderId="0" fillId="14" fontId="14" numFmtId="168" xfId="0" applyAlignment="1" applyFont="1" applyNumberFormat="1">
      <alignment vertical="bottom"/>
    </xf>
    <xf borderId="0" fillId="15" fontId="14" numFmtId="0" xfId="0" applyAlignment="1" applyFont="1">
      <alignment vertical="bottom"/>
    </xf>
    <xf borderId="0" fillId="15" fontId="14" numFmtId="46" xfId="0" applyAlignment="1" applyFont="1" applyNumberFormat="1">
      <alignment vertical="bottom"/>
    </xf>
    <xf borderId="0" fillId="16" fontId="14" numFmtId="168" xfId="0" applyAlignment="1" applyFill="1" applyFont="1" applyNumberFormat="1">
      <alignment readingOrder="0" vertical="bottom"/>
    </xf>
    <xf borderId="0" fillId="13" fontId="14" numFmtId="170" xfId="0" applyAlignment="1" applyFont="1" applyNumberFormat="1">
      <alignment horizontal="center" readingOrder="0" vertical="bottom"/>
    </xf>
    <xf borderId="0" fillId="14" fontId="14" numFmtId="170" xfId="0" applyAlignment="1" applyFont="1" applyNumberFormat="1">
      <alignment horizontal="center" readingOrder="0" vertical="bottom"/>
    </xf>
    <xf borderId="0" fillId="15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10" xfId="0" applyAlignment="1" applyFont="1" applyNumberFormat="1">
      <alignment vertical="bottom"/>
    </xf>
  </cellXfs>
  <cellStyles count="1">
    <cellStyle xfId="0" name="Normal" builtinId="0"/>
  </cellStyles>
  <dxfs count="2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FFFFFF"/>
      </font>
      <fill>
        <patternFill patternType="solid">
          <fgColor rgb="FFB8834B"/>
          <bgColor rgb="FFB8834B"/>
        </patternFill>
      </fill>
      <border/>
    </dxf>
    <dxf>
      <font>
        <color rgb="FFFFFFFF"/>
      </font>
      <fill>
        <patternFill patternType="solid">
          <fgColor rgb="FF9D4736"/>
          <bgColor rgb="FF9D4736"/>
        </patternFill>
      </fill>
      <border/>
    </dxf>
    <dxf>
      <font/>
      <fill>
        <patternFill patternType="solid">
          <fgColor rgb="FFFFEFEF"/>
          <bgColor rgb="FFFFEFEF"/>
        </patternFill>
      </fill>
      <border/>
    </dxf>
    <dxf>
      <font/>
      <fill>
        <patternFill patternType="solid">
          <fgColor rgb="FFFFF8F1"/>
          <bgColor rgb="FFFFF8F1"/>
        </patternFill>
      </fill>
      <border/>
    </dxf>
    <dxf>
      <font/>
      <fill>
        <patternFill patternType="solid">
          <fgColor rgb="FFF0FFEA"/>
          <bgColor rgb="FFF0FFEA"/>
        </patternFill>
      </fill>
      <border/>
    </dxf>
    <dxf>
      <font/>
      <fill>
        <patternFill patternType="solid">
          <fgColor rgb="FFE8FBFF"/>
          <bgColor rgb="FFE8FBFF"/>
        </patternFill>
      </fill>
      <border/>
    </dxf>
    <dxf>
      <font/>
      <fill>
        <patternFill patternType="solid">
          <fgColor rgb="FFEAF5FF"/>
          <bgColor rgb="FFEAF5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BD8B6D"/>
          <bgColor rgb="FFBD8B6D"/>
        </patternFill>
      </fill>
      <border/>
    </dxf>
    <dxf>
      <font>
        <color rgb="FFFFFFFF"/>
      </font>
      <fill>
        <patternFill patternType="solid">
          <fgColor rgb="FF7C421F"/>
          <bgColor rgb="FF7C421F"/>
        </patternFill>
      </fill>
      <border/>
    </dxf>
    <dxf>
      <font/>
      <fill>
        <patternFill patternType="solid">
          <fgColor rgb="FFEEEAFF"/>
          <bgColor rgb="FFEEEA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38"/>
    <col customWidth="1" min="2" max="2" width="6.63"/>
    <col customWidth="1" min="3" max="14" width="10.13"/>
    <col customWidth="1" min="17" max="17" width="20.13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2.0" customHeight="1">
      <c r="A2" s="1" t="s">
        <v>6</v>
      </c>
      <c r="B2" s="3">
        <f>MIN('S24'!$K:$K)</f>
        <v>45313</v>
      </c>
      <c r="C2" s="3">
        <f>MIN('F24'!$K:$K)</f>
        <v>45544</v>
      </c>
      <c r="D2" s="3">
        <f>MIN('S25'!$K:$K)</f>
        <v>45677</v>
      </c>
      <c r="E2" s="3">
        <f>MIN('F25'!$K:$K)</f>
        <v>45908</v>
      </c>
      <c r="F2" s="3">
        <f>MIN('S26'!$K:$K)</f>
        <v>46041</v>
      </c>
    </row>
    <row r="3" ht="4.5" customHeight="1">
      <c r="A3" s="4"/>
      <c r="B3" s="4"/>
      <c r="C3" s="4"/>
      <c r="D3" s="4"/>
      <c r="E3" s="4"/>
      <c r="F3" s="4"/>
      <c r="G3" s="4"/>
      <c r="H3" s="4"/>
    </row>
    <row r="4" ht="16.5" customHeight="1">
      <c r="A4" s="5" t="s">
        <v>7</v>
      </c>
      <c r="B4" s="6"/>
      <c r="C4" s="6"/>
      <c r="D4" s="6"/>
      <c r="E4" s="6"/>
      <c r="F4" s="6"/>
    </row>
    <row r="5" ht="18.0" customHeight="1">
      <c r="A5" s="7" t="s">
        <v>8</v>
      </c>
      <c r="B5" s="8" t="s">
        <v>1</v>
      </c>
      <c r="C5" s="8" t="s">
        <v>2</v>
      </c>
      <c r="D5" s="8" t="s">
        <v>3</v>
      </c>
      <c r="E5" s="8" t="s">
        <v>4</v>
      </c>
      <c r="F5" s="9" t="s">
        <v>9</v>
      </c>
    </row>
    <row r="6">
      <c r="A6" s="10" t="s">
        <v>10</v>
      </c>
      <c r="B6" s="11">
        <f>IFERROR(SUMIF('S24'!$J:$J,"Breakfast",'S24'!$H:$H),0)</f>
        <v>727.18</v>
      </c>
      <c r="C6" s="11">
        <f>IFERROR(SUMIF('F24'!$J:$J,"Breakfast",'F24'!$H:$H),0)</f>
        <v>2685</v>
      </c>
      <c r="D6" s="11">
        <f>IFERROR(SUMIF('S25'!$J:$J,"Breakfast",'S25'!$H:$H),0)</f>
        <v>4199</v>
      </c>
      <c r="E6" s="11">
        <f>IFERROR(SUMIF('F25'!$J:$J,"Breakfast",'F25'!$H:$H),0)</f>
        <v>1851</v>
      </c>
      <c r="F6" s="12">
        <f>IFERROR(SUMIF('S26'!$J:$J,"Breakfast",'S26'!$H:$H),0)</f>
        <v>2634</v>
      </c>
    </row>
    <row r="7">
      <c r="A7" s="13" t="s">
        <v>11</v>
      </c>
      <c r="B7" s="14">
        <f>IFERROR(SUMIF('S24'!$J:$J,"Lunch",'S24'!$H:$H),0)</f>
        <v>3747.78</v>
      </c>
      <c r="C7" s="14">
        <f>IFERROR(SUMIF('F24'!$J:$J,"Lunch",'F24'!$H:$H),0)</f>
        <v>12163</v>
      </c>
      <c r="D7" s="14">
        <f>IFERROR(SUMIF('S25'!$J:$J,"Lunch",'S25'!$H:$H),0)</f>
        <v>13311</v>
      </c>
      <c r="E7" s="14">
        <f>IFERROR(SUMIF('F25'!$J:$J,"Lunch",'F25'!$H:$H),0)</f>
        <v>14184.5</v>
      </c>
      <c r="F7" s="15">
        <f>IFERROR(SUMIF('S26'!$J:$J,"Lunch",'S26'!$H:$H),0)</f>
        <v>9821</v>
      </c>
    </row>
    <row r="8">
      <c r="A8" s="10" t="s">
        <v>12</v>
      </c>
      <c r="B8" s="11">
        <f>IFERROR(SUMIF('S24'!$J:$J,"Dinner",'S24'!$H:$H),0)</f>
        <v>2431.9</v>
      </c>
      <c r="C8" s="11">
        <f>IFERROR(SUMIF('F24'!$J:$J,"Dinner",'F24'!$H:$H),0)</f>
        <v>10619</v>
      </c>
      <c r="D8" s="11">
        <f>IFERROR(SUMIF('S25'!$J:$J,"Dinner",'S25'!$H:$H),0)</f>
        <v>13563</v>
      </c>
      <c r="E8" s="11">
        <f>IFERROR(SUMIF('F25'!$J:$J,"Dinner",'F25'!$H:$H),0)</f>
        <v>15726.5</v>
      </c>
      <c r="F8" s="12">
        <f>IFERROR(SUMIF('S26'!$J:$J,"Dinner",'S26'!$H:$H),0)</f>
        <v>13964</v>
      </c>
    </row>
    <row r="9">
      <c r="A9" s="13" t="s">
        <v>13</v>
      </c>
      <c r="B9" s="14">
        <f>IFERROR(SUMIF('S24'!$J:$J,"Breakfast/Lunch",'S24'!$H:$H),0)</f>
        <v>0</v>
      </c>
      <c r="C9" s="14">
        <f>IFERROR(SUMIF('F24'!$J:$J,"Breakfast/Lunch",'F24'!$H:$H),0)</f>
        <v>919</v>
      </c>
      <c r="D9" s="14">
        <f>IFERROR(SUMIF('S25'!$J:$J,"Breakfast/Lunch",'S25'!$H:$H),0)</f>
        <v>0</v>
      </c>
      <c r="E9" s="14">
        <f>IFERROR(SUMIF('F25'!$J:$J,"Breakfast/Lunch",'F25'!$H:$H),0)</f>
        <v>1675</v>
      </c>
      <c r="F9" s="15">
        <f>IFERROR(SUMIF('S26'!$J:$J,"Breakfast/Lunch",'S26'!$H:$H),0)</f>
        <v>2141</v>
      </c>
    </row>
    <row r="10">
      <c r="A10" s="16" t="s">
        <v>14</v>
      </c>
      <c r="B10" s="17">
        <f>SUM('YoY Viz Data'!$B$6:$B$9)</f>
        <v>6906.86</v>
      </c>
      <c r="C10" s="17">
        <f>SUM('YoY Viz Data'!$C$6:$C$9)</f>
        <v>26386</v>
      </c>
      <c r="D10" s="17">
        <f>SUM('YoY Viz Data'!$D$6:$D$9)</f>
        <v>31073</v>
      </c>
      <c r="E10" s="17">
        <f>SUM('YoY Viz Data'!$E$6:$E$9)</f>
        <v>33437</v>
      </c>
      <c r="F10" s="18">
        <f>SUM('YoY Viz Data'!$F$6:$F$9)</f>
        <v>28560</v>
      </c>
    </row>
    <row r="11" ht="10.5" customHeight="1">
      <c r="A11" s="19" t="s">
        <v>15</v>
      </c>
    </row>
    <row r="12" ht="3.75" customHeight="1">
      <c r="A12" s="20"/>
      <c r="B12" s="20"/>
      <c r="C12" s="20"/>
      <c r="D12" s="20"/>
      <c r="E12" s="20"/>
      <c r="F12" s="20"/>
      <c r="G12" s="20"/>
      <c r="H12" s="20"/>
      <c r="I12" s="20"/>
    </row>
    <row r="13" ht="16.5" customHeight="1">
      <c r="A13" s="5" t="s">
        <v>16</v>
      </c>
      <c r="B13" s="6"/>
      <c r="C13" s="6"/>
      <c r="D13" s="6"/>
      <c r="E13" s="6"/>
      <c r="F13" s="6"/>
      <c r="G13" s="6"/>
    </row>
    <row r="14" ht="18.0" customHeight="1">
      <c r="A14" s="7" t="s">
        <v>8</v>
      </c>
      <c r="B14" s="8" t="s">
        <v>17</v>
      </c>
      <c r="C14" s="8" t="s">
        <v>1</v>
      </c>
      <c r="D14" s="8" t="s">
        <v>2</v>
      </c>
      <c r="E14" s="8" t="s">
        <v>3</v>
      </c>
      <c r="F14" s="8" t="s">
        <v>4</v>
      </c>
      <c r="G14" s="9" t="s">
        <v>9</v>
      </c>
    </row>
    <row r="15">
      <c r="A15" s="10" t="s">
        <v>12</v>
      </c>
      <c r="B15" s="21" t="s">
        <v>18</v>
      </c>
      <c r="C15" s="11">
        <f>IFERROR(SUMIFS('S24'!$H:$H,'S24'!$J:$J,"Dinner",'S24'!$M:$M,"MF"),0)</f>
        <v>0</v>
      </c>
      <c r="D15" s="11">
        <f>IFERROR(SUMIFS('F24'!$H:$H,'F24'!$J:$J,"Dinner",'F24'!$M:$M,"MF"),0)</f>
        <v>5145</v>
      </c>
      <c r="E15" s="11">
        <f>IFERROR(SUMIFS('S25'!$H:$H,'S25'!$J:$J,"Dinner",'S25'!$M:$M,"MF"),0)</f>
        <v>7476</v>
      </c>
      <c r="F15" s="11">
        <f>IFERROR(SUMIFS('F25'!$H:$H,'F25'!$J:$J,"Dinner",'F25'!$M:$M,"MF"),0)</f>
        <v>8260</v>
      </c>
      <c r="G15" s="12">
        <f>IFERROR(SUMIFS('S26'!$H:$H,'S26'!$J:$J,"Dinner",'S26'!$M:$M,"MF"),0)</f>
        <v>8696</v>
      </c>
    </row>
    <row r="16">
      <c r="A16" s="13" t="s">
        <v>12</v>
      </c>
      <c r="B16" s="22" t="s">
        <v>19</v>
      </c>
      <c r="C16" s="14">
        <f>IFERROR(SUMIFS('S24'!$H:$H,'S24'!$J:$J,"Dinner",'S24'!$M:$M,"BF"),0)</f>
        <v>0</v>
      </c>
      <c r="D16" s="14">
        <f>IFERROR(SUMIFS('F24'!$H:$H,'F24'!$J:$J,"Dinner",'F24'!$M:$M,"BF"),0)</f>
        <v>5474</v>
      </c>
      <c r="E16" s="14">
        <f>IFERROR(SUMIFS('S25'!$H:$H,'S25'!$J:$J,"Dinner",'S25'!$M:$M,"BF"),0)</f>
        <v>6087</v>
      </c>
      <c r="F16" s="14">
        <f>IFERROR(SUMIFS('F25'!$H:$H,'F25'!$J:$J,"Dinner",'F25'!$M:$M,"BF"),0)</f>
        <v>7466.5</v>
      </c>
      <c r="G16" s="15">
        <f>IFERROR(SUMIFS('S26'!$H:$H,'S26'!$J:$J,"Dinner",'S26'!$M:$M,"BF"),0)</f>
        <v>5268</v>
      </c>
    </row>
    <row r="17">
      <c r="A17" s="10" t="s">
        <v>11</v>
      </c>
      <c r="B17" s="21" t="s">
        <v>18</v>
      </c>
      <c r="C17" s="11">
        <f>IFERROR(SUMIFS('S24'!$H:$H,'S24'!$J:$J,"Lunch",'S24'!$M:$M,"MF"),0)</f>
        <v>0</v>
      </c>
      <c r="D17" s="11">
        <f>IFERROR(SUMIFS('F24'!$H:$H,'F24'!$J:$J,"Lunch",'F24'!$M:$M,"MF"),0)</f>
        <v>6636</v>
      </c>
      <c r="E17" s="11">
        <f>IFERROR(SUMIFS('S25'!$H:$H,'S25'!$J:$J,"Lunch",'S25'!$M:$M,"MF"),0)</f>
        <v>6793</v>
      </c>
      <c r="F17" s="11">
        <f>IFERROR(SUMIFS('F25'!$H:$H,'F25'!$J:$J,"Lunch",'F25'!$M:$M,"MF"),0)</f>
        <v>9189</v>
      </c>
      <c r="G17" s="12">
        <f>IFERROR(SUMIFS('S26'!$H:$H,'S26'!$J:$J,"Lunch",'S26'!$M:$M,"MF"),0)</f>
        <v>6214</v>
      </c>
    </row>
    <row r="18">
      <c r="A18" s="13" t="s">
        <v>11</v>
      </c>
      <c r="B18" s="22" t="s">
        <v>19</v>
      </c>
      <c r="C18" s="14">
        <f>IFERROR(SUMIFS('S24'!$H:$H,'S24'!$J:$J,"Lunch",'S24'!$M:$M,"BF"),0)</f>
        <v>0</v>
      </c>
      <c r="D18" s="14">
        <f>IFERROR(SUMIFS('F24'!$H:$H,'F24'!$J:$J,"Lunch",'F24'!$M:$M,"BF"),0)</f>
        <v>5527</v>
      </c>
      <c r="E18" s="14">
        <f>IFERROR(SUMIFS('S25'!$H:$H,'S25'!$J:$J,"Lunch",'S25'!$M:$M,"BF"),0)</f>
        <v>6518</v>
      </c>
      <c r="F18" s="14">
        <f>IFERROR(SUMIFS('F25'!$H:$H,'F25'!$J:$J,"Lunch",'F25'!$M:$M,"BF"),0)</f>
        <v>4995.5</v>
      </c>
      <c r="G18" s="15">
        <f>IFERROR(SUMIFS('S26'!$H:$H,'S26'!$J:$J,"Lunch",'S26'!$M:$M,"BF"),0)</f>
        <v>3607</v>
      </c>
    </row>
    <row r="19">
      <c r="A19" s="10" t="s">
        <v>10</v>
      </c>
      <c r="B19" s="21" t="s">
        <v>19</v>
      </c>
      <c r="C19" s="11">
        <f>IFERROR(SUMIFS('S24'!$H:$H,'S24'!$J:$J,"Breakfast",'S24'!$M:$M,"BF"),0)</f>
        <v>0</v>
      </c>
      <c r="D19" s="11">
        <f>IFERROR(SUMIFS('F24'!$H:$H,'F24'!$J:$J,"Breakfast",'F24'!$M:$M,"BF"),0)</f>
        <v>2685</v>
      </c>
      <c r="E19" s="11">
        <f>IFERROR(SUMIFS('S25'!$H:$H,'S25'!$J:$J,"Breakfast",'S25'!$M:$M,"BF"),0)</f>
        <v>4199</v>
      </c>
      <c r="F19" s="11">
        <f>IFERROR(SUMIFS('F25'!$H:$H,'F25'!$J:$J,"Breakfast",'F25'!$M:$M,"BF"),0)</f>
        <v>1851</v>
      </c>
      <c r="G19" s="12">
        <f>IFERROR(SUMIFS('S26'!$H:$H,'S26'!$J:$J,"Breakfast",'S26'!$M:$M,"BF"),0)</f>
        <v>2616</v>
      </c>
    </row>
    <row r="20">
      <c r="A20" s="23" t="s">
        <v>13</v>
      </c>
      <c r="B20" s="24" t="s">
        <v>19</v>
      </c>
      <c r="C20" s="25">
        <f>IFERROR(SUMIFS('S24'!$H:$H,'S24'!$J:$J,"Breakfast/Lunch",'S24'!$M:$M,"BF"),0)</f>
        <v>0</v>
      </c>
      <c r="D20" s="25">
        <f>IFERROR(SUMIFS('F24'!$H:$H,'F24'!$J:$J,"Breakfast/Lunch",'F24'!$M:$M,"BF"),0)</f>
        <v>919</v>
      </c>
      <c r="E20" s="25">
        <f>IFERROR(SUMIFS('S25'!$H:$H,'S25'!$J:$J,"Breakfast/Lunch",'S25'!$M:$M,"BF"),0)</f>
        <v>0</v>
      </c>
      <c r="F20" s="25">
        <f>IFERROR(SUMIFS('F25'!$H:$H,'F25'!$J:$J,"Breakfast/Lunch",'F25'!$M:$M,"BF"),0)</f>
        <v>1675</v>
      </c>
      <c r="G20" s="26">
        <f>IFERROR(SUMIFS('S26'!$H:$H,'S26'!$J:$J,"Breakfast/Lunch",'S26'!$M:$M,"BF"),0)</f>
        <v>2141</v>
      </c>
    </row>
    <row r="21" ht="10.5" customHeight="1">
      <c r="A21" s="19" t="s">
        <v>20</v>
      </c>
    </row>
    <row r="22" ht="3.75" customHeight="1">
      <c r="A22" s="20"/>
      <c r="B22" s="20"/>
      <c r="C22" s="20"/>
      <c r="D22" s="20"/>
      <c r="E22" s="20"/>
      <c r="F22" s="20"/>
      <c r="G22" s="20"/>
      <c r="H22" s="20"/>
      <c r="I22" s="20"/>
    </row>
    <row r="23" ht="16.5" customHeight="1">
      <c r="A23" s="5" t="s">
        <v>21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8.0" customHeight="1">
      <c r="A24" s="7" t="s">
        <v>22</v>
      </c>
      <c r="B24" s="27" t="s">
        <v>23</v>
      </c>
      <c r="C24" s="8" t="s">
        <v>1</v>
      </c>
      <c r="D24" s="28" t="s">
        <v>24</v>
      </c>
      <c r="E24" s="28" t="s">
        <v>25</v>
      </c>
      <c r="F24" s="8" t="s">
        <v>2</v>
      </c>
      <c r="G24" s="28" t="s">
        <v>26</v>
      </c>
      <c r="H24" s="28" t="s">
        <v>27</v>
      </c>
      <c r="I24" s="8" t="s">
        <v>3</v>
      </c>
      <c r="J24" s="28" t="s">
        <v>28</v>
      </c>
      <c r="K24" s="28" t="s">
        <v>29</v>
      </c>
      <c r="L24" s="8" t="s">
        <v>4</v>
      </c>
      <c r="M24" s="28" t="s">
        <v>30</v>
      </c>
      <c r="N24" s="28" t="s">
        <v>31</v>
      </c>
      <c r="O24" s="8" t="s">
        <v>9</v>
      </c>
      <c r="P24" s="28" t="s">
        <v>32</v>
      </c>
      <c r="Q24" s="29" t="s">
        <v>33</v>
      </c>
    </row>
    <row r="25">
      <c r="A25" s="30">
        <v>1.0</v>
      </c>
      <c r="B25" s="31">
        <f t="shared" ref="B25:B38" si="1">IFERROR((IF(ISNUMBER(C25),C25,0)+IF(ISNUMBER(F25),F25,0)+IF(ISNUMBER(I25),I25,0)+IF(ISNUMBER(L25),L25,0)+IF(ISNUMBER(O25),O25,0))/(ISNUMBER(C25)*1+ISNUMBER(F25)*1+ISNUMBER(I25)*1+ISNUMBER(L25)*1+ISNUMBER(O25)*1),"")</f>
        <v>1201.666667</v>
      </c>
      <c r="C25" s="11" t="str">
        <f>IFERROR(IF(SUMPRODUCT(('S24'!$K$3:$K$600&gt;=$B$2+0)*('S24'!$K$3:$K$600&lt;$B$2+7)*('S24'!$H$3:$H$600))=0,"",SUMPRODUCT(('S24'!$K$3:$K$600&gt;=$B$2+0)*('S24'!$K$3:$K$600&lt;$B$2+7)*('S24'!$H$3:$H$600))),"")</f>
        <v/>
      </c>
      <c r="D25" s="32" t="s">
        <v>34</v>
      </c>
      <c r="E25" s="33"/>
      <c r="F25" s="11">
        <f>IFERROR(IF(SUMPRODUCT(('F24'!$K$3:$K$600&gt;=$C$2+0)*('F24'!$K$3:$K$600&lt;$C$2+7)*('F24'!$H$3:$H$600))=0,"",SUMPRODUCT(('F24'!$K$3:$K$600&gt;=$C$2+0)*('F24'!$K$3:$K$600&lt;$C$2+7)*('F24'!$H$3:$H$600))),"")</f>
        <v>1079</v>
      </c>
      <c r="G25" s="32" t="s">
        <v>35</v>
      </c>
      <c r="H25" s="33"/>
      <c r="I25" s="11" t="str">
        <f>IFERROR(IF(SUMPRODUCT(('S25'!$K$3:$K$600&gt;=$D$2+0)*('S25'!$K$3:$K$600&lt;$D$2+7)*('S25'!$H$3:$H$600))=0,"",SUMPRODUCT(('S25'!$K$3:$K$600&gt;=$D$2+0)*('S25'!$K$3:$K$600&lt;$D$2+7)*('S25'!$H$3:$H$600))),"")</f>
        <v/>
      </c>
      <c r="J25" s="32" t="s">
        <v>36</v>
      </c>
      <c r="K25" s="33"/>
      <c r="L25" s="11">
        <f>IFERROR(IF(SUMPRODUCT(('F25'!$K$3:$K$600&gt;=$E$2+0)*('F25'!$K$3:$K$600&lt;$E$2+7)*('F25'!$H$3:$H$600))=0,"",SUMPRODUCT(('F25'!$K$3:$K$600&gt;=$E$2+0)*('F25'!$K$3:$K$600&lt;$E$2+7)*('F25'!$H$3:$H$600))),"")</f>
        <v>2036</v>
      </c>
      <c r="M25" s="32" t="s">
        <v>37</v>
      </c>
      <c r="N25" s="33"/>
      <c r="O25" s="11">
        <f>IFERROR(IF(SUMPRODUCT(('S26'!$K$3:$K$600&gt;=$F$2+0)*('S26'!$K$3:$K$600&lt;$F$2+7)*('S26'!$H$3:$H$600))=0,"",SUMPRODUCT(('S26'!$K$3:$K$600&gt;=$F$2+0)*('S26'!$K$3:$K$600&lt;$F$2+7)*('S26'!$H$3:$H$600))),"")</f>
        <v>490</v>
      </c>
      <c r="P25" s="32" t="s">
        <v>38</v>
      </c>
      <c r="Q25" s="34"/>
    </row>
    <row r="26">
      <c r="A26" s="35">
        <v>2.0</v>
      </c>
      <c r="B26" s="31">
        <f t="shared" si="1"/>
        <v>1950.25</v>
      </c>
      <c r="C26" s="14" t="str">
        <f>IFERROR(IF(SUMPRODUCT(('S24'!$K$3:$K$600&gt;=$B$2+7)*('S24'!$K$3:$K$600&lt;$B$2+14)*('S24'!$H$3:$H$600))=0,"",SUMPRODUCT(('S24'!$K$3:$K$600&gt;=$B$2+7)*('S24'!$K$3:$K$600&lt;$B$2+14)*('S24'!$H$3:$H$600))),"")</f>
        <v/>
      </c>
      <c r="D26" s="36" t="s">
        <v>39</v>
      </c>
      <c r="E26" s="37"/>
      <c r="F26" s="14">
        <f>IFERROR(IF(SUMPRODUCT(('F24'!$K$3:$K$600&gt;=$C$2+7)*('F24'!$K$3:$K$600&lt;$C$2+14)*('F24'!$H$3:$H$600))=0,"",SUMPRODUCT(('F24'!$K$3:$K$600&gt;=$C$2+7)*('F24'!$K$3:$K$600&lt;$C$2+14)*('F24'!$H$3:$H$600))),"")</f>
        <v>1634</v>
      </c>
      <c r="G26" s="36" t="s">
        <v>40</v>
      </c>
      <c r="H26" s="37"/>
      <c r="I26" s="14">
        <f>IFERROR(IF(SUMPRODUCT(('S25'!$K$3:$K$600&gt;=$D$2+7)*('S25'!$K$3:$K$600&lt;$D$2+14)*('S25'!$H$3:$H$600))=0,"",SUMPRODUCT(('S25'!$K$3:$K$600&gt;=$D$2+7)*('S25'!$K$3:$K$600&lt;$D$2+14)*('S25'!$H$3:$H$600))),"")</f>
        <v>2292</v>
      </c>
      <c r="J26" s="36" t="s">
        <v>41</v>
      </c>
      <c r="K26" s="37"/>
      <c r="L26" s="14">
        <f>IFERROR(IF(SUMPRODUCT(('F25'!$K$3:$K$600&gt;=$E$2+7)*('F25'!$K$3:$K$600&lt;$E$2+14)*('F25'!$H$3:$H$600))=0,"",SUMPRODUCT(('F25'!$K$3:$K$600&gt;=$E$2+7)*('F25'!$K$3:$K$600&lt;$E$2+14)*('F25'!$H$3:$H$600))),"")</f>
        <v>2521</v>
      </c>
      <c r="M26" s="36" t="s">
        <v>42</v>
      </c>
      <c r="N26" s="37"/>
      <c r="O26" s="14">
        <f>IFERROR(IF(SUMPRODUCT(('S26'!$K$3:$K$600&gt;=$F$2+7)*('S26'!$K$3:$K$600&lt;$F$2+14)*('S26'!$H$3:$H$600))=0,"",SUMPRODUCT(('S26'!$K$3:$K$600&gt;=$F$2+7)*('S26'!$K$3:$K$600&lt;$F$2+14)*('S26'!$H$3:$H$600))),"")</f>
        <v>1354</v>
      </c>
      <c r="P26" s="36" t="s">
        <v>43</v>
      </c>
      <c r="Q26" s="38"/>
    </row>
    <row r="27">
      <c r="A27" s="30">
        <v>3.0</v>
      </c>
      <c r="B27" s="31">
        <f t="shared" si="1"/>
        <v>2583.5</v>
      </c>
      <c r="C27" s="11" t="str">
        <f>IFERROR(IF(SUMPRODUCT(('S24'!$K$3:$K$600&gt;=$B$2+14)*('S24'!$K$3:$K$600&lt;$B$2+21)*('S24'!$H$3:$H$600))=0,"",SUMPRODUCT(('S24'!$K$3:$K$600&gt;=$B$2+14)*('S24'!$K$3:$K$600&lt;$B$2+21)*('S24'!$H$3:$H$600))),"")</f>
        <v/>
      </c>
      <c r="D27" s="32" t="s">
        <v>44</v>
      </c>
      <c r="E27" s="33"/>
      <c r="F27" s="11">
        <f>IFERROR(IF(SUMPRODUCT(('F24'!$K$3:$K$600&gt;=$C$2+14)*('F24'!$K$3:$K$600&lt;$C$2+21)*('F24'!$H$3:$H$600))=0,"",SUMPRODUCT(('F24'!$K$3:$K$600&gt;=$C$2+14)*('F24'!$K$3:$K$600&lt;$C$2+21)*('F24'!$H$3:$H$600))),"")</f>
        <v>1502</v>
      </c>
      <c r="G27" s="32" t="s">
        <v>45</v>
      </c>
      <c r="H27" s="33"/>
      <c r="I27" s="11">
        <f>IFERROR(IF(SUMPRODUCT(('S25'!$K$3:$K$600&gt;=$D$2+14)*('S25'!$K$3:$K$600&lt;$D$2+21)*('S25'!$H$3:$H$600))=0,"",SUMPRODUCT(('S25'!$K$3:$K$600&gt;=$D$2+14)*('S25'!$K$3:$K$600&lt;$D$2+21)*('S25'!$H$3:$H$600))),"")</f>
        <v>2581</v>
      </c>
      <c r="J27" s="32" t="s">
        <v>46</v>
      </c>
      <c r="K27" s="33"/>
      <c r="L27" s="11">
        <f>IFERROR(IF(SUMPRODUCT(('F25'!$K$3:$K$600&gt;=$E$2+14)*('F25'!$K$3:$K$600&lt;$E$2+21)*('F25'!$H$3:$H$600))=0,"",SUMPRODUCT(('F25'!$K$3:$K$600&gt;=$E$2+14)*('F25'!$K$3:$K$600&lt;$E$2+21)*('F25'!$H$3:$H$600))),"")</f>
        <v>2807</v>
      </c>
      <c r="M27" s="32" t="s">
        <v>47</v>
      </c>
      <c r="N27" s="33"/>
      <c r="O27" s="11">
        <f>IFERROR(IF(SUMPRODUCT(('S26'!$K$3:$K$600&gt;=$F$2+14)*('S26'!$K$3:$K$600&lt;$F$2+21)*('S26'!$H$3:$H$600))=0,"",SUMPRODUCT(('S26'!$K$3:$K$600&gt;=$F$2+14)*('S26'!$K$3:$K$600&lt;$F$2+21)*('S26'!$H$3:$H$600))),"")</f>
        <v>3444</v>
      </c>
      <c r="P27" s="32" t="s">
        <v>48</v>
      </c>
      <c r="Q27" s="34"/>
    </row>
    <row r="28">
      <c r="A28" s="35">
        <v>4.0</v>
      </c>
      <c r="B28" s="31">
        <f t="shared" si="1"/>
        <v>2654</v>
      </c>
      <c r="C28" s="14" t="str">
        <f>IFERROR(IF(SUMPRODUCT(('S24'!$K$3:$K$600&gt;=$B$2+21)*('S24'!$K$3:$K$600&lt;$B$2+28)*('S24'!$H$3:$H$600))=0,"",SUMPRODUCT(('S24'!$K$3:$K$600&gt;=$B$2+21)*('S24'!$K$3:$K$600&lt;$B$2+28)*('S24'!$H$3:$H$600))),"")</f>
        <v/>
      </c>
      <c r="D28" s="36" t="s">
        <v>49</v>
      </c>
      <c r="E28" s="37"/>
      <c r="F28" s="14">
        <f>IFERROR(IF(SUMPRODUCT(('F24'!$K$3:$K$600&gt;=$C$2+21)*('F24'!$K$3:$K$600&lt;$C$2+28)*('F24'!$H$3:$H$600))=0,"",SUMPRODUCT(('F24'!$K$3:$K$600&gt;=$C$2+21)*('F24'!$K$3:$K$600&lt;$C$2+28)*('F24'!$H$3:$H$600))),"")</f>
        <v>2521</v>
      </c>
      <c r="G28" s="36" t="s">
        <v>50</v>
      </c>
      <c r="H28" s="37"/>
      <c r="I28" s="14">
        <f>IFERROR(IF(SUMPRODUCT(('S25'!$K$3:$K$600&gt;=$D$2+21)*('S25'!$K$3:$K$600&lt;$D$2+28)*('S25'!$H$3:$H$600))=0,"",SUMPRODUCT(('S25'!$K$3:$K$600&gt;=$D$2+21)*('S25'!$K$3:$K$600&lt;$D$2+28)*('S25'!$H$3:$H$600))),"")</f>
        <v>2857</v>
      </c>
      <c r="J28" s="36" t="s">
        <v>51</v>
      </c>
      <c r="K28" s="37"/>
      <c r="L28" s="14">
        <f>IFERROR(IF(SUMPRODUCT(('F25'!$K$3:$K$600&gt;=$E$2+21)*('F25'!$K$3:$K$600&lt;$E$2+28)*('F25'!$H$3:$H$600))=0,"",SUMPRODUCT(('F25'!$K$3:$K$600&gt;=$E$2+21)*('F25'!$K$3:$K$600&lt;$E$2+28)*('F25'!$H$3:$H$600))),"")</f>
        <v>2637</v>
      </c>
      <c r="M28" s="36" t="s">
        <v>52</v>
      </c>
      <c r="N28" s="37"/>
      <c r="O28" s="14">
        <f>IFERROR(IF(SUMPRODUCT(('S26'!$K$3:$K$600&gt;=$F$2+21)*('S26'!$K$3:$K$600&lt;$F$2+28)*('S26'!$H$3:$H$600))=0,"",SUMPRODUCT(('S26'!$K$3:$K$600&gt;=$F$2+21)*('S26'!$K$3:$K$600&lt;$F$2+28)*('S26'!$H$3:$H$600))),"")</f>
        <v>2601</v>
      </c>
      <c r="P28" s="36" t="s">
        <v>53</v>
      </c>
      <c r="Q28" s="38"/>
    </row>
    <row r="29">
      <c r="A29" s="30">
        <v>5.0</v>
      </c>
      <c r="B29" s="31">
        <f t="shared" si="1"/>
        <v>2372</v>
      </c>
      <c r="C29" s="11" t="str">
        <f>IFERROR(IF(SUMPRODUCT(('S24'!$K$3:$K$600&gt;=$B$2+28)*('S24'!$K$3:$K$600&lt;$B$2+35)*('S24'!$H$3:$H$600))=0,"",SUMPRODUCT(('S24'!$K$3:$K$600&gt;=$B$2+28)*('S24'!$K$3:$K$600&lt;$B$2+35)*('S24'!$H$3:$H$600))),"")</f>
        <v/>
      </c>
      <c r="D29" s="32" t="s">
        <v>54</v>
      </c>
      <c r="E29" s="33"/>
      <c r="F29" s="11">
        <f>IFERROR(IF(SUMPRODUCT(('F24'!$K$3:$K$600&gt;=$C$2+28)*('F24'!$K$3:$K$600&lt;$C$2+35)*('F24'!$H$3:$H$600))=0,"",SUMPRODUCT(('F24'!$K$3:$K$600&gt;=$C$2+28)*('F24'!$K$3:$K$600&lt;$C$2+35)*('F24'!$H$3:$H$600))),"")</f>
        <v>2246</v>
      </c>
      <c r="G29" s="32" t="s">
        <v>55</v>
      </c>
      <c r="H29" s="33"/>
      <c r="I29" s="11">
        <f>IFERROR(IF(SUMPRODUCT(('S25'!$K$3:$K$600&gt;=$D$2+28)*('S25'!$K$3:$K$600&lt;$D$2+35)*('S25'!$H$3:$H$600))=0,"",SUMPRODUCT(('S25'!$K$3:$K$600&gt;=$D$2+28)*('S25'!$K$3:$K$600&lt;$D$2+35)*('S25'!$H$3:$H$600))),"")</f>
        <v>2372</v>
      </c>
      <c r="J29" s="32" t="s">
        <v>56</v>
      </c>
      <c r="K29" s="33"/>
      <c r="L29" s="11">
        <f>IFERROR(IF(SUMPRODUCT(('F25'!$K$3:$K$600&gt;=$E$2+28)*('F25'!$K$3:$K$600&lt;$E$2+35)*('F25'!$H$3:$H$600))=0,"",SUMPRODUCT(('F25'!$K$3:$K$600&gt;=$E$2+28)*('F25'!$K$3:$K$600&lt;$E$2+35)*('F25'!$H$3:$H$600))),"")</f>
        <v>2198</v>
      </c>
      <c r="M29" s="32" t="s">
        <v>57</v>
      </c>
      <c r="N29" s="33"/>
      <c r="O29" s="11">
        <f>IFERROR(IF(SUMPRODUCT(('S26'!$K$3:$K$600&gt;=$F$2+28)*('S26'!$K$3:$K$600&lt;$F$2+35)*('S26'!$H$3:$H$600))=0,"",SUMPRODUCT(('S26'!$K$3:$K$600&gt;=$F$2+28)*('S26'!$K$3:$K$600&lt;$F$2+35)*('S26'!$H$3:$H$600))),"")</f>
        <v>2672</v>
      </c>
      <c r="P29" s="32" t="s">
        <v>58</v>
      </c>
      <c r="Q29" s="34"/>
    </row>
    <row r="30">
      <c r="A30" s="35">
        <v>6.0</v>
      </c>
      <c r="B30" s="31">
        <f t="shared" si="1"/>
        <v>1751</v>
      </c>
      <c r="C30" s="14" t="str">
        <f>IFERROR(IF(SUMPRODUCT(('S24'!$K$3:$K$600&gt;=$B$2+35)*('S24'!$K$3:$K$600&lt;$B$2+42)*('S24'!$H$3:$H$600))=0,"",SUMPRODUCT(('S24'!$K$3:$K$600&gt;=$B$2+35)*('S24'!$K$3:$K$600&lt;$B$2+42)*('S24'!$H$3:$H$600))),"")</f>
        <v/>
      </c>
      <c r="D30" s="36" t="s">
        <v>59</v>
      </c>
      <c r="E30" s="37"/>
      <c r="F30" s="14">
        <f>IFERROR(IF(SUMPRODUCT(('F24'!$K$3:$K$600&gt;=$C$2+35)*('F24'!$K$3:$K$600&lt;$C$2+42)*('F24'!$H$3:$H$600))=0,"",SUMPRODUCT(('F24'!$K$3:$K$600&gt;=$C$2+35)*('F24'!$K$3:$K$600&lt;$C$2+42)*('F24'!$H$3:$H$600))),"")</f>
        <v>1921</v>
      </c>
      <c r="G30" s="36" t="s">
        <v>60</v>
      </c>
      <c r="H30" s="39" t="s">
        <v>61</v>
      </c>
      <c r="I30" s="14">
        <f>IFERROR(IF(SUMPRODUCT(('S25'!$K$3:$K$600&gt;=$D$2+35)*('S25'!$K$3:$K$600&lt;$D$2+42)*('S25'!$H$3:$H$600))=0,"",SUMPRODUCT(('S25'!$K$3:$K$600&gt;=$D$2+35)*('S25'!$K$3:$K$600&lt;$D$2+42)*('S25'!$H$3:$H$600))),"")</f>
        <v>2607</v>
      </c>
      <c r="J30" s="36" t="s">
        <v>62</v>
      </c>
      <c r="K30" s="37"/>
      <c r="L30" s="14">
        <f>IFERROR(IF(SUMPRODUCT(('F25'!$K$3:$K$600&gt;=$E$2+35)*('F25'!$K$3:$K$600&lt;$E$2+42)*('F25'!$H$3:$H$600))=0,"",SUMPRODUCT(('F25'!$K$3:$K$600&gt;=$E$2+35)*('F25'!$K$3:$K$600&lt;$E$2+42)*('F25'!$H$3:$H$600))),"")</f>
        <v>1860</v>
      </c>
      <c r="M30" s="36" t="s">
        <v>63</v>
      </c>
      <c r="N30" s="39" t="s">
        <v>61</v>
      </c>
      <c r="O30" s="14">
        <f>IFERROR(IF(SUMPRODUCT(('S26'!$K$3:$K$600&gt;=$F$2+35)*('S26'!$K$3:$K$600&lt;$F$2+42)*('S26'!$H$3:$H$600))=0,"",SUMPRODUCT(('S26'!$K$3:$K$600&gt;=$F$2+35)*('S26'!$K$3:$K$600&lt;$F$2+42)*('S26'!$H$3:$H$600))),"")</f>
        <v>616</v>
      </c>
      <c r="P30" s="36" t="s">
        <v>64</v>
      </c>
      <c r="Q30" s="40" t="s">
        <v>65</v>
      </c>
    </row>
    <row r="31">
      <c r="A31" s="30">
        <v>7.0</v>
      </c>
      <c r="B31" s="31">
        <f t="shared" si="1"/>
        <v>2558.75</v>
      </c>
      <c r="C31" s="11" t="str">
        <f>IFERROR(IF(SUMPRODUCT(('S24'!$K$3:$K$600&gt;=$B$2+42)*('S24'!$K$3:$K$600&lt;$B$2+49)*('S24'!$H$3:$H$600))=0,"",SUMPRODUCT(('S24'!$K$3:$K$600&gt;=$B$2+42)*('S24'!$K$3:$K$600&lt;$B$2+49)*('S24'!$H$3:$H$600))),"")</f>
        <v/>
      </c>
      <c r="D31" s="32" t="s">
        <v>66</v>
      </c>
      <c r="E31" s="33"/>
      <c r="F31" s="11">
        <f>IFERROR(IF(SUMPRODUCT(('F24'!$K$3:$K$600&gt;=$C$2+42)*('F24'!$K$3:$K$600&lt;$C$2+49)*('F24'!$H$3:$H$600))=0,"",SUMPRODUCT(('F24'!$K$3:$K$600&gt;=$C$2+42)*('F24'!$K$3:$K$600&lt;$C$2+49)*('F24'!$H$3:$H$600))),"")</f>
        <v>2697</v>
      </c>
      <c r="G31" s="32" t="s">
        <v>67</v>
      </c>
      <c r="H31" s="33"/>
      <c r="I31" s="11">
        <f>IFERROR(IF(SUMPRODUCT(('S25'!$K$3:$K$600&gt;=$D$2+42)*('S25'!$K$3:$K$600&lt;$D$2+49)*('S25'!$H$3:$H$600))=0,"",SUMPRODUCT(('S25'!$K$3:$K$600&gt;=$D$2+42)*('S25'!$K$3:$K$600&lt;$D$2+49)*('S25'!$H$3:$H$600))),"")</f>
        <v>2059</v>
      </c>
      <c r="J31" s="32" t="s">
        <v>68</v>
      </c>
      <c r="K31" s="33"/>
      <c r="L31" s="11">
        <f>IFERROR(IF(SUMPRODUCT(('F25'!$K$3:$K$600&gt;=$E$2+42)*('F25'!$K$3:$K$600&lt;$E$2+49)*('F25'!$H$3:$H$600))=0,"",SUMPRODUCT(('F25'!$K$3:$K$600&gt;=$E$2+42)*('F25'!$K$3:$K$600&lt;$E$2+49)*('F25'!$H$3:$H$600))),"")</f>
        <v>2852</v>
      </c>
      <c r="M31" s="32" t="s">
        <v>69</v>
      </c>
      <c r="N31" s="33"/>
      <c r="O31" s="11">
        <f>IFERROR(IF(SUMPRODUCT(('S26'!$K$3:$K$600&gt;=$F$2+42)*('S26'!$K$3:$K$600&lt;$F$2+49)*('S26'!$H$3:$H$600))=0,"",SUMPRODUCT(('S26'!$K$3:$K$600&gt;=$F$2+42)*('S26'!$K$3:$K$600&lt;$F$2+49)*('S26'!$H$3:$H$600))),"")</f>
        <v>2627</v>
      </c>
      <c r="P31" s="32" t="s">
        <v>70</v>
      </c>
      <c r="Q31" s="34"/>
    </row>
    <row r="32">
      <c r="A32" s="35">
        <v>8.0</v>
      </c>
      <c r="B32" s="31">
        <f t="shared" si="1"/>
        <v>2717</v>
      </c>
      <c r="C32" s="14" t="str">
        <f>IFERROR(IF(SUMPRODUCT(('S24'!$K$3:$K$600&gt;=$B$2+49)*('S24'!$K$3:$K$600&lt;$B$2+56)*('S24'!$H$3:$H$600))=0,"",SUMPRODUCT(('S24'!$K$3:$K$600&gt;=$B$2+49)*('S24'!$K$3:$K$600&lt;$B$2+56)*('S24'!$H$3:$H$600))),"")</f>
        <v/>
      </c>
      <c r="D32" s="36" t="s">
        <v>71</v>
      </c>
      <c r="E32" s="37"/>
      <c r="F32" s="14">
        <f>IFERROR(IF(SUMPRODUCT(('F24'!$K$3:$K$600&gt;=$C$2+49)*('F24'!$K$3:$K$600&lt;$C$2+56)*('F24'!$H$3:$H$600))=0,"",SUMPRODUCT(('F24'!$K$3:$K$600&gt;=$C$2+49)*('F24'!$K$3:$K$600&lt;$C$2+56)*('F24'!$H$3:$H$600))),"")</f>
        <v>2343</v>
      </c>
      <c r="G32" s="36" t="s">
        <v>72</v>
      </c>
      <c r="H32" s="37"/>
      <c r="I32" s="14" t="str">
        <f>IFERROR(IF(SUMPRODUCT(('S25'!$K$3:$K$600&gt;=$D$2+49)*('S25'!$K$3:$K$600&lt;$D$2+56)*('S25'!$H$3:$H$600))=0,"",SUMPRODUCT(('S25'!$K$3:$K$600&gt;=$D$2+49)*('S25'!$K$3:$K$600&lt;$D$2+56)*('S25'!$H$3:$H$600))),"")</f>
        <v/>
      </c>
      <c r="J32" s="36" t="s">
        <v>73</v>
      </c>
      <c r="K32" s="37" t="s">
        <v>74</v>
      </c>
      <c r="L32" s="14">
        <f>IFERROR(IF(SUMPRODUCT(('F25'!$K$3:$K$600&gt;=$E$2+49)*('F25'!$K$3:$K$600&lt;$E$2+56)*('F25'!$H$3:$H$600))=0,"",SUMPRODUCT(('F25'!$K$3:$K$600&gt;=$E$2+49)*('F25'!$K$3:$K$600&lt;$E$2+56)*('F25'!$H$3:$H$600))),"")</f>
        <v>3078</v>
      </c>
      <c r="M32" s="36" t="s">
        <v>75</v>
      </c>
      <c r="N32" s="37"/>
      <c r="O32" s="14">
        <f>IFERROR(IF(SUMPRODUCT(('S26'!$K$3:$K$600&gt;=$F$2+49)*('S26'!$K$3:$K$600&lt;$F$2+56)*('S26'!$H$3:$H$600))=0,"",SUMPRODUCT(('S26'!$K$3:$K$600&gt;=$F$2+49)*('S26'!$K$3:$K$600&lt;$F$2+56)*('S26'!$H$3:$H$600))),"")</f>
        <v>2730</v>
      </c>
      <c r="P32" s="36" t="s">
        <v>76</v>
      </c>
      <c r="Q32" s="38"/>
    </row>
    <row r="33">
      <c r="A33" s="30">
        <v>9.0</v>
      </c>
      <c r="B33" s="31">
        <f t="shared" si="1"/>
        <v>2023.115</v>
      </c>
      <c r="C33" s="11">
        <f>IFERROR(IF(SUMPRODUCT(('S24'!$K$3:$K$600&gt;=$B$2+56)*('S24'!$K$3:$K$600&lt;$B$2+63)*('S24'!$H$3:$H$600))=0,"",SUMPRODUCT(('S24'!$K$3:$K$600&gt;=$B$2+56)*('S24'!$K$3:$K$600&lt;$B$2+63)*('S24'!$H$3:$H$600))),"")</f>
        <v>744.46</v>
      </c>
      <c r="D33" s="32" t="s">
        <v>77</v>
      </c>
      <c r="E33" s="33"/>
      <c r="F33" s="11">
        <f>IFERROR(IF(SUMPRODUCT(('F24'!$K$3:$K$600&gt;=$C$2+56)*('F24'!$K$3:$K$600&lt;$C$2+63)*('F24'!$H$3:$H$600))=0,"",SUMPRODUCT(('F24'!$K$3:$K$600&gt;=$C$2+56)*('F24'!$K$3:$K$600&lt;$C$2+63)*('F24'!$H$3:$H$600))),"")</f>
        <v>2007</v>
      </c>
      <c r="G33" s="32" t="s">
        <v>78</v>
      </c>
      <c r="H33" s="33"/>
      <c r="I33" s="11">
        <f>IFERROR(IF(SUMPRODUCT(('S25'!$K$3:$K$600&gt;=$D$2+56)*('S25'!$K$3:$K$600&lt;$D$2+63)*('S25'!$H$3:$H$600))=0,"",SUMPRODUCT(('S25'!$K$3:$K$600&gt;=$D$2+56)*('S25'!$K$3:$K$600&lt;$D$2+63)*('S25'!$H$3:$H$600))),"")</f>
        <v>2401</v>
      </c>
      <c r="J33" s="32" t="s">
        <v>79</v>
      </c>
      <c r="K33" s="33"/>
      <c r="L33" s="11">
        <f>IFERROR(IF(SUMPRODUCT(('F25'!$K$3:$K$600&gt;=$E$2+56)*('F25'!$K$3:$K$600&lt;$E$2+63)*('F25'!$H$3:$H$600))=0,"",SUMPRODUCT(('F25'!$K$3:$K$600&gt;=$E$2+56)*('F25'!$K$3:$K$600&lt;$E$2+63)*('F25'!$H$3:$H$600))),"")</f>
        <v>2940</v>
      </c>
      <c r="M33" s="32" t="s">
        <v>80</v>
      </c>
      <c r="N33" s="33"/>
      <c r="O33" s="11" t="str">
        <f>IFERROR(IF(SUMPRODUCT(('S26'!$K$3:$K$600&gt;=$F$2+56)*('S26'!$K$3:$K$600&lt;$F$2+63)*('S26'!$H$3:$H$600))=0,"",SUMPRODUCT(('S26'!$K$3:$K$600&gt;=$F$2+56)*('S26'!$K$3:$K$600&lt;$F$2+63)*('S26'!$H$3:$H$600))),"")</f>
        <v/>
      </c>
      <c r="P33" s="32" t="s">
        <v>81</v>
      </c>
      <c r="Q33" s="41" t="s">
        <v>74</v>
      </c>
    </row>
    <row r="34">
      <c r="A34" s="35">
        <v>10.0</v>
      </c>
      <c r="B34" s="31">
        <f t="shared" si="1"/>
        <v>2111.02</v>
      </c>
      <c r="C34" s="14">
        <f>IFERROR(IF(SUMPRODUCT(('S24'!$K$3:$K$600&gt;=$B$2+63)*('S24'!$K$3:$K$600&lt;$B$2+70)*('S24'!$H$3:$H$600))=0,"",SUMPRODUCT(('S24'!$K$3:$K$600&gt;=$B$2+63)*('S24'!$K$3:$K$600&lt;$B$2+70)*('S24'!$H$3:$H$600))),"")</f>
        <v>1473.1</v>
      </c>
      <c r="D34" s="36" t="s">
        <v>82</v>
      </c>
      <c r="E34" s="37"/>
      <c r="F34" s="14">
        <f>IFERROR(IF(SUMPRODUCT(('F24'!$K$3:$K$600&gt;=$C$2+63)*('F24'!$K$3:$K$600&lt;$C$2+70)*('F24'!$H$3:$H$600))=0,"",SUMPRODUCT(('F24'!$K$3:$K$600&gt;=$C$2+63)*('F24'!$K$3:$K$600&lt;$C$2+70)*('F24'!$H$3:$H$600))),"")</f>
        <v>1977</v>
      </c>
      <c r="G34" s="36" t="s">
        <v>83</v>
      </c>
      <c r="H34" s="37"/>
      <c r="I34" s="14">
        <f>IFERROR(IF(SUMPRODUCT(('S25'!$K$3:$K$600&gt;=$D$2+63)*('S25'!$K$3:$K$600&lt;$D$2+70)*('S25'!$H$3:$H$600))=0,"",SUMPRODUCT(('S25'!$K$3:$K$600&gt;=$D$2+63)*('S25'!$K$3:$K$600&lt;$D$2+70)*('S25'!$H$3:$H$600))),"")</f>
        <v>2181</v>
      </c>
      <c r="J34" s="36" t="s">
        <v>84</v>
      </c>
      <c r="K34" s="37"/>
      <c r="L34" s="14">
        <f>IFERROR(IF(SUMPRODUCT(('F25'!$K$3:$K$600&gt;=$E$2+63)*('F25'!$K$3:$K$600&lt;$E$2+70)*('F25'!$H$3:$H$600))=0,"",SUMPRODUCT(('F25'!$K$3:$K$600&gt;=$E$2+63)*('F25'!$K$3:$K$600&lt;$E$2+70)*('F25'!$H$3:$H$600))),"")</f>
        <v>2468</v>
      </c>
      <c r="M34" s="36" t="s">
        <v>85</v>
      </c>
      <c r="N34" s="37"/>
      <c r="O34" s="14">
        <f>IFERROR(IF(SUMPRODUCT(('S26'!$K$3:$K$600&gt;=$F$2+63)*('S26'!$K$3:$K$600&lt;$F$2+70)*('S26'!$H$3:$H$600))=0,"",SUMPRODUCT(('S26'!$K$3:$K$600&gt;=$F$2+63)*('S26'!$K$3:$K$600&lt;$F$2+70)*('S26'!$H$3:$H$600))),"")</f>
        <v>2456</v>
      </c>
      <c r="P34" s="36" t="s">
        <v>86</v>
      </c>
      <c r="Q34" s="38"/>
    </row>
    <row r="35">
      <c r="A35" s="30">
        <v>11.0</v>
      </c>
      <c r="B35" s="31">
        <f t="shared" si="1"/>
        <v>2227.6</v>
      </c>
      <c r="C35" s="11">
        <f>IFERROR(IF(SUMPRODUCT(('S24'!$K$3:$K$600&gt;=$B$2+70)*('S24'!$K$3:$K$600&lt;$B$2+77)*('S24'!$H$3:$H$600))=0,"",SUMPRODUCT(('S24'!$K$3:$K$600&gt;=$B$2+70)*('S24'!$K$3:$K$600&lt;$B$2+77)*('S24'!$H$3:$H$600))),"")</f>
        <v>877</v>
      </c>
      <c r="D35" s="32" t="s">
        <v>87</v>
      </c>
      <c r="E35" s="33"/>
      <c r="F35" s="11">
        <f>IFERROR(IF(SUMPRODUCT(('F24'!$K$3:$K$600&gt;=$C$2+70)*('F24'!$K$3:$K$600&lt;$C$2+77)*('F24'!$H$3:$H$600))=0,"",SUMPRODUCT(('F24'!$K$3:$K$600&gt;=$C$2+70)*('F24'!$K$3:$K$600&lt;$C$2+77)*('F24'!$H$3:$H$600))),"")</f>
        <v>2065</v>
      </c>
      <c r="G35" s="32" t="s">
        <v>88</v>
      </c>
      <c r="H35" s="33"/>
      <c r="I35" s="11">
        <f>IFERROR(IF(SUMPRODUCT(('S25'!$K$3:$K$600&gt;=$D$2+70)*('S25'!$K$3:$K$600&lt;$D$2+77)*('S25'!$H$3:$H$600))=0,"",SUMPRODUCT(('S25'!$K$3:$K$600&gt;=$D$2+70)*('S25'!$K$3:$K$600&lt;$D$2+77)*('S25'!$H$3:$H$600))),"")</f>
        <v>2134</v>
      </c>
      <c r="J35" s="32" t="s">
        <v>89</v>
      </c>
      <c r="K35" s="33"/>
      <c r="L35" s="11">
        <f>IFERROR(IF(SUMPRODUCT(('F25'!$K$3:$K$600&gt;=$E$2+70)*('F25'!$K$3:$K$600&lt;$E$2+77)*('F25'!$H$3:$H$600))=0,"",SUMPRODUCT(('F25'!$K$3:$K$600&gt;=$E$2+70)*('F25'!$K$3:$K$600&lt;$E$2+77)*('F25'!$H$3:$H$600))),"")</f>
        <v>3196</v>
      </c>
      <c r="M35" s="32" t="s">
        <v>90</v>
      </c>
      <c r="N35" s="33"/>
      <c r="O35" s="11">
        <f>IFERROR(IF(SUMPRODUCT(('S26'!$K$3:$K$600&gt;=$F$2+70)*('S26'!$K$3:$K$600&lt;$F$2+77)*('S26'!$H$3:$H$600))=0,"",SUMPRODUCT(('S26'!$K$3:$K$600&gt;=$F$2+70)*('S26'!$K$3:$K$600&lt;$F$2+77)*('S26'!$H$3:$H$600))),"")</f>
        <v>2866</v>
      </c>
      <c r="P35" s="32" t="s">
        <v>91</v>
      </c>
      <c r="Q35" s="34"/>
    </row>
    <row r="36">
      <c r="A36" s="35">
        <v>12.0</v>
      </c>
      <c r="B36" s="31">
        <f t="shared" si="1"/>
        <v>1567.88</v>
      </c>
      <c r="C36" s="14">
        <f>IFERROR(IF(SUMPRODUCT(('S24'!$K$3:$K$600&gt;=$B$2+77)*('S24'!$K$3:$K$600&lt;$B$2+84)*('S24'!$H$3:$H$600))=0,"",SUMPRODUCT(('S24'!$K$3:$K$600&gt;=$B$2+77)*('S24'!$K$3:$K$600&lt;$B$2+84)*('S24'!$H$3:$H$600))),"")</f>
        <v>1328.4</v>
      </c>
      <c r="D36" s="36" t="s">
        <v>92</v>
      </c>
      <c r="E36" s="37"/>
      <c r="F36" s="14">
        <f>IFERROR(IF(SUMPRODUCT(('F24'!$K$3:$K$600&gt;=$C$2+77)*('F24'!$K$3:$K$600&lt;$C$2+84)*('F24'!$H$3:$H$600))=0,"",SUMPRODUCT(('F24'!$K$3:$K$600&gt;=$C$2+77)*('F24'!$K$3:$K$600&lt;$C$2+84)*('F24'!$H$3:$H$600))),"")</f>
        <v>322</v>
      </c>
      <c r="G36" s="36" t="s">
        <v>93</v>
      </c>
      <c r="H36" s="39" t="s">
        <v>94</v>
      </c>
      <c r="I36" s="14">
        <f>IFERROR(IF(SUMPRODUCT(('S25'!$K$3:$K$600&gt;=$D$2+77)*('S25'!$K$3:$K$600&lt;$D$2+84)*('S25'!$H$3:$H$600))=0,"",SUMPRODUCT(('S25'!$K$3:$K$600&gt;=$D$2+77)*('S25'!$K$3:$K$600&lt;$D$2+84)*('S25'!$H$3:$H$600))),"")</f>
        <v>2389</v>
      </c>
      <c r="J36" s="36" t="s">
        <v>95</v>
      </c>
      <c r="K36" s="37"/>
      <c r="L36" s="14">
        <f>IFERROR(IF(SUMPRODUCT(('F25'!$K$3:$K$600&gt;=$E$2+77)*('F25'!$K$3:$K$600&lt;$E$2+84)*('F25'!$H$3:$H$600))=0,"",SUMPRODUCT(('F25'!$K$3:$K$600&gt;=$E$2+77)*('F25'!$K$3:$K$600&lt;$E$2+84)*('F25'!$H$3:$H$600))),"")</f>
        <v>674</v>
      </c>
      <c r="M36" s="36" t="s">
        <v>96</v>
      </c>
      <c r="N36" s="39" t="s">
        <v>94</v>
      </c>
      <c r="O36" s="14">
        <f>IFERROR(IF(SUMPRODUCT(('S26'!$K$3:$K$600&gt;=$F$2+77)*('S26'!$K$3:$K$600&lt;$F$2+84)*('S26'!$H$3:$H$600))=0,"",SUMPRODUCT(('S26'!$K$3:$K$600&gt;=$F$2+77)*('S26'!$K$3:$K$600&lt;$F$2+84)*('S26'!$H$3:$H$600))),"")</f>
        <v>3126</v>
      </c>
      <c r="P36" s="36" t="s">
        <v>97</v>
      </c>
      <c r="Q36" s="38"/>
    </row>
    <row r="37">
      <c r="A37" s="30">
        <v>13.0</v>
      </c>
      <c r="B37" s="31">
        <f t="shared" si="1"/>
        <v>2323.58</v>
      </c>
      <c r="C37" s="11">
        <f>IFERROR(IF(SUMPRODUCT(('S24'!$K$3:$K$600&gt;=$B$2+84)*('S24'!$K$3:$K$600&lt;$B$2+91)*('S24'!$H$3:$H$600))=0,"",SUMPRODUCT(('S24'!$K$3:$K$600&gt;=$B$2+84)*('S24'!$K$3:$K$600&lt;$B$2+91)*('S24'!$H$3:$H$600))),"")</f>
        <v>1418.9</v>
      </c>
      <c r="D37" s="32" t="s">
        <v>98</v>
      </c>
      <c r="E37" s="33"/>
      <c r="F37" s="11">
        <f>IFERROR(IF(SUMPRODUCT(('F24'!$K$3:$K$600&gt;=$C$2+84)*('F24'!$K$3:$K$600&lt;$C$2+91)*('F24'!$H$3:$H$600))=0,"",SUMPRODUCT(('F24'!$K$3:$K$600&gt;=$C$2+84)*('F24'!$K$3:$K$600&lt;$C$2+91)*('F24'!$H$3:$H$600))),"")</f>
        <v>2408</v>
      </c>
      <c r="G37" s="32" t="s">
        <v>99</v>
      </c>
      <c r="H37" s="33"/>
      <c r="I37" s="11">
        <f>IFERROR(IF(SUMPRODUCT(('S25'!$K$3:$K$600&gt;=$D$2+84)*('S25'!$K$3:$K$600&lt;$D$2+91)*('S25'!$H$3:$H$600))=0,"",SUMPRODUCT(('S25'!$K$3:$K$600&gt;=$D$2+84)*('S25'!$K$3:$K$600&lt;$D$2+91)*('S25'!$H$3:$H$600))),"")</f>
        <v>2647</v>
      </c>
      <c r="J37" s="32" t="s">
        <v>100</v>
      </c>
      <c r="K37" s="33"/>
      <c r="L37" s="11">
        <f>IFERROR(IF(SUMPRODUCT(('F25'!$K$3:$K$600&gt;=$E$2+84)*('F25'!$K$3:$K$600&lt;$E$2+91)*('F25'!$H$3:$H$600))=0,"",SUMPRODUCT(('F25'!$K$3:$K$600&gt;=$E$2+84)*('F25'!$K$3:$K$600&lt;$E$2+91)*('F25'!$H$3:$H$600))),"")</f>
        <v>2701</v>
      </c>
      <c r="M37" s="32" t="s">
        <v>101</v>
      </c>
      <c r="N37" s="33"/>
      <c r="O37" s="11">
        <f>IFERROR(IF(SUMPRODUCT(('S26'!$K$3:$K$600&gt;=$F$2+84)*('S26'!$K$3:$K$600&lt;$F$2+91)*('S26'!$H$3:$H$600))=0,"",SUMPRODUCT(('S26'!$K$3:$K$600&gt;=$F$2+84)*('S26'!$K$3:$K$600&lt;$F$2+91)*('S26'!$H$3:$H$600))),"")</f>
        <v>2443</v>
      </c>
      <c r="P37" s="32" t="s">
        <v>102</v>
      </c>
      <c r="Q37" s="34"/>
    </row>
    <row r="38">
      <c r="A38" s="42">
        <v>14.0</v>
      </c>
      <c r="B38" s="43">
        <f t="shared" si="1"/>
        <v>1599.4</v>
      </c>
      <c r="C38" s="25">
        <f>IFERROR(IF(SUMPRODUCT(('S24'!$K$3:$K$600&gt;=$B$2+91)*('S24'!$K$3:$K$600&lt;$B$2+98)*('S24'!$H$3:$H$600))=0,"",SUMPRODUCT(('S24'!$K$3:$K$600&gt;=$B$2+91)*('S24'!$K$3:$K$600&lt;$B$2+98)*('S24'!$H$3:$H$600))),"")</f>
        <v>1116</v>
      </c>
      <c r="D38" s="44" t="s">
        <v>103</v>
      </c>
      <c r="E38" s="45"/>
      <c r="F38" s="25">
        <f>IFERROR(IF(SUMPRODUCT(('F24'!$K$3:$K$600&gt;=$C$2+91)*('F24'!$K$3:$K$600&lt;$C$2+98)*('F24'!$H$3:$H$600))=0,"",SUMPRODUCT(('F24'!$K$3:$K$600&gt;=$C$2+91)*('F24'!$K$3:$K$600&lt;$C$2+98)*('F24'!$H$3:$H$600))),"")</f>
        <v>1577</v>
      </c>
      <c r="G38" s="44" t="s">
        <v>104</v>
      </c>
      <c r="H38" s="45"/>
      <c r="I38" s="25">
        <f>IFERROR(IF(SUMPRODUCT(('S25'!$K$3:$K$600&gt;=$D$2+91)*('S25'!$K$3:$K$600&lt;$D$2+98)*('S25'!$H$3:$H$600))=0,"",SUMPRODUCT(('S25'!$K$3:$K$600&gt;=$D$2+91)*('S25'!$K$3:$K$600&lt;$D$2+98)*('S25'!$H$3:$H$600))),"")</f>
        <v>2700</v>
      </c>
      <c r="J38" s="44" t="s">
        <v>105</v>
      </c>
      <c r="K38" s="45"/>
      <c r="L38" s="25">
        <f>IFERROR(IF(SUMPRODUCT(('F25'!$K$3:$K$600&gt;=$E$2+91)*('F25'!$K$3:$K$600&lt;$E$2+98)*('F25'!$H$3:$H$600))=0,"",SUMPRODUCT(('F25'!$K$3:$K$600&gt;=$E$2+91)*('F25'!$K$3:$K$600&lt;$E$2+98)*('F25'!$H$3:$H$600))),"")</f>
        <v>1469</v>
      </c>
      <c r="M38" s="44" t="s">
        <v>106</v>
      </c>
      <c r="N38" s="45"/>
      <c r="O38" s="25">
        <f>IFERROR(IF(SUMPRODUCT(('S26'!$K$3:$K$600&gt;=$F$2+91)*('S26'!$K$3:$K$600&lt;$F$2+98)*('S26'!$H$3:$H$600))=0,"",SUMPRODUCT(('S26'!$K$3:$K$600&gt;=$F$2+91)*('S26'!$K$3:$K$600&lt;$F$2+98)*('S26'!$H$3:$H$600))),"")</f>
        <v>1135</v>
      </c>
      <c r="P38" s="44" t="s">
        <v>107</v>
      </c>
      <c r="Q38" s="46"/>
    </row>
    <row r="39" ht="10.5" customHeight="1">
      <c r="A39" s="19" t="s">
        <v>108</v>
      </c>
    </row>
    <row r="40" ht="3.75" customHeight="1">
      <c r="A40" s="20"/>
      <c r="B40" s="20"/>
      <c r="C40" s="20"/>
      <c r="D40" s="20"/>
      <c r="E40" s="20"/>
      <c r="F40" s="20"/>
      <c r="G40" s="20"/>
      <c r="H40" s="20"/>
      <c r="I40" s="20"/>
    </row>
    <row r="41" ht="16.5" customHeight="1">
      <c r="A41" s="5" t="s">
        <v>109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3.5" customHeight="1">
      <c r="B42" s="47" t="s">
        <v>110</v>
      </c>
      <c r="G42" s="47" t="s">
        <v>111</v>
      </c>
    </row>
    <row r="43" ht="18.0" customHeight="1">
      <c r="A43" s="7" t="s">
        <v>22</v>
      </c>
      <c r="B43" s="8" t="s">
        <v>1</v>
      </c>
      <c r="C43" s="8" t="s">
        <v>2</v>
      </c>
      <c r="D43" s="8" t="s">
        <v>3</v>
      </c>
      <c r="E43" s="8" t="s">
        <v>4</v>
      </c>
      <c r="F43" s="8" t="s">
        <v>9</v>
      </c>
      <c r="G43" s="8" t="s">
        <v>1</v>
      </c>
      <c r="H43" s="8" t="s">
        <v>2</v>
      </c>
      <c r="I43" s="8" t="s">
        <v>3</v>
      </c>
      <c r="J43" s="8" t="s">
        <v>4</v>
      </c>
      <c r="K43" s="9" t="s">
        <v>9</v>
      </c>
    </row>
    <row r="44">
      <c r="A44" s="48">
        <v>45313.0</v>
      </c>
      <c r="B44" s="11" t="str">
        <f>IFERROR(IF(SUMPRODUCT(('S24'!$K$3:$K$600&gt;=$B$2+0)*('S24'!$K$3:$K$600&lt;$B$2+7)*('S24'!$H$3:$H$600))=0,"",SUMPRODUCT(('S24'!$K$3:$K$600&gt;=$B$2+0)*('S24'!$K$3:$K$600&lt;$B$2+7)*('S24'!$H$3:$H$600))),"")</f>
        <v/>
      </c>
      <c r="C44" s="11"/>
      <c r="D44" s="11"/>
      <c r="E44" s="11"/>
      <c r="F44" s="11"/>
      <c r="G44" s="11" t="str">
        <f>IFERROR(IF(SUMPRODUCT(('S24'!$K$3:$K$600&gt;=$B$2+0)*('S24'!$K$3:$K$600&lt;$B$2+7)*('S24'!$H$3:$H$600))=0,"",SUMPRODUCT(('S24'!$K$3:$K$600&gt;=$B$2+0)*('S24'!$K$3:$K$600&lt;$B$2+7)*('S24'!$H$3:$H$600))),"")</f>
        <v/>
      </c>
      <c r="H44" s="11"/>
      <c r="I44" s="11"/>
      <c r="J44" s="11"/>
      <c r="K44" s="12"/>
    </row>
    <row r="45">
      <c r="A45" s="49">
        <v>45320.0</v>
      </c>
      <c r="B45" s="14" t="str">
        <f>IFERROR(IF(SUMPRODUCT(('S24'!$K$3:$K$600&gt;=$B$2+0)*('S24'!$K$3:$K$600&lt;$B$2+14)*('S24'!$H$3:$H$600))=0,"",SUMPRODUCT(('S24'!$K$3:$K$600&gt;=$B$2+0)*('S24'!$K$3:$K$600&lt;$B$2+14)*('S24'!$H$3:$H$600))),"")</f>
        <v/>
      </c>
      <c r="C45" s="14"/>
      <c r="D45" s="14"/>
      <c r="E45" s="14"/>
      <c r="F45" s="14"/>
      <c r="G45" s="14" t="str">
        <f>IFERROR(IF(SUMPRODUCT(('S24'!$K$3:$K$600&gt;=$B$2+7)*('S24'!$K$3:$K$600&lt;$B$2+14)*('S24'!$H$3:$H$600))=0,"",SUMPRODUCT(('S24'!$K$3:$K$600&gt;=$B$2+7)*('S24'!$K$3:$K$600&lt;$B$2+14)*('S24'!$H$3:$H$600))),"")</f>
        <v/>
      </c>
      <c r="H45" s="14"/>
      <c r="I45" s="14"/>
      <c r="J45" s="14"/>
      <c r="K45" s="15"/>
    </row>
    <row r="46">
      <c r="A46" s="48">
        <v>45327.0</v>
      </c>
      <c r="B46" s="11" t="str">
        <f>IFERROR(IF(SUMPRODUCT(('S24'!$K$3:$K$600&gt;=$B$2+0)*('S24'!$K$3:$K$600&lt;$B$2+21)*('S24'!$H$3:$H$600))=0,"",SUMPRODUCT(('S24'!$K$3:$K$600&gt;=$B$2+0)*('S24'!$K$3:$K$600&lt;$B$2+21)*('S24'!$H$3:$H$600))),"")</f>
        <v/>
      </c>
      <c r="C46" s="11"/>
      <c r="D46" s="11"/>
      <c r="E46" s="11"/>
      <c r="F46" s="11"/>
      <c r="G46" s="11" t="str">
        <f>IFERROR(IF(SUMPRODUCT(('S24'!$K$3:$K$600&gt;=$B$2+14)*('S24'!$K$3:$K$600&lt;$B$2+21)*('S24'!$H$3:$H$600))=0,"",SUMPRODUCT(('S24'!$K$3:$K$600&gt;=$B$2+14)*('S24'!$K$3:$K$600&lt;$B$2+21)*('S24'!$H$3:$H$600))),"")</f>
        <v/>
      </c>
      <c r="H46" s="11"/>
      <c r="I46" s="11"/>
      <c r="J46" s="11"/>
      <c r="K46" s="12"/>
    </row>
    <row r="47">
      <c r="A47" s="49">
        <v>45334.0</v>
      </c>
      <c r="B47" s="14" t="str">
        <f>IFERROR(IF(SUMPRODUCT(('S24'!$K$3:$K$600&gt;=$B$2+0)*('S24'!$K$3:$K$600&lt;$B$2+28)*('S24'!$H$3:$H$600))=0,"",SUMPRODUCT(('S24'!$K$3:$K$600&gt;=$B$2+0)*('S24'!$K$3:$K$600&lt;$B$2+28)*('S24'!$H$3:$H$600))),"")</f>
        <v/>
      </c>
      <c r="C47" s="14"/>
      <c r="D47" s="14"/>
      <c r="E47" s="14"/>
      <c r="F47" s="14"/>
      <c r="G47" s="14" t="str">
        <f>IFERROR(IF(SUMPRODUCT(('S24'!$K$3:$K$600&gt;=$B$2+21)*('S24'!$K$3:$K$600&lt;$B$2+28)*('S24'!$H$3:$H$600))=0,"",SUMPRODUCT(('S24'!$K$3:$K$600&gt;=$B$2+21)*('S24'!$K$3:$K$600&lt;$B$2+28)*('S24'!$H$3:$H$600))),"")</f>
        <v/>
      </c>
      <c r="H47" s="14"/>
      <c r="I47" s="14"/>
      <c r="J47" s="14"/>
      <c r="K47" s="15"/>
    </row>
    <row r="48">
      <c r="A48" s="48">
        <v>45341.0</v>
      </c>
      <c r="B48" s="11" t="str">
        <f>IFERROR(IF(SUMPRODUCT(('S24'!$K$3:$K$600&gt;=$B$2+0)*('S24'!$K$3:$K$600&lt;$B$2+35)*('S24'!$H$3:$H$600))=0,"",SUMPRODUCT(('S24'!$K$3:$K$600&gt;=$B$2+0)*('S24'!$K$3:$K$600&lt;$B$2+35)*('S24'!$H$3:$H$600))),"")</f>
        <v/>
      </c>
      <c r="C48" s="11"/>
      <c r="D48" s="11"/>
      <c r="E48" s="11"/>
      <c r="F48" s="11"/>
      <c r="G48" s="11" t="str">
        <f>IFERROR(IF(SUMPRODUCT(('S24'!$K$3:$K$600&gt;=$B$2+28)*('S24'!$K$3:$K$600&lt;$B$2+35)*('S24'!$H$3:$H$600))=0,"",SUMPRODUCT(('S24'!$K$3:$K$600&gt;=$B$2+28)*('S24'!$K$3:$K$600&lt;$B$2+35)*('S24'!$H$3:$H$600))),"")</f>
        <v/>
      </c>
      <c r="H48" s="11"/>
      <c r="I48" s="11"/>
      <c r="J48" s="11"/>
      <c r="K48" s="12"/>
    </row>
    <row r="49">
      <c r="A49" s="49">
        <v>45348.0</v>
      </c>
      <c r="B49" s="14" t="str">
        <f>IFERROR(IF(SUMPRODUCT(('S24'!$K$3:$K$600&gt;=$B$2+0)*('S24'!$K$3:$K$600&lt;$B$2+42)*('S24'!$H$3:$H$600))=0,"",SUMPRODUCT(('S24'!$K$3:$K$600&gt;=$B$2+0)*('S24'!$K$3:$K$600&lt;$B$2+42)*('S24'!$H$3:$H$600))),"")</f>
        <v/>
      </c>
      <c r="C49" s="14"/>
      <c r="D49" s="14"/>
      <c r="E49" s="14"/>
      <c r="F49" s="14"/>
      <c r="G49" s="14" t="str">
        <f>IFERROR(IF(SUMPRODUCT(('S24'!$K$3:$K$600&gt;=$B$2+35)*('S24'!$K$3:$K$600&lt;$B$2+42)*('S24'!$H$3:$H$600))=0,"",SUMPRODUCT(('S24'!$K$3:$K$600&gt;=$B$2+35)*('S24'!$K$3:$K$600&lt;$B$2+42)*('S24'!$H$3:$H$600))),"")</f>
        <v/>
      </c>
      <c r="H49" s="14"/>
      <c r="I49" s="14"/>
      <c r="J49" s="14"/>
      <c r="K49" s="15"/>
    </row>
    <row r="50">
      <c r="A50" s="48">
        <v>45355.0</v>
      </c>
      <c r="B50" s="11" t="str">
        <f>IFERROR(IF(SUMPRODUCT(('S24'!$K$3:$K$600&gt;=$B$2+0)*('S24'!$K$3:$K$600&lt;$B$2+49)*('S24'!$H$3:$H$600))=0,"",SUMPRODUCT(('S24'!$K$3:$K$600&gt;=$B$2+0)*('S24'!$K$3:$K$600&lt;$B$2+49)*('S24'!$H$3:$H$600))),"")</f>
        <v/>
      </c>
      <c r="C50" s="11"/>
      <c r="D50" s="11"/>
      <c r="E50" s="11"/>
      <c r="F50" s="11"/>
      <c r="G50" s="11" t="str">
        <f>IFERROR(IF(SUMPRODUCT(('S24'!$K$3:$K$600&gt;=$B$2+42)*('S24'!$K$3:$K$600&lt;$B$2+49)*('S24'!$H$3:$H$600))=0,"",SUMPRODUCT(('S24'!$K$3:$K$600&gt;=$B$2+42)*('S24'!$K$3:$K$600&lt;$B$2+49)*('S24'!$H$3:$H$600))),"")</f>
        <v/>
      </c>
      <c r="H50" s="11"/>
      <c r="I50" s="11"/>
      <c r="J50" s="11"/>
      <c r="K50" s="12"/>
    </row>
    <row r="51">
      <c r="A51" s="49">
        <v>45362.0</v>
      </c>
      <c r="B51" s="14" t="str">
        <f>IFERROR(IF(SUMPRODUCT(('S24'!$K$3:$K$600&gt;=$B$2+0)*('S24'!$K$3:$K$600&lt;$B$2+56)*('S24'!$H$3:$H$600))=0,"",SUMPRODUCT(('S24'!$K$3:$K$600&gt;=$B$2+0)*('S24'!$K$3:$K$600&lt;$B$2+56)*('S24'!$H$3:$H$600))),"")</f>
        <v/>
      </c>
      <c r="C51" s="14"/>
      <c r="D51" s="14"/>
      <c r="E51" s="14"/>
      <c r="F51" s="14"/>
      <c r="G51" s="14" t="str">
        <f>IFERROR(IF(SUMPRODUCT(('S24'!$K$3:$K$600&gt;=$B$2+49)*('S24'!$K$3:$K$600&lt;$B$2+56)*('S24'!$H$3:$H$600))=0,"",SUMPRODUCT(('S24'!$K$3:$K$600&gt;=$B$2+49)*('S24'!$K$3:$K$600&lt;$B$2+56)*('S24'!$H$3:$H$600))),"")</f>
        <v/>
      </c>
      <c r="H51" s="14"/>
      <c r="I51" s="14"/>
      <c r="J51" s="14"/>
      <c r="K51" s="15"/>
    </row>
    <row r="52">
      <c r="A52" s="48">
        <v>45369.0</v>
      </c>
      <c r="B52" s="11">
        <f>IFERROR(IF(SUMPRODUCT(('S24'!$K$3:$K$600&gt;=$B$2+0)*('S24'!$K$3:$K$600&lt;$B$2+63)*('S24'!$H$3:$H$600))=0,"",SUMPRODUCT(('S24'!$K$3:$K$600&gt;=$B$2+0)*('S24'!$K$3:$K$600&lt;$B$2+63)*('S24'!$H$3:$H$600))),"")</f>
        <v>744.46</v>
      </c>
      <c r="C52" s="11"/>
      <c r="D52" s="11"/>
      <c r="E52" s="11"/>
      <c r="F52" s="11"/>
      <c r="G52" s="11">
        <f>IFERROR(IF(SUMPRODUCT(('S24'!$K$3:$K$600&gt;=$B$2+56)*('S24'!$K$3:$K$600&lt;$B$2+63)*('S24'!$H$3:$H$600))=0,"",SUMPRODUCT(('S24'!$K$3:$K$600&gt;=$B$2+56)*('S24'!$K$3:$K$600&lt;$B$2+63)*('S24'!$H$3:$H$600))),"")</f>
        <v>744.46</v>
      </c>
      <c r="H52" s="11"/>
      <c r="I52" s="11"/>
      <c r="J52" s="11"/>
      <c r="K52" s="12"/>
    </row>
    <row r="53">
      <c r="A53" s="49">
        <v>45376.0</v>
      </c>
      <c r="B53" s="14">
        <f>IFERROR(IF(SUMPRODUCT(('S24'!$K$3:$K$600&gt;=$B$2+0)*('S24'!$K$3:$K$600&lt;$B$2+70)*('S24'!$H$3:$H$600))=0,"",SUMPRODUCT(('S24'!$K$3:$K$600&gt;=$B$2+0)*('S24'!$K$3:$K$600&lt;$B$2+70)*('S24'!$H$3:$H$600))),"")</f>
        <v>2217.56</v>
      </c>
      <c r="C53" s="14"/>
      <c r="D53" s="14"/>
      <c r="E53" s="14"/>
      <c r="F53" s="14"/>
      <c r="G53" s="14">
        <f>IFERROR(IF(SUMPRODUCT(('S24'!$K$3:$K$600&gt;=$B$2+63)*('S24'!$K$3:$K$600&lt;$B$2+70)*('S24'!$H$3:$H$600))=0,"",SUMPRODUCT(('S24'!$K$3:$K$600&gt;=$B$2+63)*('S24'!$K$3:$K$600&lt;$B$2+70)*('S24'!$H$3:$H$600))),"")</f>
        <v>1473.1</v>
      </c>
      <c r="H53" s="14"/>
      <c r="I53" s="14"/>
      <c r="J53" s="14"/>
      <c r="K53" s="15"/>
    </row>
    <row r="54">
      <c r="A54" s="48">
        <v>45383.0</v>
      </c>
      <c r="B54" s="11">
        <f>IFERROR(IF(SUMPRODUCT(('S24'!$K$3:$K$600&gt;=$B$2+0)*('S24'!$K$3:$K$600&lt;$B$2+77)*('S24'!$H$3:$H$600))=0,"",SUMPRODUCT(('S24'!$K$3:$K$600&gt;=$B$2+0)*('S24'!$K$3:$K$600&lt;$B$2+77)*('S24'!$H$3:$H$600))),"")</f>
        <v>3094.56</v>
      </c>
      <c r="C54" s="11"/>
      <c r="D54" s="11"/>
      <c r="E54" s="11"/>
      <c r="F54" s="11"/>
      <c r="G54" s="11">
        <f>IFERROR(IF(SUMPRODUCT(('S24'!$K$3:$K$600&gt;=$B$2+70)*('S24'!$K$3:$K$600&lt;$B$2+77)*('S24'!$H$3:$H$600))=0,"",SUMPRODUCT(('S24'!$K$3:$K$600&gt;=$B$2+70)*('S24'!$K$3:$K$600&lt;$B$2+77)*('S24'!$H$3:$H$600))),"")</f>
        <v>877</v>
      </c>
      <c r="H54" s="11"/>
      <c r="I54" s="11"/>
      <c r="J54" s="11"/>
      <c r="K54" s="12"/>
    </row>
    <row r="55">
      <c r="A55" s="49">
        <v>45390.0</v>
      </c>
      <c r="B55" s="14">
        <f>IFERROR(IF(SUMPRODUCT(('S24'!$K$3:$K$600&gt;=$B$2+0)*('S24'!$K$3:$K$600&lt;$B$2+84)*('S24'!$H$3:$H$600))=0,"",SUMPRODUCT(('S24'!$K$3:$K$600&gt;=$B$2+0)*('S24'!$K$3:$K$600&lt;$B$2+84)*('S24'!$H$3:$H$600))),"")</f>
        <v>4422.96</v>
      </c>
      <c r="C55" s="14"/>
      <c r="D55" s="14"/>
      <c r="E55" s="14"/>
      <c r="F55" s="14"/>
      <c r="G55" s="14">
        <f>IFERROR(IF(SUMPRODUCT(('S24'!$K$3:$K$600&gt;=$B$2+77)*('S24'!$K$3:$K$600&lt;$B$2+84)*('S24'!$H$3:$H$600))=0,"",SUMPRODUCT(('S24'!$K$3:$K$600&gt;=$B$2+77)*('S24'!$K$3:$K$600&lt;$B$2+84)*('S24'!$H$3:$H$600))),"")</f>
        <v>1328.4</v>
      </c>
      <c r="H55" s="14"/>
      <c r="I55" s="14"/>
      <c r="J55" s="14"/>
      <c r="K55" s="15"/>
    </row>
    <row r="56">
      <c r="A56" s="48">
        <v>45397.0</v>
      </c>
      <c r="B56" s="11">
        <f>IFERROR(IF(SUMPRODUCT(('S24'!$K$3:$K$600&gt;=$B$2+0)*('S24'!$K$3:$K$600&lt;$B$2+91)*('S24'!$H$3:$H$600))=0,"",SUMPRODUCT(('S24'!$K$3:$K$600&gt;=$B$2+0)*('S24'!$K$3:$K$600&lt;$B$2+91)*('S24'!$H$3:$H$600))),"")</f>
        <v>5841.86</v>
      </c>
      <c r="C56" s="11"/>
      <c r="D56" s="11"/>
      <c r="E56" s="11"/>
      <c r="F56" s="11"/>
      <c r="G56" s="11">
        <f>IFERROR(IF(SUMPRODUCT(('S24'!$K$3:$K$600&gt;=$B$2+84)*('S24'!$K$3:$K$600&lt;$B$2+91)*('S24'!$H$3:$H$600))=0,"",SUMPRODUCT(('S24'!$K$3:$K$600&gt;=$B$2+84)*('S24'!$K$3:$K$600&lt;$B$2+91)*('S24'!$H$3:$H$600))),"")</f>
        <v>1418.9</v>
      </c>
      <c r="H56" s="11"/>
      <c r="I56" s="11"/>
      <c r="J56" s="11"/>
      <c r="K56" s="12"/>
    </row>
    <row r="57">
      <c r="A57" s="49">
        <v>45404.0</v>
      </c>
      <c r="B57" s="14">
        <f>IFERROR(IF(SUMPRODUCT(('S24'!$K$3:$K$600&gt;=$B$2+0)*('S24'!$K$3:$K$600&lt;$B$2+98)*('S24'!$H$3:$H$600))=0,"",SUMPRODUCT(('S24'!$K$3:$K$600&gt;=$B$2+0)*('S24'!$K$3:$K$600&lt;$B$2+98)*('S24'!$H$3:$H$600))),"")</f>
        <v>6957.86</v>
      </c>
      <c r="C57" s="14"/>
      <c r="D57" s="14"/>
      <c r="E57" s="14"/>
      <c r="F57" s="14"/>
      <c r="G57" s="14">
        <f>IFERROR(IF(SUMPRODUCT(('S24'!$K$3:$K$600&gt;=$B$2+91)*('S24'!$K$3:$K$600&lt;$B$2+98)*('S24'!$H$3:$H$600))=0,"",SUMPRODUCT(('S24'!$K$3:$K$600&gt;=$B$2+91)*('S24'!$K$3:$K$600&lt;$B$2+98)*('S24'!$H$3:$H$600))),"")</f>
        <v>1116</v>
      </c>
      <c r="H57" s="14"/>
      <c r="I57" s="14"/>
      <c r="J57" s="14"/>
      <c r="K57" s="15"/>
    </row>
    <row r="58">
      <c r="A58" s="48">
        <v>45544.0</v>
      </c>
      <c r="B58" s="11"/>
      <c r="C58" s="11">
        <f>IFERROR(IF(SUM('S24'!$H:$H)+SUMPRODUCT(('F24'!$K$3:$K$600&gt;=$C$2+0)*('F24'!$K$3:$K$600&lt;$C$2+7)*('F24'!$H$3:$H$600))=0,"",SUM('S24'!$H:$H)+SUMPRODUCT(('F24'!$K$3:$K$600&gt;=$C$2+0)*('F24'!$K$3:$K$600&lt;$C$2+7)*('F24'!$H$3:$H$600))),"")</f>
        <v>8189.86</v>
      </c>
      <c r="D58" s="11"/>
      <c r="E58" s="11"/>
      <c r="F58" s="11"/>
      <c r="G58" s="11"/>
      <c r="H58" s="11">
        <f>IFERROR(IF(SUMPRODUCT(('F24'!$K$3:$K$600&gt;=$C$2+0)*('F24'!$K$3:$K$600&lt;$C$2+7)*('F24'!$H$3:$H$600))=0,"",SUMPRODUCT(('F24'!$K$3:$K$600&gt;=$C$2+0)*('F24'!$K$3:$K$600&lt;$C$2+7)*('F24'!$H$3:$H$600))),"")</f>
        <v>1079</v>
      </c>
      <c r="I58" s="11"/>
      <c r="J58" s="11"/>
      <c r="K58" s="12"/>
    </row>
    <row r="59">
      <c r="A59" s="49">
        <v>45551.0</v>
      </c>
      <c r="B59" s="14"/>
      <c r="C59" s="14">
        <f>IFERROR(IF(SUM('S24'!$H:$H)+SUMPRODUCT(('F24'!$K$3:$K$600&gt;=$C$2+0)*('F24'!$K$3:$K$600&lt;$C$2+14)*('F24'!$H$3:$H$600))=0,"",SUM('S24'!$H:$H)+SUMPRODUCT(('F24'!$K$3:$K$600&gt;=$C$2+0)*('F24'!$K$3:$K$600&lt;$C$2+14)*('F24'!$H$3:$H$600))),"")</f>
        <v>9823.86</v>
      </c>
      <c r="D59" s="14"/>
      <c r="E59" s="14"/>
      <c r="F59" s="14"/>
      <c r="G59" s="14"/>
      <c r="H59" s="14">
        <f>IFERROR(IF(SUMPRODUCT(('F24'!$K$3:$K$600&gt;=$C$2+7)*('F24'!$K$3:$K$600&lt;$C$2+14)*('F24'!$H$3:$H$600))=0,"",SUMPRODUCT(('F24'!$K$3:$K$600&gt;=$C$2+7)*('F24'!$K$3:$K$600&lt;$C$2+14)*('F24'!$H$3:$H$600))),"")</f>
        <v>1634</v>
      </c>
      <c r="I59" s="14"/>
      <c r="J59" s="14"/>
      <c r="K59" s="15"/>
    </row>
    <row r="60">
      <c r="A60" s="48">
        <v>45558.0</v>
      </c>
      <c r="B60" s="11"/>
      <c r="C60" s="11">
        <f>IFERROR(IF(SUM('S24'!$H:$H)+SUMPRODUCT(('F24'!$K$3:$K$600&gt;=$C$2+0)*('F24'!$K$3:$K$600&lt;$C$2+21)*('F24'!$H$3:$H$600))=0,"",SUM('S24'!$H:$H)+SUMPRODUCT(('F24'!$K$3:$K$600&gt;=$C$2+0)*('F24'!$K$3:$K$600&lt;$C$2+21)*('F24'!$H$3:$H$600))),"")</f>
        <v>11325.86</v>
      </c>
      <c r="D60" s="11"/>
      <c r="E60" s="11"/>
      <c r="F60" s="11"/>
      <c r="G60" s="11"/>
      <c r="H60" s="11">
        <f>IFERROR(IF(SUMPRODUCT(('F24'!$K$3:$K$600&gt;=$C$2+14)*('F24'!$K$3:$K$600&lt;$C$2+21)*('F24'!$H$3:$H$600))=0,"",SUMPRODUCT(('F24'!$K$3:$K$600&gt;=$C$2+14)*('F24'!$K$3:$K$600&lt;$C$2+21)*('F24'!$H$3:$H$600))),"")</f>
        <v>1502</v>
      </c>
      <c r="I60" s="11"/>
      <c r="J60" s="11"/>
      <c r="K60" s="12"/>
    </row>
    <row r="61">
      <c r="A61" s="49">
        <v>45565.0</v>
      </c>
      <c r="B61" s="14"/>
      <c r="C61" s="14">
        <f>IFERROR(IF(SUM('S24'!$H:$H)+SUMPRODUCT(('F24'!$K$3:$K$600&gt;=$C$2+0)*('F24'!$K$3:$K$600&lt;$C$2+28)*('F24'!$H$3:$H$600))=0,"",SUM('S24'!$H:$H)+SUMPRODUCT(('F24'!$K$3:$K$600&gt;=$C$2+0)*('F24'!$K$3:$K$600&lt;$C$2+28)*('F24'!$H$3:$H$600))),"")</f>
        <v>13846.86</v>
      </c>
      <c r="D61" s="14"/>
      <c r="E61" s="14"/>
      <c r="F61" s="14"/>
      <c r="G61" s="14"/>
      <c r="H61" s="14">
        <f>IFERROR(IF(SUMPRODUCT(('F24'!$K$3:$K$600&gt;=$C$2+21)*('F24'!$K$3:$K$600&lt;$C$2+28)*('F24'!$H$3:$H$600))=0,"",SUMPRODUCT(('F24'!$K$3:$K$600&gt;=$C$2+21)*('F24'!$K$3:$K$600&lt;$C$2+28)*('F24'!$H$3:$H$600))),"")</f>
        <v>2521</v>
      </c>
      <c r="I61" s="14"/>
      <c r="J61" s="14"/>
      <c r="K61" s="15"/>
    </row>
    <row r="62">
      <c r="A62" s="48">
        <v>45572.0</v>
      </c>
      <c r="B62" s="11"/>
      <c r="C62" s="11">
        <f>IFERROR(IF(SUM('S24'!$H:$H)+SUMPRODUCT(('F24'!$K$3:$K$600&gt;=$C$2+0)*('F24'!$K$3:$K$600&lt;$C$2+35)*('F24'!$H$3:$H$600))=0,"",SUM('S24'!$H:$H)+SUMPRODUCT(('F24'!$K$3:$K$600&gt;=$C$2+0)*('F24'!$K$3:$K$600&lt;$C$2+35)*('F24'!$H$3:$H$600))),"")</f>
        <v>16092.86</v>
      </c>
      <c r="D62" s="11"/>
      <c r="E62" s="11"/>
      <c r="F62" s="11"/>
      <c r="G62" s="11"/>
      <c r="H62" s="11">
        <f>IFERROR(IF(SUMPRODUCT(('F24'!$K$3:$K$600&gt;=$C$2+28)*('F24'!$K$3:$K$600&lt;$C$2+35)*('F24'!$H$3:$H$600))=0,"",SUMPRODUCT(('F24'!$K$3:$K$600&gt;=$C$2+28)*('F24'!$K$3:$K$600&lt;$C$2+35)*('F24'!$H$3:$H$600))),"")</f>
        <v>2246</v>
      </c>
      <c r="I62" s="11"/>
      <c r="J62" s="11"/>
      <c r="K62" s="12"/>
    </row>
    <row r="63">
      <c r="A63" s="49">
        <v>45579.0</v>
      </c>
      <c r="B63" s="14"/>
      <c r="C63" s="14">
        <f>IFERROR(IF(SUM('S24'!$H:$H)+SUMPRODUCT(('F24'!$K$3:$K$600&gt;=$C$2+0)*('F24'!$K$3:$K$600&lt;$C$2+42)*('F24'!$H$3:$H$600))=0,"",SUM('S24'!$H:$H)+SUMPRODUCT(('F24'!$K$3:$K$600&gt;=$C$2+0)*('F24'!$K$3:$K$600&lt;$C$2+42)*('F24'!$H$3:$H$600))),"")</f>
        <v>18013.86</v>
      </c>
      <c r="D63" s="14"/>
      <c r="E63" s="14"/>
      <c r="F63" s="14"/>
      <c r="G63" s="14"/>
      <c r="H63" s="14">
        <f>IFERROR(IF(SUMPRODUCT(('F24'!$K$3:$K$600&gt;=$C$2+35)*('F24'!$K$3:$K$600&lt;$C$2+42)*('F24'!$H$3:$H$600))=0,"",SUMPRODUCT(('F24'!$K$3:$K$600&gt;=$C$2+35)*('F24'!$K$3:$K$600&lt;$C$2+42)*('F24'!$H$3:$H$600))),"")</f>
        <v>1921</v>
      </c>
      <c r="I63" s="14"/>
      <c r="J63" s="14"/>
      <c r="K63" s="15"/>
    </row>
    <row r="64">
      <c r="A64" s="48">
        <v>45586.0</v>
      </c>
      <c r="B64" s="11"/>
      <c r="C64" s="11">
        <f>IFERROR(IF(SUM('S24'!$H:$H)+SUMPRODUCT(('F24'!$K$3:$K$600&gt;=$C$2+0)*('F24'!$K$3:$K$600&lt;$C$2+49)*('F24'!$H$3:$H$600))=0,"",SUM('S24'!$H:$H)+SUMPRODUCT(('F24'!$K$3:$K$600&gt;=$C$2+0)*('F24'!$K$3:$K$600&lt;$C$2+49)*('F24'!$H$3:$H$600))),"")</f>
        <v>20710.86</v>
      </c>
      <c r="D64" s="11"/>
      <c r="E64" s="11"/>
      <c r="F64" s="11"/>
      <c r="G64" s="11"/>
      <c r="H64" s="11">
        <f>IFERROR(IF(SUMPRODUCT(('F24'!$K$3:$K$600&gt;=$C$2+42)*('F24'!$K$3:$K$600&lt;$C$2+49)*('F24'!$H$3:$H$600))=0,"",SUMPRODUCT(('F24'!$K$3:$K$600&gt;=$C$2+42)*('F24'!$K$3:$K$600&lt;$C$2+49)*('F24'!$H$3:$H$600))),"")</f>
        <v>2697</v>
      </c>
      <c r="I64" s="11"/>
      <c r="J64" s="11"/>
      <c r="K64" s="12"/>
    </row>
    <row r="65">
      <c r="A65" s="49">
        <v>45593.0</v>
      </c>
      <c r="B65" s="14"/>
      <c r="C65" s="14">
        <f>IFERROR(IF(SUM('S24'!$H:$H)+SUMPRODUCT(('F24'!$K$3:$K$600&gt;=$C$2+0)*('F24'!$K$3:$K$600&lt;$C$2+56)*('F24'!$H$3:$H$600))=0,"",SUM('S24'!$H:$H)+SUMPRODUCT(('F24'!$K$3:$K$600&gt;=$C$2+0)*('F24'!$K$3:$K$600&lt;$C$2+56)*('F24'!$H$3:$H$600))),"")</f>
        <v>23053.86</v>
      </c>
      <c r="D65" s="14"/>
      <c r="E65" s="14"/>
      <c r="F65" s="14"/>
      <c r="G65" s="14"/>
      <c r="H65" s="14">
        <f>IFERROR(IF(SUMPRODUCT(('F24'!$K$3:$K$600&gt;=$C$2+49)*('F24'!$K$3:$K$600&lt;$C$2+56)*('F24'!$H$3:$H$600))=0,"",SUMPRODUCT(('F24'!$K$3:$K$600&gt;=$C$2+49)*('F24'!$K$3:$K$600&lt;$C$2+56)*('F24'!$H$3:$H$600))),"")</f>
        <v>2343</v>
      </c>
      <c r="I65" s="14"/>
      <c r="J65" s="14"/>
      <c r="K65" s="15"/>
    </row>
    <row r="66">
      <c r="A66" s="48">
        <v>45594.0</v>
      </c>
      <c r="B66" s="11"/>
      <c r="C66" s="11">
        <f>IFERROR(IF(SUM('S24'!$H:$H)+SUMPRODUCT(('F24'!$K$3:$K$600&gt;=$C$2+0)*('F24'!$K$3:$K$600&lt;$C$2+63)*('F24'!$H$3:$H$600))=0,"",SUM('S24'!$H:$H)+SUMPRODUCT(('F24'!$K$3:$K$600&gt;=$C$2+0)*('F24'!$K$3:$K$600&lt;$C$2+63)*('F24'!$H$3:$H$600))),"")</f>
        <v>25060.86</v>
      </c>
      <c r="D66" s="11"/>
      <c r="E66" s="11"/>
      <c r="F66" s="11"/>
      <c r="G66" s="11"/>
      <c r="H66" s="11">
        <f>IFERROR(IF(SUMPRODUCT(('F24'!$K$3:$K$600&gt;=$C$2+56)*('F24'!$K$3:$K$600&lt;$C$2+63)*('F24'!$H$3:$H$600))=0,"",SUMPRODUCT(('F24'!$K$3:$K$600&gt;=$C$2+56)*('F24'!$K$3:$K$600&lt;$C$2+63)*('F24'!$H$3:$H$600))),"")</f>
        <v>2007</v>
      </c>
      <c r="I66" s="11"/>
      <c r="J66" s="11"/>
      <c r="K66" s="12"/>
    </row>
    <row r="67">
      <c r="A67" s="49">
        <v>45600.0</v>
      </c>
      <c r="B67" s="14"/>
      <c r="C67" s="14">
        <f>IFERROR(IF(SUM('S24'!$H:$H)+SUMPRODUCT(('F24'!$K$3:$K$600&gt;=$C$2+0)*('F24'!$K$3:$K$600&lt;$C$2+70)*('F24'!$H$3:$H$600))=0,"",SUM('S24'!$H:$H)+SUMPRODUCT(('F24'!$K$3:$K$600&gt;=$C$2+0)*('F24'!$K$3:$K$600&lt;$C$2+70)*('F24'!$H$3:$H$600))),"")</f>
        <v>27037.86</v>
      </c>
      <c r="D67" s="14"/>
      <c r="E67" s="14"/>
      <c r="F67" s="14"/>
      <c r="G67" s="14"/>
      <c r="H67" s="14">
        <f>IFERROR(IF(SUMPRODUCT(('F24'!$K$3:$K$600&gt;=$C$2+63)*('F24'!$K$3:$K$600&lt;$C$2+70)*('F24'!$H$3:$H$600))=0,"",SUMPRODUCT(('F24'!$K$3:$K$600&gt;=$C$2+63)*('F24'!$K$3:$K$600&lt;$C$2+70)*('F24'!$H$3:$H$600))),"")</f>
        <v>1977</v>
      </c>
      <c r="I67" s="14"/>
      <c r="J67" s="14"/>
      <c r="K67" s="15"/>
    </row>
    <row r="68">
      <c r="A68" s="48">
        <v>45607.0</v>
      </c>
      <c r="B68" s="11"/>
      <c r="C68" s="11">
        <f>IFERROR(IF(SUM('S24'!$H:$H)+SUMPRODUCT(('F24'!$K$3:$K$600&gt;=$C$2+0)*('F24'!$K$3:$K$600&lt;$C$2+77)*('F24'!$H$3:$H$600))=0,"",SUM('S24'!$H:$H)+SUMPRODUCT(('F24'!$K$3:$K$600&gt;=$C$2+0)*('F24'!$K$3:$K$600&lt;$C$2+77)*('F24'!$H$3:$H$600))),"")</f>
        <v>29102.86</v>
      </c>
      <c r="D68" s="11"/>
      <c r="E68" s="11"/>
      <c r="F68" s="11"/>
      <c r="G68" s="11"/>
      <c r="H68" s="11">
        <f>IFERROR(IF(SUMPRODUCT(('F24'!$K$3:$K$600&gt;=$C$2+70)*('F24'!$K$3:$K$600&lt;$C$2+77)*('F24'!$H$3:$H$600))=0,"",SUMPRODUCT(('F24'!$K$3:$K$600&gt;=$C$2+70)*('F24'!$K$3:$K$600&lt;$C$2+77)*('F24'!$H$3:$H$600))),"")</f>
        <v>2065</v>
      </c>
      <c r="I68" s="11"/>
      <c r="J68" s="11"/>
      <c r="K68" s="12"/>
    </row>
    <row r="69">
      <c r="A69" s="49">
        <v>45614.0</v>
      </c>
      <c r="B69" s="14"/>
      <c r="C69" s="14">
        <f>IFERROR(IF(SUM('S24'!$H:$H)+SUMPRODUCT(('F24'!$K$3:$K$600&gt;=$C$2+0)*('F24'!$K$3:$K$600&lt;$C$2+84)*('F24'!$H$3:$H$600))=0,"",SUM('S24'!$H:$H)+SUMPRODUCT(('F24'!$K$3:$K$600&gt;=$C$2+0)*('F24'!$K$3:$K$600&lt;$C$2+84)*('F24'!$H$3:$H$600))),"")</f>
        <v>29424.86</v>
      </c>
      <c r="D69" s="14"/>
      <c r="E69" s="14"/>
      <c r="F69" s="14"/>
      <c r="G69" s="14"/>
      <c r="H69" s="14">
        <f>IFERROR(IF(SUMPRODUCT(('F24'!$K$3:$K$600&gt;=$C$2+77)*('F24'!$K$3:$K$600&lt;$C$2+84)*('F24'!$H$3:$H$600))=0,"",SUMPRODUCT(('F24'!$K$3:$K$600&gt;=$C$2+77)*('F24'!$K$3:$K$600&lt;$C$2+84)*('F24'!$H$3:$H$600))),"")</f>
        <v>322</v>
      </c>
      <c r="I69" s="14"/>
      <c r="J69" s="14"/>
      <c r="K69" s="15"/>
    </row>
    <row r="70">
      <c r="A70" s="48">
        <v>45621.0</v>
      </c>
      <c r="B70" s="11"/>
      <c r="C70" s="11">
        <f>IFERROR(IF(SUM('S24'!$H:$H)+SUMPRODUCT(('F24'!$K$3:$K$600&gt;=$C$2+0)*('F24'!$K$3:$K$600&lt;$C$2+91)*('F24'!$H$3:$H$600))=0,"",SUM('S24'!$H:$H)+SUMPRODUCT(('F24'!$K$3:$K$600&gt;=$C$2+0)*('F24'!$K$3:$K$600&lt;$C$2+91)*('F24'!$H$3:$H$600))),"")</f>
        <v>31832.86</v>
      </c>
      <c r="D70" s="11"/>
      <c r="E70" s="11"/>
      <c r="F70" s="11"/>
      <c r="G70" s="11"/>
      <c r="H70" s="11">
        <f>IFERROR(IF(SUMPRODUCT(('F24'!$K$3:$K$600&gt;=$C$2+84)*('F24'!$K$3:$K$600&lt;$C$2+91)*('F24'!$H$3:$H$600))=0,"",SUMPRODUCT(('F24'!$K$3:$K$600&gt;=$C$2+84)*('F24'!$K$3:$K$600&lt;$C$2+91)*('F24'!$H$3:$H$600))),"")</f>
        <v>2408</v>
      </c>
      <c r="I70" s="11"/>
      <c r="J70" s="11"/>
      <c r="K70" s="12"/>
    </row>
    <row r="71">
      <c r="A71" s="49">
        <v>45628.0</v>
      </c>
      <c r="B71" s="14"/>
      <c r="C71" s="14">
        <f>IFERROR(IF(SUM('S24'!$H:$H)+SUMPRODUCT(('F24'!$K$3:$K$600&gt;=$C$2+0)*('F24'!$K$3:$K$600&lt;$C$2+98)*('F24'!$H$3:$H$600))=0,"",SUM('S24'!$H:$H)+SUMPRODUCT(('F24'!$K$3:$K$600&gt;=$C$2+0)*('F24'!$K$3:$K$600&lt;$C$2+98)*('F24'!$H$3:$H$600))),"")</f>
        <v>33409.86</v>
      </c>
      <c r="D71" s="14"/>
      <c r="E71" s="14"/>
      <c r="F71" s="14"/>
      <c r="G71" s="14"/>
      <c r="H71" s="14">
        <f>IFERROR(IF(SUMPRODUCT(('F24'!$K$3:$K$600&gt;=$C$2+91)*('F24'!$K$3:$K$600&lt;$C$2+98)*('F24'!$H$3:$H$600))=0,"",SUMPRODUCT(('F24'!$K$3:$K$600&gt;=$C$2+91)*('F24'!$K$3:$K$600&lt;$C$2+98)*('F24'!$H$3:$H$600))),"")</f>
        <v>1577</v>
      </c>
      <c r="I71" s="14"/>
      <c r="J71" s="14"/>
      <c r="K71" s="15"/>
    </row>
    <row r="72">
      <c r="A72" s="48">
        <v>45677.0</v>
      </c>
      <c r="B72" s="11"/>
      <c r="C72" s="11"/>
      <c r="D72" s="11">
        <f>IFERROR(IF(SUM('S24'!$H:$H)+SUM('F24'!$H:$H)+SUMPRODUCT(('S25'!$K$3:$K$600&gt;=$D$2+0)*('S25'!$K$3:$K$600&lt;$D$2+7)*('S25'!$H$3:$H$600))=0,"",SUM('S24'!$H:$H)+SUM('F24'!$H:$H)+SUMPRODUCT(('S25'!$K$3:$K$600&gt;=$D$2+0)*('S25'!$K$3:$K$600&lt;$D$2+7)*('S25'!$H$3:$H$600))),"")</f>
        <v>33496.86</v>
      </c>
      <c r="E72" s="11"/>
      <c r="F72" s="11"/>
      <c r="G72" s="11"/>
      <c r="H72" s="11"/>
      <c r="I72" s="11" t="str">
        <f>IFERROR(IF(SUMPRODUCT(('S25'!$K$3:$K$600&gt;=$D$2+0)*('S25'!$K$3:$K$600&lt;$D$2+7)*('S25'!$H$3:$H$600))=0,"",SUMPRODUCT(('S25'!$K$3:$K$600&gt;=$D$2+0)*('S25'!$K$3:$K$600&lt;$D$2+7)*('S25'!$H$3:$H$600))),"")</f>
        <v/>
      </c>
      <c r="J72" s="11"/>
      <c r="K72" s="12"/>
    </row>
    <row r="73">
      <c r="A73" s="49">
        <v>45684.0</v>
      </c>
      <c r="B73" s="14"/>
      <c r="C73" s="14"/>
      <c r="D73" s="14">
        <f>IFERROR(IF(SUM('S24'!$H:$H)+SUM('F24'!$H:$H)+SUMPRODUCT(('S25'!$K$3:$K$600&gt;=$D$2+0)*('S25'!$K$3:$K$600&lt;$D$2+14)*('S25'!$H$3:$H$600))=0,"",SUM('S24'!$H:$H)+SUM('F24'!$H:$H)+SUMPRODUCT(('S25'!$K$3:$K$600&gt;=$D$2+0)*('S25'!$K$3:$K$600&lt;$D$2+14)*('S25'!$H$3:$H$600))),"")</f>
        <v>35788.86</v>
      </c>
      <c r="E73" s="14"/>
      <c r="F73" s="14"/>
      <c r="G73" s="14"/>
      <c r="H73" s="14"/>
      <c r="I73" s="14">
        <f>IFERROR(IF(SUMPRODUCT(('S25'!$K$3:$K$600&gt;=$D$2+7)*('S25'!$K$3:$K$600&lt;$D$2+14)*('S25'!$H$3:$H$600))=0,"",SUMPRODUCT(('S25'!$K$3:$K$600&gt;=$D$2+7)*('S25'!$K$3:$K$600&lt;$D$2+14)*('S25'!$H$3:$H$600))),"")</f>
        <v>2292</v>
      </c>
      <c r="J73" s="14"/>
      <c r="K73" s="15"/>
    </row>
    <row r="74">
      <c r="A74" s="48">
        <v>45691.0</v>
      </c>
      <c r="B74" s="11"/>
      <c r="C74" s="11"/>
      <c r="D74" s="11">
        <f>IFERROR(IF(SUM('S24'!$H:$H)+SUM('F24'!$H:$H)+SUMPRODUCT(('S25'!$K$3:$K$600&gt;=$D$2+0)*('S25'!$K$3:$K$600&lt;$D$2+21)*('S25'!$H$3:$H$600))=0,"",SUM('S24'!$H:$H)+SUM('F24'!$H:$H)+SUMPRODUCT(('S25'!$K$3:$K$600&gt;=$D$2+0)*('S25'!$K$3:$K$600&lt;$D$2+21)*('S25'!$H$3:$H$600))),"")</f>
        <v>38369.86</v>
      </c>
      <c r="E74" s="11"/>
      <c r="F74" s="11"/>
      <c r="G74" s="11"/>
      <c r="H74" s="11"/>
      <c r="I74" s="11">
        <f>IFERROR(IF(SUMPRODUCT(('S25'!$K$3:$K$600&gt;=$D$2+14)*('S25'!$K$3:$K$600&lt;$D$2+21)*('S25'!$H$3:$H$600))=0,"",SUMPRODUCT(('S25'!$K$3:$K$600&gt;=$D$2+14)*('S25'!$K$3:$K$600&lt;$D$2+21)*('S25'!$H$3:$H$600))),"")</f>
        <v>2581</v>
      </c>
      <c r="J74" s="11"/>
      <c r="K74" s="12"/>
    </row>
    <row r="75">
      <c r="A75" s="49">
        <v>45698.0</v>
      </c>
      <c r="B75" s="14"/>
      <c r="C75" s="14"/>
      <c r="D75" s="14">
        <f>IFERROR(IF(SUM('S24'!$H:$H)+SUM('F24'!$H:$H)+SUMPRODUCT(('S25'!$K$3:$K$600&gt;=$D$2+0)*('S25'!$K$3:$K$600&lt;$D$2+28)*('S25'!$H$3:$H$600))=0,"",SUM('S24'!$H:$H)+SUM('F24'!$H:$H)+SUMPRODUCT(('S25'!$K$3:$K$600&gt;=$D$2+0)*('S25'!$K$3:$K$600&lt;$D$2+28)*('S25'!$H$3:$H$600))),"")</f>
        <v>41226.86</v>
      </c>
      <c r="E75" s="14"/>
      <c r="F75" s="14"/>
      <c r="G75" s="14"/>
      <c r="H75" s="14"/>
      <c r="I75" s="14">
        <f>IFERROR(IF(SUMPRODUCT(('S25'!$K$3:$K$600&gt;=$D$2+21)*('S25'!$K$3:$K$600&lt;$D$2+28)*('S25'!$H$3:$H$600))=0,"",SUMPRODUCT(('S25'!$K$3:$K$600&gt;=$D$2+21)*('S25'!$K$3:$K$600&lt;$D$2+28)*('S25'!$H$3:$H$600))),"")</f>
        <v>2857</v>
      </c>
      <c r="J75" s="14"/>
      <c r="K75" s="15"/>
    </row>
    <row r="76">
      <c r="A76" s="48">
        <v>45705.0</v>
      </c>
      <c r="B76" s="11"/>
      <c r="C76" s="11"/>
      <c r="D76" s="11">
        <f>IFERROR(IF(SUM('S24'!$H:$H)+SUM('F24'!$H:$H)+SUMPRODUCT(('S25'!$K$3:$K$600&gt;=$D$2+0)*('S25'!$K$3:$K$600&lt;$D$2+35)*('S25'!$H$3:$H$600))=0,"",SUM('S24'!$H:$H)+SUM('F24'!$H:$H)+SUMPRODUCT(('S25'!$K$3:$K$600&gt;=$D$2+0)*('S25'!$K$3:$K$600&lt;$D$2+35)*('S25'!$H$3:$H$600))),"")</f>
        <v>43598.86</v>
      </c>
      <c r="E76" s="11"/>
      <c r="F76" s="11"/>
      <c r="G76" s="11"/>
      <c r="H76" s="11"/>
      <c r="I76" s="11">
        <f>IFERROR(IF(SUMPRODUCT(('S25'!$K$3:$K$600&gt;=$D$2+28)*('S25'!$K$3:$K$600&lt;$D$2+35)*('S25'!$H$3:$H$600))=0,"",SUMPRODUCT(('S25'!$K$3:$K$600&gt;=$D$2+28)*('S25'!$K$3:$K$600&lt;$D$2+35)*('S25'!$H$3:$H$600))),"")</f>
        <v>2372</v>
      </c>
      <c r="J76" s="11"/>
      <c r="K76" s="12"/>
    </row>
    <row r="77">
      <c r="A77" s="49">
        <v>45712.0</v>
      </c>
      <c r="B77" s="14"/>
      <c r="C77" s="14"/>
      <c r="D77" s="14">
        <f>IFERROR(IF(SUM('S24'!$H:$H)+SUM('F24'!$H:$H)+SUMPRODUCT(('S25'!$K$3:$K$600&gt;=$D$2+0)*('S25'!$K$3:$K$600&lt;$D$2+42)*('S25'!$H$3:$H$600))=0,"",SUM('S24'!$H:$H)+SUM('F24'!$H:$H)+SUMPRODUCT(('S25'!$K$3:$K$600&gt;=$D$2+0)*('S25'!$K$3:$K$600&lt;$D$2+42)*('S25'!$H$3:$H$600))),"")</f>
        <v>46205.86</v>
      </c>
      <c r="E77" s="14"/>
      <c r="F77" s="14"/>
      <c r="G77" s="14"/>
      <c r="H77" s="14"/>
      <c r="I77" s="14">
        <f>IFERROR(IF(SUMPRODUCT(('S25'!$K$3:$K$600&gt;=$D$2+35)*('S25'!$K$3:$K$600&lt;$D$2+42)*('S25'!$H$3:$H$600))=0,"",SUMPRODUCT(('S25'!$K$3:$K$600&gt;=$D$2+35)*('S25'!$K$3:$K$600&lt;$D$2+42)*('S25'!$H$3:$H$600))),"")</f>
        <v>2607</v>
      </c>
      <c r="J77" s="14"/>
      <c r="K77" s="15"/>
    </row>
    <row r="78">
      <c r="A78" s="48">
        <v>45719.0</v>
      </c>
      <c r="B78" s="11"/>
      <c r="C78" s="11"/>
      <c r="D78" s="11">
        <f>IFERROR(IF(SUM('S24'!$H:$H)+SUM('F24'!$H:$H)+SUMPRODUCT(('S25'!$K$3:$K$600&gt;=$D$2+0)*('S25'!$K$3:$K$600&lt;$D$2+49)*('S25'!$H$3:$H$600))=0,"",SUM('S24'!$H:$H)+SUM('F24'!$H:$H)+SUMPRODUCT(('S25'!$K$3:$K$600&gt;=$D$2+0)*('S25'!$K$3:$K$600&lt;$D$2+49)*('S25'!$H$3:$H$600))),"")</f>
        <v>48264.86</v>
      </c>
      <c r="E78" s="11"/>
      <c r="F78" s="11"/>
      <c r="G78" s="11"/>
      <c r="H78" s="11"/>
      <c r="I78" s="11">
        <f>IFERROR(IF(SUMPRODUCT(('S25'!$K$3:$K$600&gt;=$D$2+42)*('S25'!$K$3:$K$600&lt;$D$2+49)*('S25'!$H$3:$H$600))=0,"",SUMPRODUCT(('S25'!$K$3:$K$600&gt;=$D$2+42)*('S25'!$K$3:$K$600&lt;$D$2+49)*('S25'!$H$3:$H$600))),"")</f>
        <v>2059</v>
      </c>
      <c r="J78" s="11"/>
      <c r="K78" s="12"/>
    </row>
    <row r="79">
      <c r="A79" s="49">
        <v>45726.0</v>
      </c>
      <c r="B79" s="14"/>
      <c r="C79" s="14"/>
      <c r="D79" s="14">
        <f>IFERROR(IF(SUM('S24'!$H:$H)+SUM('F24'!$H:$H)+SUMPRODUCT(('S25'!$K$3:$K$600&gt;=$D$2+0)*('S25'!$K$3:$K$600&lt;$D$2+56)*('S25'!$H$3:$H$600))=0,"",SUM('S24'!$H:$H)+SUM('F24'!$H:$H)+SUMPRODUCT(('S25'!$K$3:$K$600&gt;=$D$2+0)*('S25'!$K$3:$K$600&lt;$D$2+56)*('S25'!$H$3:$H$600))),"")</f>
        <v>48264.86</v>
      </c>
      <c r="E79" s="14"/>
      <c r="F79" s="14"/>
      <c r="G79" s="14"/>
      <c r="H79" s="14"/>
      <c r="I79" s="14" t="str">
        <f>IFERROR(IF(SUMPRODUCT(('S25'!$K$3:$K$600&gt;=$D$2+49)*('S25'!$K$3:$K$600&lt;$D$2+56)*('S25'!$H$3:$H$600))=0,"",SUMPRODUCT(('S25'!$K$3:$K$600&gt;=$D$2+49)*('S25'!$K$3:$K$600&lt;$D$2+56)*('S25'!$H$3:$H$600))),"")</f>
        <v/>
      </c>
      <c r="J79" s="14"/>
      <c r="K79" s="15"/>
    </row>
    <row r="80">
      <c r="A80" s="48">
        <v>45733.0</v>
      </c>
      <c r="B80" s="11"/>
      <c r="C80" s="11"/>
      <c r="D80" s="11">
        <f>IFERROR(IF(SUM('S24'!$H:$H)+SUM('F24'!$H:$H)+SUMPRODUCT(('S25'!$K$3:$K$600&gt;=$D$2+0)*('S25'!$K$3:$K$600&lt;$D$2+63)*('S25'!$H$3:$H$600))=0,"",SUM('S24'!$H:$H)+SUM('F24'!$H:$H)+SUMPRODUCT(('S25'!$K$3:$K$600&gt;=$D$2+0)*('S25'!$K$3:$K$600&lt;$D$2+63)*('S25'!$H$3:$H$600))),"")</f>
        <v>50665.86</v>
      </c>
      <c r="E80" s="11"/>
      <c r="F80" s="11"/>
      <c r="G80" s="11"/>
      <c r="H80" s="11"/>
      <c r="I80" s="11">
        <f>IFERROR(IF(SUMPRODUCT(('S25'!$K$3:$K$600&gt;=$D$2+56)*('S25'!$K$3:$K$600&lt;$D$2+63)*('S25'!$H$3:$H$600))=0,"",SUMPRODUCT(('S25'!$K$3:$K$600&gt;=$D$2+56)*('S25'!$K$3:$K$600&lt;$D$2+63)*('S25'!$H$3:$H$600))),"")</f>
        <v>2401</v>
      </c>
      <c r="J80" s="11"/>
      <c r="K80" s="12"/>
    </row>
    <row r="81">
      <c r="A81" s="49">
        <v>45740.0</v>
      </c>
      <c r="B81" s="14"/>
      <c r="C81" s="14"/>
      <c r="D81" s="14">
        <f>IFERROR(IF(SUM('S24'!$H:$H)+SUM('F24'!$H:$H)+SUMPRODUCT(('S25'!$K$3:$K$600&gt;=$D$2+0)*('S25'!$K$3:$K$600&lt;$D$2+70)*('S25'!$H$3:$H$600))=0,"",SUM('S24'!$H:$H)+SUM('F24'!$H:$H)+SUMPRODUCT(('S25'!$K$3:$K$600&gt;=$D$2+0)*('S25'!$K$3:$K$600&lt;$D$2+70)*('S25'!$H$3:$H$600))),"")</f>
        <v>52846.86</v>
      </c>
      <c r="E81" s="14"/>
      <c r="F81" s="14"/>
      <c r="G81" s="14"/>
      <c r="H81" s="14"/>
      <c r="I81" s="14">
        <f>IFERROR(IF(SUMPRODUCT(('S25'!$K$3:$K$600&gt;=$D$2+63)*('S25'!$K$3:$K$600&lt;$D$2+70)*('S25'!$H$3:$H$600))=0,"",SUMPRODUCT(('S25'!$K$3:$K$600&gt;=$D$2+63)*('S25'!$K$3:$K$600&lt;$D$2+70)*('S25'!$H$3:$H$600))),"")</f>
        <v>2181</v>
      </c>
      <c r="J81" s="14"/>
      <c r="K81" s="15"/>
    </row>
    <row r="82">
      <c r="A82" s="48">
        <v>45747.0</v>
      </c>
      <c r="B82" s="11"/>
      <c r="C82" s="11"/>
      <c r="D82" s="11">
        <f>IFERROR(IF(SUM('S24'!$H:$H)+SUM('F24'!$H:$H)+SUMPRODUCT(('S25'!$K$3:$K$600&gt;=$D$2+0)*('S25'!$K$3:$K$600&lt;$D$2+77)*('S25'!$H$3:$H$600))=0,"",SUM('S24'!$H:$H)+SUM('F24'!$H:$H)+SUMPRODUCT(('S25'!$K$3:$K$600&gt;=$D$2+0)*('S25'!$K$3:$K$600&lt;$D$2+77)*('S25'!$H$3:$H$600))),"")</f>
        <v>54980.86</v>
      </c>
      <c r="E82" s="11"/>
      <c r="F82" s="11"/>
      <c r="G82" s="11"/>
      <c r="H82" s="11"/>
      <c r="I82" s="11">
        <f>IFERROR(IF(SUMPRODUCT(('S25'!$K$3:$K$600&gt;=$D$2+70)*('S25'!$K$3:$K$600&lt;$D$2+77)*('S25'!$H$3:$H$600))=0,"",SUMPRODUCT(('S25'!$K$3:$K$600&gt;=$D$2+70)*('S25'!$K$3:$K$600&lt;$D$2+77)*('S25'!$H$3:$H$600))),"")</f>
        <v>2134</v>
      </c>
      <c r="J82" s="11"/>
      <c r="K82" s="12"/>
    </row>
    <row r="83">
      <c r="A83" s="49">
        <v>45754.0</v>
      </c>
      <c r="B83" s="14"/>
      <c r="C83" s="14"/>
      <c r="D83" s="14">
        <f>IFERROR(IF(SUM('S24'!$H:$H)+SUM('F24'!$H:$H)+SUMPRODUCT(('S25'!$K$3:$K$600&gt;=$D$2+0)*('S25'!$K$3:$K$600&lt;$D$2+84)*('S25'!$H$3:$H$600))=0,"",SUM('S24'!$H:$H)+SUM('F24'!$H:$H)+SUMPRODUCT(('S25'!$K$3:$K$600&gt;=$D$2+0)*('S25'!$K$3:$K$600&lt;$D$2+84)*('S25'!$H$3:$H$600))),"")</f>
        <v>57369.86</v>
      </c>
      <c r="E83" s="14"/>
      <c r="F83" s="14"/>
      <c r="G83" s="14"/>
      <c r="H83" s="14"/>
      <c r="I83" s="14">
        <f>IFERROR(IF(SUMPRODUCT(('S25'!$K$3:$K$600&gt;=$D$2+77)*('S25'!$K$3:$K$600&lt;$D$2+84)*('S25'!$H$3:$H$600))=0,"",SUMPRODUCT(('S25'!$K$3:$K$600&gt;=$D$2+77)*('S25'!$K$3:$K$600&lt;$D$2+84)*('S25'!$H$3:$H$600))),"")</f>
        <v>2389</v>
      </c>
      <c r="J83" s="14"/>
      <c r="K83" s="15"/>
    </row>
    <row r="84">
      <c r="A84" s="48">
        <v>45761.0</v>
      </c>
      <c r="B84" s="11"/>
      <c r="C84" s="11"/>
      <c r="D84" s="11">
        <f>IFERROR(IF(SUM('S24'!$H:$H)+SUM('F24'!$H:$H)+SUMPRODUCT(('S25'!$K$3:$K$600&gt;=$D$2+0)*('S25'!$K$3:$K$600&lt;$D$2+91)*('S25'!$H$3:$H$600))=0,"",SUM('S24'!$H:$H)+SUM('F24'!$H:$H)+SUMPRODUCT(('S25'!$K$3:$K$600&gt;=$D$2+0)*('S25'!$K$3:$K$600&lt;$D$2+91)*('S25'!$H$3:$H$600))),"")</f>
        <v>60016.86</v>
      </c>
      <c r="E84" s="11"/>
      <c r="F84" s="11"/>
      <c r="G84" s="11"/>
      <c r="H84" s="11"/>
      <c r="I84" s="11">
        <f>IFERROR(IF(SUMPRODUCT(('S25'!$K$3:$K$600&gt;=$D$2+84)*('S25'!$K$3:$K$600&lt;$D$2+91)*('S25'!$H$3:$H$600))=0,"",SUMPRODUCT(('S25'!$K$3:$K$600&gt;=$D$2+84)*('S25'!$K$3:$K$600&lt;$D$2+91)*('S25'!$H$3:$H$600))),"")</f>
        <v>2647</v>
      </c>
      <c r="J84" s="11"/>
      <c r="K84" s="12"/>
    </row>
    <row r="85">
      <c r="A85" s="49">
        <v>45768.0</v>
      </c>
      <c r="B85" s="14"/>
      <c r="C85" s="14"/>
      <c r="D85" s="14">
        <f>IFERROR(IF(SUM('S24'!$H:$H)+SUM('F24'!$H:$H)+SUMPRODUCT(('S25'!$K$3:$K$600&gt;=$D$2+0)*('S25'!$K$3:$K$600&lt;$D$2+98)*('S25'!$H$3:$H$600))=0,"",SUM('S24'!$H:$H)+SUM('F24'!$H:$H)+SUMPRODUCT(('S25'!$K$3:$K$600&gt;=$D$2+0)*('S25'!$K$3:$K$600&lt;$D$2+98)*('S25'!$H$3:$H$600))),"")</f>
        <v>62716.86</v>
      </c>
      <c r="E85" s="14"/>
      <c r="F85" s="14"/>
      <c r="G85" s="14"/>
      <c r="H85" s="14"/>
      <c r="I85" s="14">
        <f>IFERROR(IF(SUMPRODUCT(('S25'!$K$3:$K$600&gt;=$D$2+91)*('S25'!$K$3:$K$600&lt;$D$2+98)*('S25'!$H$3:$H$600))=0,"",SUMPRODUCT(('S25'!$K$3:$K$600&gt;=$D$2+91)*('S25'!$K$3:$K$600&lt;$D$2+98)*('S25'!$H$3:$H$600))),"")</f>
        <v>2700</v>
      </c>
      <c r="J85" s="14"/>
      <c r="K85" s="15"/>
    </row>
    <row r="86">
      <c r="A86" s="48">
        <v>45908.0</v>
      </c>
      <c r="B86" s="11"/>
      <c r="C86" s="11"/>
      <c r="D86" s="11"/>
      <c r="E86" s="11">
        <f>IFERROR(IF(SUM('S24'!$H:$H)+SUM('F24'!$H:$H)+SUM('S25'!$H:$H)+SUMPRODUCT(('F25'!$K$3:$K$600&gt;=$E$2+0)*('F25'!$K$3:$K$600&lt;$E$2+7)*('F25'!$H$3:$H$600))=0,"",SUM('S24'!$H:$H)+SUM('F24'!$H:$H)+SUM('S25'!$H:$H)+SUMPRODUCT(('F25'!$K$3:$K$600&gt;=$E$2+0)*('F25'!$K$3:$K$600&lt;$E$2+7)*('F25'!$H$3:$H$600))),"")</f>
        <v>66605.86</v>
      </c>
      <c r="F86" s="11"/>
      <c r="G86" s="11"/>
      <c r="H86" s="11"/>
      <c r="I86" s="11"/>
      <c r="J86" s="11">
        <f>IFERROR(IF(SUMPRODUCT(('F25'!$K$3:$K$600&gt;=$E$2+0)*('F25'!$K$3:$K$600&lt;$E$2+7)*('F25'!$H$3:$H$600))=0,"",SUMPRODUCT(('F25'!$K$3:$K$600&gt;=$E$2+0)*('F25'!$K$3:$K$600&lt;$E$2+7)*('F25'!$H$3:$H$600))),"")</f>
        <v>2036</v>
      </c>
      <c r="K86" s="12"/>
    </row>
    <row r="87">
      <c r="A87" s="49">
        <v>45915.0</v>
      </c>
      <c r="B87" s="14"/>
      <c r="C87" s="14"/>
      <c r="D87" s="14"/>
      <c r="E87" s="14">
        <f>IFERROR(IF(SUM('S24'!$H:$H)+SUM('F24'!$H:$H)+SUM('S25'!$H:$H)+SUMPRODUCT(('F25'!$K$3:$K$600&gt;=$E$2+0)*('F25'!$K$3:$K$600&lt;$E$2+14)*('F25'!$H$3:$H$600))=0,"",SUM('S24'!$H:$H)+SUM('F24'!$H:$H)+SUM('S25'!$H:$H)+SUMPRODUCT(('F25'!$K$3:$K$600&gt;=$E$2+0)*('F25'!$K$3:$K$600&lt;$E$2+14)*('F25'!$H$3:$H$600))),"")</f>
        <v>69126.86</v>
      </c>
      <c r="F87" s="14"/>
      <c r="G87" s="14"/>
      <c r="H87" s="14"/>
      <c r="I87" s="14"/>
      <c r="J87" s="14">
        <f>IFERROR(IF(SUMPRODUCT(('F25'!$K$3:$K$600&gt;=$E$2+7)*('F25'!$K$3:$K$600&lt;$E$2+14)*('F25'!$H$3:$H$600))=0,"",SUMPRODUCT(('F25'!$K$3:$K$600&gt;=$E$2+7)*('F25'!$K$3:$K$600&lt;$E$2+14)*('F25'!$H$3:$H$600))),"")</f>
        <v>2521</v>
      </c>
      <c r="K87" s="15"/>
    </row>
    <row r="88">
      <c r="A88" s="48">
        <v>45922.0</v>
      </c>
      <c r="B88" s="11"/>
      <c r="C88" s="11"/>
      <c r="D88" s="11"/>
      <c r="E88" s="11">
        <f>IFERROR(IF(SUM('S24'!$H:$H)+SUM('F24'!$H:$H)+SUM('S25'!$H:$H)+SUMPRODUCT(('F25'!$K$3:$K$600&gt;=$E$2+0)*('F25'!$K$3:$K$600&lt;$E$2+21)*('F25'!$H$3:$H$600))=0,"",SUM('S24'!$H:$H)+SUM('F24'!$H:$H)+SUM('S25'!$H:$H)+SUMPRODUCT(('F25'!$K$3:$K$600&gt;=$E$2+0)*('F25'!$K$3:$K$600&lt;$E$2+21)*('F25'!$H$3:$H$600))),"")</f>
        <v>71933.86</v>
      </c>
      <c r="F88" s="11"/>
      <c r="G88" s="11"/>
      <c r="H88" s="11"/>
      <c r="I88" s="11"/>
      <c r="J88" s="11">
        <f>IFERROR(IF(SUMPRODUCT(('F25'!$K$3:$K$600&gt;=$E$2+14)*('F25'!$K$3:$K$600&lt;$E$2+21)*('F25'!$H$3:$H$600))=0,"",SUMPRODUCT(('F25'!$K$3:$K$600&gt;=$E$2+14)*('F25'!$K$3:$K$600&lt;$E$2+21)*('F25'!$H$3:$H$600))),"")</f>
        <v>2807</v>
      </c>
      <c r="K88" s="12"/>
    </row>
    <row r="89">
      <c r="A89" s="49">
        <v>45929.0</v>
      </c>
      <c r="B89" s="14"/>
      <c r="C89" s="14"/>
      <c r="D89" s="14"/>
      <c r="E89" s="14">
        <f>IFERROR(IF(SUM('S24'!$H:$H)+SUM('F24'!$H:$H)+SUM('S25'!$H:$H)+SUMPRODUCT(('F25'!$K$3:$K$600&gt;=$E$2+0)*('F25'!$K$3:$K$600&lt;$E$2+28)*('F25'!$H$3:$H$600))=0,"",SUM('S24'!$H:$H)+SUM('F24'!$H:$H)+SUM('S25'!$H:$H)+SUMPRODUCT(('F25'!$K$3:$K$600&gt;=$E$2+0)*('F25'!$K$3:$K$600&lt;$E$2+28)*('F25'!$H$3:$H$600))),"")</f>
        <v>74570.86</v>
      </c>
      <c r="F89" s="14"/>
      <c r="G89" s="14"/>
      <c r="H89" s="14"/>
      <c r="I89" s="14"/>
      <c r="J89" s="14">
        <f>IFERROR(IF(SUMPRODUCT(('F25'!$K$3:$K$600&gt;=$E$2+21)*('F25'!$K$3:$K$600&lt;$E$2+28)*('F25'!$H$3:$H$600))=0,"",SUMPRODUCT(('F25'!$K$3:$K$600&gt;=$E$2+21)*('F25'!$K$3:$K$600&lt;$E$2+28)*('F25'!$H$3:$H$600))),"")</f>
        <v>2637</v>
      </c>
      <c r="K89" s="15"/>
    </row>
    <row r="90">
      <c r="A90" s="48">
        <v>45936.0</v>
      </c>
      <c r="B90" s="11"/>
      <c r="C90" s="11"/>
      <c r="D90" s="11"/>
      <c r="E90" s="11">
        <f>IFERROR(IF(SUM('S24'!$H:$H)+SUM('F24'!$H:$H)+SUM('S25'!$H:$H)+SUMPRODUCT(('F25'!$K$3:$K$600&gt;=$E$2+0)*('F25'!$K$3:$K$600&lt;$E$2+35)*('F25'!$H$3:$H$600))=0,"",SUM('S24'!$H:$H)+SUM('F24'!$H:$H)+SUM('S25'!$H:$H)+SUMPRODUCT(('F25'!$K$3:$K$600&gt;=$E$2+0)*('F25'!$K$3:$K$600&lt;$E$2+35)*('F25'!$H$3:$H$600))),"")</f>
        <v>76768.86</v>
      </c>
      <c r="F90" s="11"/>
      <c r="G90" s="11"/>
      <c r="H90" s="11"/>
      <c r="I90" s="11"/>
      <c r="J90" s="11">
        <f>IFERROR(IF(SUMPRODUCT(('F25'!$K$3:$K$600&gt;=$E$2+28)*('F25'!$K$3:$K$600&lt;$E$2+35)*('F25'!$H$3:$H$600))=0,"",SUMPRODUCT(('F25'!$K$3:$K$600&gt;=$E$2+28)*('F25'!$K$3:$K$600&lt;$E$2+35)*('F25'!$H$3:$H$600))),"")</f>
        <v>2198</v>
      </c>
      <c r="K90" s="12"/>
    </row>
    <row r="91">
      <c r="A91" s="49">
        <v>45943.0</v>
      </c>
      <c r="B91" s="14"/>
      <c r="C91" s="14"/>
      <c r="D91" s="14"/>
      <c r="E91" s="14">
        <f>IFERROR(IF(SUM('S24'!$H:$H)+SUM('F24'!$H:$H)+SUM('S25'!$H:$H)+SUMPRODUCT(('F25'!$K$3:$K$600&gt;=$E$2+0)*('F25'!$K$3:$K$600&lt;$E$2+42)*('F25'!$H$3:$H$600))=0,"",SUM('S24'!$H:$H)+SUM('F24'!$H:$H)+SUM('S25'!$H:$H)+SUMPRODUCT(('F25'!$K$3:$K$600&gt;=$E$2+0)*('F25'!$K$3:$K$600&lt;$E$2+42)*('F25'!$H$3:$H$600))),"")</f>
        <v>78628.86</v>
      </c>
      <c r="F91" s="14"/>
      <c r="G91" s="14"/>
      <c r="H91" s="14"/>
      <c r="I91" s="14"/>
      <c r="J91" s="14">
        <f>IFERROR(IF(SUMPRODUCT(('F25'!$K$3:$K$600&gt;=$E$2+35)*('F25'!$K$3:$K$600&lt;$E$2+42)*('F25'!$H$3:$H$600))=0,"",SUMPRODUCT(('F25'!$K$3:$K$600&gt;=$E$2+35)*('F25'!$K$3:$K$600&lt;$E$2+42)*('F25'!$H$3:$H$600))),"")</f>
        <v>1860</v>
      </c>
      <c r="K91" s="15"/>
    </row>
    <row r="92">
      <c r="A92" s="48">
        <v>45950.0</v>
      </c>
      <c r="B92" s="11"/>
      <c r="C92" s="11"/>
      <c r="D92" s="11"/>
      <c r="E92" s="11">
        <f>IFERROR(IF(SUM('S24'!$H:$H)+SUM('F24'!$H:$H)+SUM('S25'!$H:$H)+SUMPRODUCT(('F25'!$K$3:$K$600&gt;=$E$2+0)*('F25'!$K$3:$K$600&lt;$E$2+49)*('F25'!$H$3:$H$600))=0,"",SUM('S24'!$H:$H)+SUM('F24'!$H:$H)+SUM('S25'!$H:$H)+SUMPRODUCT(('F25'!$K$3:$K$600&gt;=$E$2+0)*('F25'!$K$3:$K$600&lt;$E$2+49)*('F25'!$H$3:$H$600))),"")</f>
        <v>81480.86</v>
      </c>
      <c r="F92" s="11"/>
      <c r="G92" s="11"/>
      <c r="H92" s="11"/>
      <c r="I92" s="11"/>
      <c r="J92" s="11">
        <f>IFERROR(IF(SUMPRODUCT(('F25'!$K$3:$K$600&gt;=$E$2+42)*('F25'!$K$3:$K$600&lt;$E$2+49)*('F25'!$H$3:$H$600))=0,"",SUMPRODUCT(('F25'!$K$3:$K$600&gt;=$E$2+42)*('F25'!$K$3:$K$600&lt;$E$2+49)*('F25'!$H$3:$H$600))),"")</f>
        <v>2852</v>
      </c>
      <c r="K92" s="12"/>
    </row>
    <row r="93">
      <c r="A93" s="49">
        <v>45957.0</v>
      </c>
      <c r="B93" s="14"/>
      <c r="C93" s="14"/>
      <c r="D93" s="14"/>
      <c r="E93" s="14">
        <f>IFERROR(IF(SUM('S24'!$H:$H)+SUM('F24'!$H:$H)+SUM('S25'!$H:$H)+SUMPRODUCT(('F25'!$K$3:$K$600&gt;=$E$2+0)*('F25'!$K$3:$K$600&lt;$E$2+56)*('F25'!$H$3:$H$600))=0,"",SUM('S24'!$H:$H)+SUM('F24'!$H:$H)+SUM('S25'!$H:$H)+SUMPRODUCT(('F25'!$K$3:$K$600&gt;=$E$2+0)*('F25'!$K$3:$K$600&lt;$E$2+56)*('F25'!$H$3:$H$600))),"")</f>
        <v>84558.86</v>
      </c>
      <c r="F93" s="14"/>
      <c r="G93" s="14"/>
      <c r="H93" s="14"/>
      <c r="I93" s="14"/>
      <c r="J93" s="14">
        <f>IFERROR(IF(SUMPRODUCT(('F25'!$K$3:$K$600&gt;=$E$2+49)*('F25'!$K$3:$K$600&lt;$E$2+56)*('F25'!$H$3:$H$600))=0,"",SUMPRODUCT(('F25'!$K$3:$K$600&gt;=$E$2+49)*('F25'!$K$3:$K$600&lt;$E$2+56)*('F25'!$H$3:$H$600))),"")</f>
        <v>3078</v>
      </c>
      <c r="K93" s="15"/>
    </row>
    <row r="94">
      <c r="A94" s="48">
        <v>45958.0</v>
      </c>
      <c r="B94" s="11"/>
      <c r="C94" s="11"/>
      <c r="D94" s="11"/>
      <c r="E94" s="11">
        <f>IFERROR(IF(SUM('S24'!$H:$H)+SUM('F24'!$H:$H)+SUM('S25'!$H:$H)+SUMPRODUCT(('F25'!$K$3:$K$600&gt;=$E$2+0)*('F25'!$K$3:$K$600&lt;$E$2+63)*('F25'!$H$3:$H$600))=0,"",SUM('S24'!$H:$H)+SUM('F24'!$H:$H)+SUM('S25'!$H:$H)+SUMPRODUCT(('F25'!$K$3:$K$600&gt;=$E$2+0)*('F25'!$K$3:$K$600&lt;$E$2+63)*('F25'!$H$3:$H$600))),"")</f>
        <v>87498.86</v>
      </c>
      <c r="F94" s="11"/>
      <c r="G94" s="11"/>
      <c r="H94" s="11"/>
      <c r="I94" s="11"/>
      <c r="J94" s="11">
        <f>IFERROR(IF(SUMPRODUCT(('F25'!$K$3:$K$600&gt;=$E$2+56)*('F25'!$K$3:$K$600&lt;$E$2+63)*('F25'!$H$3:$H$600))=0,"",SUMPRODUCT(('F25'!$K$3:$K$600&gt;=$E$2+56)*('F25'!$K$3:$K$600&lt;$E$2+63)*('F25'!$H$3:$H$600))),"")</f>
        <v>2940</v>
      </c>
      <c r="K94" s="12"/>
    </row>
    <row r="95">
      <c r="A95" s="49">
        <v>45964.0</v>
      </c>
      <c r="B95" s="14"/>
      <c r="C95" s="14"/>
      <c r="D95" s="14"/>
      <c r="E95" s="14">
        <f>IFERROR(IF(SUM('S24'!$H:$H)+SUM('F24'!$H:$H)+SUM('S25'!$H:$H)+SUMPRODUCT(('F25'!$K$3:$K$600&gt;=$E$2+0)*('F25'!$K$3:$K$600&lt;$E$2+70)*('F25'!$H$3:$H$600))=0,"",SUM('S24'!$H:$H)+SUM('F24'!$H:$H)+SUM('S25'!$H:$H)+SUMPRODUCT(('F25'!$K$3:$K$600&gt;=$E$2+0)*('F25'!$K$3:$K$600&lt;$E$2+70)*('F25'!$H$3:$H$600))),"")</f>
        <v>89966.86</v>
      </c>
      <c r="F95" s="14"/>
      <c r="G95" s="14"/>
      <c r="H95" s="14"/>
      <c r="I95" s="14"/>
      <c r="J95" s="14">
        <f>IFERROR(IF(SUMPRODUCT(('F25'!$K$3:$K$600&gt;=$E$2+63)*('F25'!$K$3:$K$600&lt;$E$2+70)*('F25'!$H$3:$H$600))=0,"",SUMPRODUCT(('F25'!$K$3:$K$600&gt;=$E$2+63)*('F25'!$K$3:$K$600&lt;$E$2+70)*('F25'!$H$3:$H$600))),"")</f>
        <v>2468</v>
      </c>
      <c r="K95" s="15"/>
    </row>
    <row r="96">
      <c r="A96" s="48">
        <v>45971.0</v>
      </c>
      <c r="B96" s="11"/>
      <c r="C96" s="11"/>
      <c r="D96" s="11"/>
      <c r="E96" s="11">
        <f>IFERROR(IF(SUM('S24'!$H:$H)+SUM('F24'!$H:$H)+SUM('S25'!$H:$H)+SUMPRODUCT(('F25'!$K$3:$K$600&gt;=$E$2+0)*('F25'!$K$3:$K$600&lt;$E$2+77)*('F25'!$H$3:$H$600))=0,"",SUM('S24'!$H:$H)+SUM('F24'!$H:$H)+SUM('S25'!$H:$H)+SUMPRODUCT(('F25'!$K$3:$K$600&gt;=$E$2+0)*('F25'!$K$3:$K$600&lt;$E$2+77)*('F25'!$H$3:$H$600))),"")</f>
        <v>93162.86</v>
      </c>
      <c r="F96" s="11"/>
      <c r="G96" s="11"/>
      <c r="H96" s="11"/>
      <c r="I96" s="11"/>
      <c r="J96" s="11">
        <f>IFERROR(IF(SUMPRODUCT(('F25'!$K$3:$K$600&gt;=$E$2+70)*('F25'!$K$3:$K$600&lt;$E$2+77)*('F25'!$H$3:$H$600))=0,"",SUMPRODUCT(('F25'!$K$3:$K$600&gt;=$E$2+70)*('F25'!$K$3:$K$600&lt;$E$2+77)*('F25'!$H$3:$H$600))),"")</f>
        <v>3196</v>
      </c>
      <c r="K96" s="12"/>
    </row>
    <row r="97">
      <c r="A97" s="49">
        <v>45978.0</v>
      </c>
      <c r="B97" s="14"/>
      <c r="C97" s="14"/>
      <c r="D97" s="14"/>
      <c r="E97" s="14">
        <f>IFERROR(IF(SUM('S24'!$H:$H)+SUM('F24'!$H:$H)+SUM('S25'!$H:$H)+SUMPRODUCT(('F25'!$K$3:$K$600&gt;=$E$2+0)*('F25'!$K$3:$K$600&lt;$E$2+84)*('F25'!$H$3:$H$600))=0,"",SUM('S24'!$H:$H)+SUM('F24'!$H:$H)+SUM('S25'!$H:$H)+SUMPRODUCT(('F25'!$K$3:$K$600&gt;=$E$2+0)*('F25'!$K$3:$K$600&lt;$E$2+84)*('F25'!$H$3:$H$600))),"")</f>
        <v>93836.86</v>
      </c>
      <c r="F97" s="14"/>
      <c r="G97" s="14"/>
      <c r="H97" s="14"/>
      <c r="I97" s="14"/>
      <c r="J97" s="14">
        <f>IFERROR(IF(SUMPRODUCT(('F25'!$K$3:$K$600&gt;=$E$2+77)*('F25'!$K$3:$K$600&lt;$E$2+84)*('F25'!$H$3:$H$600))=0,"",SUMPRODUCT(('F25'!$K$3:$K$600&gt;=$E$2+77)*('F25'!$K$3:$K$600&lt;$E$2+84)*('F25'!$H$3:$H$600))),"")</f>
        <v>674</v>
      </c>
      <c r="K97" s="15"/>
    </row>
    <row r="98">
      <c r="A98" s="48">
        <v>45985.0</v>
      </c>
      <c r="B98" s="11"/>
      <c r="C98" s="11"/>
      <c r="D98" s="11"/>
      <c r="E98" s="11">
        <f>IFERROR(IF(SUM('S24'!$H:$H)+SUM('F24'!$H:$H)+SUM('S25'!$H:$H)+SUMPRODUCT(('F25'!$K$3:$K$600&gt;=$E$2+0)*('F25'!$K$3:$K$600&lt;$E$2+91)*('F25'!$H$3:$H$600))=0,"",SUM('S24'!$H:$H)+SUM('F24'!$H:$H)+SUM('S25'!$H:$H)+SUMPRODUCT(('F25'!$K$3:$K$600&gt;=$E$2+0)*('F25'!$K$3:$K$600&lt;$E$2+91)*('F25'!$H$3:$H$600))),"")</f>
        <v>96537.86</v>
      </c>
      <c r="F98" s="11"/>
      <c r="G98" s="11"/>
      <c r="H98" s="11"/>
      <c r="I98" s="11"/>
      <c r="J98" s="11">
        <f>IFERROR(IF(SUMPRODUCT(('F25'!$K$3:$K$600&gt;=$E$2+84)*('F25'!$K$3:$K$600&lt;$E$2+91)*('F25'!$H$3:$H$600))=0,"",SUMPRODUCT(('F25'!$K$3:$K$600&gt;=$E$2+84)*('F25'!$K$3:$K$600&lt;$E$2+91)*('F25'!$H$3:$H$600))),"")</f>
        <v>2701</v>
      </c>
      <c r="K98" s="12"/>
    </row>
    <row r="99">
      <c r="A99" s="49">
        <v>45992.0</v>
      </c>
      <c r="B99" s="14"/>
      <c r="C99" s="14"/>
      <c r="D99" s="14"/>
      <c r="E99" s="14">
        <f>IFERROR(IF(SUM('S24'!$H:$H)+SUM('F24'!$H:$H)+SUM('S25'!$H:$H)+SUMPRODUCT(('F25'!$K$3:$K$600&gt;=$E$2+0)*('F25'!$K$3:$K$600&lt;$E$2+98)*('F25'!$H$3:$H$600))=0,"",SUM('S24'!$H:$H)+SUM('F24'!$H:$H)+SUM('S25'!$H:$H)+SUMPRODUCT(('F25'!$K$3:$K$600&gt;=$E$2+0)*('F25'!$K$3:$K$600&lt;$E$2+98)*('F25'!$H$3:$H$600))),"")</f>
        <v>98006.86</v>
      </c>
      <c r="F99" s="14"/>
      <c r="G99" s="14"/>
      <c r="H99" s="14"/>
      <c r="I99" s="14"/>
      <c r="J99" s="14">
        <f>IFERROR(IF(SUMPRODUCT(('F25'!$K$3:$K$600&gt;=$E$2+91)*('F25'!$K$3:$K$600&lt;$E$2+98)*('F25'!$H$3:$H$600))=0,"",SUMPRODUCT(('F25'!$K$3:$K$600&gt;=$E$2+91)*('F25'!$K$3:$K$600&lt;$E$2+98)*('F25'!$H$3:$H$600))),"")</f>
        <v>1469</v>
      </c>
      <c r="K99" s="15"/>
    </row>
    <row r="100">
      <c r="A100" s="48">
        <v>46041.0</v>
      </c>
      <c r="B100" s="11"/>
      <c r="C100" s="11"/>
      <c r="D100" s="11"/>
      <c r="E100" s="11"/>
      <c r="F100" s="11">
        <f>IFERROR(IF(SUM('S24'!$H:$H)+SUM('F24'!$H:$H)+SUM('S25'!$H:$H)+SUM('F25'!$H:$H)+SUMPRODUCT(('S26'!$K$3:$K$600&gt;=$F$2+0)*('S26'!$K$3:$K$600&lt;$F$2+7)*('S26'!$H$3:$H$600))=0,"",SUM('S24'!$H:$H)+SUM('F24'!$H:$H)+SUM('S25'!$H:$H)+SUM('F25'!$H:$H)+SUMPRODUCT(('S26'!$K$3:$K$600&gt;=$F$2+0)*('S26'!$K$3:$K$600&lt;$F$2+7)*('S26'!$H$3:$H$600))),"")</f>
        <v>98496.86</v>
      </c>
      <c r="G100" s="11"/>
      <c r="H100" s="11"/>
      <c r="I100" s="11"/>
      <c r="J100" s="11"/>
      <c r="K100" s="12">
        <f>IFERROR(IF(SUMPRODUCT(('S26'!$K$3:$K$600&gt;=$F$2+0)*('S26'!$K$3:$K$600&lt;$F$2+7)*('S26'!$H$3:$H$600))=0,"",SUMPRODUCT(('S26'!$K$3:$K$600&gt;=$F$2+0)*('S26'!$K$3:$K$600&lt;$F$2+7)*('S26'!$H$3:$H$600))),"")</f>
        <v>490</v>
      </c>
    </row>
    <row r="101">
      <c r="A101" s="49">
        <v>46048.0</v>
      </c>
      <c r="B101" s="14"/>
      <c r="C101" s="14"/>
      <c r="D101" s="14"/>
      <c r="E101" s="14"/>
      <c r="F101" s="14">
        <f>IFERROR(IF(SUM('S24'!$H:$H)+SUM('F24'!$H:$H)+SUM('S25'!$H:$H)+SUM('F25'!$H:$H)+SUMPRODUCT(('S26'!$K$3:$K$600&gt;=$F$2+0)*('S26'!$K$3:$K$600&lt;$F$2+14)*('S26'!$H$3:$H$600))=0,"",SUM('S24'!$H:$H)+SUM('F24'!$H:$H)+SUM('S25'!$H:$H)+SUM('F25'!$H:$H)+SUMPRODUCT(('S26'!$K$3:$K$600&gt;=$F$2+0)*('S26'!$K$3:$K$600&lt;$F$2+14)*('S26'!$H$3:$H$600))),"")</f>
        <v>99850.86</v>
      </c>
      <c r="G101" s="14"/>
      <c r="H101" s="14"/>
      <c r="I101" s="14"/>
      <c r="J101" s="14"/>
      <c r="K101" s="15">
        <f>IFERROR(IF(SUMPRODUCT(('S26'!$K$3:$K$600&gt;=$F$2+7)*('S26'!$K$3:$K$600&lt;$F$2+14)*('S26'!$H$3:$H$600))=0,"",SUMPRODUCT(('S26'!$K$3:$K$600&gt;=$F$2+7)*('S26'!$K$3:$K$600&lt;$F$2+14)*('S26'!$H$3:$H$600))),"")</f>
        <v>1354</v>
      </c>
    </row>
    <row r="102">
      <c r="A102" s="48">
        <v>46055.0</v>
      </c>
      <c r="B102" s="11"/>
      <c r="C102" s="11"/>
      <c r="D102" s="11"/>
      <c r="E102" s="11"/>
      <c r="F102" s="11">
        <f>IFERROR(IF(SUM('S24'!$H:$H)+SUM('F24'!$H:$H)+SUM('S25'!$H:$H)+SUM('F25'!$H:$H)+SUMPRODUCT(('S26'!$K$3:$K$600&gt;=$F$2+0)*('S26'!$K$3:$K$600&lt;$F$2+21)*('S26'!$H$3:$H$600))=0,"",SUM('S24'!$H:$H)+SUM('F24'!$H:$H)+SUM('S25'!$H:$H)+SUM('F25'!$H:$H)+SUMPRODUCT(('S26'!$K$3:$K$600&gt;=$F$2+0)*('S26'!$K$3:$K$600&lt;$F$2+21)*('S26'!$H$3:$H$600))),"")</f>
        <v>103294.86</v>
      </c>
      <c r="G102" s="11"/>
      <c r="H102" s="11"/>
      <c r="I102" s="11"/>
      <c r="J102" s="11"/>
      <c r="K102" s="12">
        <f>IFERROR(IF(SUMPRODUCT(('S26'!$K$3:$K$600&gt;=$F$2+14)*('S26'!$K$3:$K$600&lt;$F$2+21)*('S26'!$H$3:$H$600))=0,"",SUMPRODUCT(('S26'!$K$3:$K$600&gt;=$F$2+14)*('S26'!$K$3:$K$600&lt;$F$2+21)*('S26'!$H$3:$H$600))),"")</f>
        <v>3444</v>
      </c>
    </row>
    <row r="103">
      <c r="A103" s="49">
        <v>46062.0</v>
      </c>
      <c r="B103" s="14"/>
      <c r="C103" s="14"/>
      <c r="D103" s="14"/>
      <c r="E103" s="14"/>
      <c r="F103" s="14">
        <f>IFERROR(IF(SUM('S24'!$H:$H)+SUM('F24'!$H:$H)+SUM('S25'!$H:$H)+SUM('F25'!$H:$H)+SUMPRODUCT(('S26'!$K$3:$K$600&gt;=$F$2+0)*('S26'!$K$3:$K$600&lt;$F$2+28)*('S26'!$H$3:$H$600))=0,"",SUM('S24'!$H:$H)+SUM('F24'!$H:$H)+SUM('S25'!$H:$H)+SUM('F25'!$H:$H)+SUMPRODUCT(('S26'!$K$3:$K$600&gt;=$F$2+0)*('S26'!$K$3:$K$600&lt;$F$2+28)*('S26'!$H$3:$H$600))),"")</f>
        <v>105895.86</v>
      </c>
      <c r="G103" s="14"/>
      <c r="H103" s="14"/>
      <c r="I103" s="14"/>
      <c r="J103" s="14"/>
      <c r="K103" s="15">
        <f>IFERROR(IF(SUMPRODUCT(('S26'!$K$3:$K$600&gt;=$F$2+21)*('S26'!$K$3:$K$600&lt;$F$2+28)*('S26'!$H$3:$H$600))=0,"",SUMPRODUCT(('S26'!$K$3:$K$600&gt;=$F$2+21)*('S26'!$K$3:$K$600&lt;$F$2+28)*('S26'!$H$3:$H$600))),"")</f>
        <v>2601</v>
      </c>
    </row>
    <row r="104">
      <c r="A104" s="48">
        <v>46069.0</v>
      </c>
      <c r="B104" s="11"/>
      <c r="C104" s="11"/>
      <c r="D104" s="11"/>
      <c r="E104" s="11"/>
      <c r="F104" s="11">
        <f>IFERROR(IF(SUM('S24'!$H:$H)+SUM('F24'!$H:$H)+SUM('S25'!$H:$H)+SUM('F25'!$H:$H)+SUMPRODUCT(('S26'!$K$3:$K$600&gt;=$F$2+0)*('S26'!$K$3:$K$600&lt;$F$2+35)*('S26'!$H$3:$H$600))=0,"",SUM('S24'!$H:$H)+SUM('F24'!$H:$H)+SUM('S25'!$H:$H)+SUM('F25'!$H:$H)+SUMPRODUCT(('S26'!$K$3:$K$600&gt;=$F$2+0)*('S26'!$K$3:$K$600&lt;$F$2+35)*('S26'!$H$3:$H$600))),"")</f>
        <v>108567.86</v>
      </c>
      <c r="G104" s="11"/>
      <c r="H104" s="11"/>
      <c r="I104" s="11"/>
      <c r="J104" s="11"/>
      <c r="K104" s="12">
        <f>IFERROR(IF(SUMPRODUCT(('S26'!$K$3:$K$600&gt;=$F$2+28)*('S26'!$K$3:$K$600&lt;$F$2+35)*('S26'!$H$3:$H$600))=0,"",SUMPRODUCT(('S26'!$K$3:$K$600&gt;=$F$2+28)*('S26'!$K$3:$K$600&lt;$F$2+35)*('S26'!$H$3:$H$600))),"")</f>
        <v>2672</v>
      </c>
    </row>
    <row r="105">
      <c r="A105" s="49">
        <v>46076.0</v>
      </c>
      <c r="B105" s="14"/>
      <c r="C105" s="14"/>
      <c r="D105" s="14"/>
      <c r="E105" s="14"/>
      <c r="F105" s="14">
        <f>IFERROR(IF(SUM('S24'!$H:$H)+SUM('F24'!$H:$H)+SUM('S25'!$H:$H)+SUM('F25'!$H:$H)+SUMPRODUCT(('S26'!$K$3:$K$600&gt;=$F$2+0)*('S26'!$K$3:$K$600&lt;$F$2+42)*('S26'!$H$3:$H$600))=0,"",SUM('S24'!$H:$H)+SUM('F24'!$H:$H)+SUM('S25'!$H:$H)+SUM('F25'!$H:$H)+SUMPRODUCT(('S26'!$K$3:$K$600&gt;=$F$2+0)*('S26'!$K$3:$K$600&lt;$F$2+42)*('S26'!$H$3:$H$600))),"")</f>
        <v>109183.86</v>
      </c>
      <c r="G105" s="14"/>
      <c r="H105" s="14"/>
      <c r="I105" s="14"/>
      <c r="J105" s="14"/>
      <c r="K105" s="15">
        <f>IFERROR(IF(SUMPRODUCT(('S26'!$K$3:$K$600&gt;=$F$2+35)*('S26'!$K$3:$K$600&lt;$F$2+42)*('S26'!$H$3:$H$600))=0,"",SUMPRODUCT(('S26'!$K$3:$K$600&gt;=$F$2+35)*('S26'!$K$3:$K$600&lt;$F$2+42)*('S26'!$H$3:$H$600))),"")</f>
        <v>616</v>
      </c>
    </row>
    <row r="106">
      <c r="A106" s="48">
        <v>46083.0</v>
      </c>
      <c r="B106" s="11"/>
      <c r="C106" s="11"/>
      <c r="D106" s="11"/>
      <c r="E106" s="11"/>
      <c r="F106" s="11">
        <f>IFERROR(IF(SUM('S24'!$H:$H)+SUM('F24'!$H:$H)+SUM('S25'!$H:$H)+SUM('F25'!$H:$H)+SUMPRODUCT(('S26'!$K$3:$K$600&gt;=$F$2+0)*('S26'!$K$3:$K$600&lt;$F$2+49)*('S26'!$H$3:$H$600))=0,"",SUM('S24'!$H:$H)+SUM('F24'!$H:$H)+SUM('S25'!$H:$H)+SUM('F25'!$H:$H)+SUMPRODUCT(('S26'!$K$3:$K$600&gt;=$F$2+0)*('S26'!$K$3:$K$600&lt;$F$2+49)*('S26'!$H$3:$H$600))),"")</f>
        <v>111810.86</v>
      </c>
      <c r="G106" s="11"/>
      <c r="H106" s="11"/>
      <c r="I106" s="11"/>
      <c r="J106" s="11"/>
      <c r="K106" s="12">
        <f>IFERROR(IF(SUMPRODUCT(('S26'!$K$3:$K$600&gt;=$F$2+42)*('S26'!$K$3:$K$600&lt;$F$2+49)*('S26'!$H$3:$H$600))=0,"",SUMPRODUCT(('S26'!$K$3:$K$600&gt;=$F$2+42)*('S26'!$K$3:$K$600&lt;$F$2+49)*('S26'!$H$3:$H$600))),"")</f>
        <v>2627</v>
      </c>
    </row>
    <row r="107">
      <c r="A107" s="49">
        <v>46090.0</v>
      </c>
      <c r="B107" s="14"/>
      <c r="C107" s="14"/>
      <c r="D107" s="14"/>
      <c r="E107" s="14"/>
      <c r="F107" s="14">
        <f>IFERROR(IF(SUM('S24'!$H:$H)+SUM('F24'!$H:$H)+SUM('S25'!$H:$H)+SUM('F25'!$H:$H)+SUMPRODUCT(('S26'!$K$3:$K$600&gt;=$F$2+0)*('S26'!$K$3:$K$600&lt;$F$2+56)*('S26'!$H$3:$H$600))=0,"",SUM('S24'!$H:$H)+SUM('F24'!$H:$H)+SUM('S25'!$H:$H)+SUM('F25'!$H:$H)+SUMPRODUCT(('S26'!$K$3:$K$600&gt;=$F$2+0)*('S26'!$K$3:$K$600&lt;$F$2+56)*('S26'!$H$3:$H$600))),"")</f>
        <v>114540.86</v>
      </c>
      <c r="G107" s="14"/>
      <c r="H107" s="14"/>
      <c r="I107" s="14"/>
      <c r="J107" s="14"/>
      <c r="K107" s="15">
        <f>IFERROR(IF(SUMPRODUCT(('S26'!$K$3:$K$600&gt;=$F$2+49)*('S26'!$K$3:$K$600&lt;$F$2+56)*('S26'!$H$3:$H$600))=0,"",SUMPRODUCT(('S26'!$K$3:$K$600&gt;=$F$2+49)*('S26'!$K$3:$K$600&lt;$F$2+56)*('S26'!$H$3:$H$600))),"")</f>
        <v>2730</v>
      </c>
    </row>
    <row r="108">
      <c r="A108" s="48">
        <v>46097.0</v>
      </c>
      <c r="B108" s="11"/>
      <c r="C108" s="11"/>
      <c r="D108" s="11"/>
      <c r="E108" s="11"/>
      <c r="F108" s="11">
        <f>IFERROR(IF(SUM('S24'!$H:$H)+SUM('F24'!$H:$H)+SUM('S25'!$H:$H)+SUM('F25'!$H:$H)+SUMPRODUCT(('S26'!$K$3:$K$600&gt;=$F$2+0)*('S26'!$K$3:$K$600&lt;$F$2+63)*('S26'!$H$3:$H$600))=0,"",SUM('S24'!$H:$H)+SUM('F24'!$H:$H)+SUM('S25'!$H:$H)+SUM('F25'!$H:$H)+SUMPRODUCT(('S26'!$K$3:$K$600&gt;=$F$2+0)*('S26'!$K$3:$K$600&lt;$F$2+63)*('S26'!$H$3:$H$600))),"")</f>
        <v>114540.86</v>
      </c>
      <c r="G108" s="11"/>
      <c r="H108" s="11"/>
      <c r="I108" s="11"/>
      <c r="J108" s="11"/>
      <c r="K108" s="12" t="str">
        <f>IFERROR(IF(SUMPRODUCT(('S26'!$K$3:$K$600&gt;=$F$2+56)*('S26'!$K$3:$K$600&lt;$F$2+63)*('S26'!$H$3:$H$600))=0,"",SUMPRODUCT(('S26'!$K$3:$K$600&gt;=$F$2+56)*('S26'!$K$3:$K$600&lt;$F$2+63)*('S26'!$H$3:$H$600))),"")</f>
        <v/>
      </c>
    </row>
    <row r="109">
      <c r="A109" s="49">
        <v>46104.0</v>
      </c>
      <c r="B109" s="14"/>
      <c r="C109" s="14"/>
      <c r="D109" s="14"/>
      <c r="E109" s="14"/>
      <c r="F109" s="14">
        <f>IFERROR(IF(SUM('S24'!$H:$H)+SUM('F24'!$H:$H)+SUM('S25'!$H:$H)+SUM('F25'!$H:$H)+SUMPRODUCT(('S26'!$K$3:$K$600&gt;=$F$2+0)*('S26'!$K$3:$K$600&lt;$F$2+70)*('S26'!$H$3:$H$600))=0,"",SUM('S24'!$H:$H)+SUM('F24'!$H:$H)+SUM('S25'!$H:$H)+SUM('F25'!$H:$H)+SUMPRODUCT(('S26'!$K$3:$K$600&gt;=$F$2+0)*('S26'!$K$3:$K$600&lt;$F$2+70)*('S26'!$H$3:$H$600))),"")</f>
        <v>116996.86</v>
      </c>
      <c r="G109" s="14"/>
      <c r="H109" s="14"/>
      <c r="I109" s="14"/>
      <c r="J109" s="14"/>
      <c r="K109" s="15">
        <f>IFERROR(IF(SUMPRODUCT(('S26'!$K$3:$K$600&gt;=$F$2+63)*('S26'!$K$3:$K$600&lt;$F$2+70)*('S26'!$H$3:$H$600))=0,"",SUMPRODUCT(('S26'!$K$3:$K$600&gt;=$F$2+63)*('S26'!$K$3:$K$600&lt;$F$2+70)*('S26'!$H$3:$H$600))),"")</f>
        <v>2456</v>
      </c>
    </row>
    <row r="110">
      <c r="A110" s="48">
        <v>46111.0</v>
      </c>
      <c r="B110" s="11"/>
      <c r="C110" s="11"/>
      <c r="D110" s="11"/>
      <c r="E110" s="11"/>
      <c r="F110" s="11">
        <f>IFERROR(IF(SUM('S24'!$H:$H)+SUM('F24'!$H:$H)+SUM('S25'!$H:$H)+SUM('F25'!$H:$H)+SUMPRODUCT(('S26'!$K$3:$K$600&gt;=$F$2+0)*('S26'!$K$3:$K$600&lt;$F$2+77)*('S26'!$H$3:$H$600))=0,"",SUM('S24'!$H:$H)+SUM('F24'!$H:$H)+SUM('S25'!$H:$H)+SUM('F25'!$H:$H)+SUMPRODUCT(('S26'!$K$3:$K$600&gt;=$F$2+0)*('S26'!$K$3:$K$600&lt;$F$2+77)*('S26'!$H$3:$H$600))),"")</f>
        <v>119862.86</v>
      </c>
      <c r="G110" s="11"/>
      <c r="H110" s="11"/>
      <c r="I110" s="11"/>
      <c r="J110" s="11"/>
      <c r="K110" s="12">
        <f>IFERROR(IF(SUMPRODUCT(('S26'!$K$3:$K$600&gt;=$F$2+70)*('S26'!$K$3:$K$600&lt;$F$2+77)*('S26'!$H$3:$H$600))=0,"",SUMPRODUCT(('S26'!$K$3:$K$600&gt;=$F$2+70)*('S26'!$K$3:$K$600&lt;$F$2+77)*('S26'!$H$3:$H$600))),"")</f>
        <v>2866</v>
      </c>
    </row>
    <row r="111">
      <c r="A111" s="49">
        <v>46118.0</v>
      </c>
      <c r="B111" s="14"/>
      <c r="C111" s="14"/>
      <c r="D111" s="14"/>
      <c r="E111" s="14"/>
      <c r="F111" s="14">
        <f>IFERROR(IF(SUM('S24'!$H:$H)+SUM('F24'!$H:$H)+SUM('S25'!$H:$H)+SUM('F25'!$H:$H)+SUMPRODUCT(('S26'!$K$3:$K$600&gt;=$F$2+0)*('S26'!$K$3:$K$600&lt;$F$2+84)*('S26'!$H$3:$H$600))=0,"",SUM('S24'!$H:$H)+SUM('F24'!$H:$H)+SUM('S25'!$H:$H)+SUM('F25'!$H:$H)+SUMPRODUCT(('S26'!$K$3:$K$600&gt;=$F$2+0)*('S26'!$K$3:$K$600&lt;$F$2+84)*('S26'!$H$3:$H$600))),"")</f>
        <v>122988.86</v>
      </c>
      <c r="G111" s="14"/>
      <c r="H111" s="14"/>
      <c r="I111" s="14"/>
      <c r="J111" s="14"/>
      <c r="K111" s="15">
        <f>IFERROR(IF(SUMPRODUCT(('S26'!$K$3:$K$600&gt;=$F$2+77)*('S26'!$K$3:$K$600&lt;$F$2+84)*('S26'!$H$3:$H$600))=0,"",SUMPRODUCT(('S26'!$K$3:$K$600&gt;=$F$2+77)*('S26'!$K$3:$K$600&lt;$F$2+84)*('S26'!$H$3:$H$600))),"")</f>
        <v>3126</v>
      </c>
    </row>
    <row r="112">
      <c r="A112" s="48">
        <v>46125.0</v>
      </c>
      <c r="B112" s="11"/>
      <c r="C112" s="11"/>
      <c r="D112" s="11"/>
      <c r="E112" s="11"/>
      <c r="F112" s="11">
        <f>IFERROR(IF(SUM('S24'!$H:$H)+SUM('F24'!$H:$H)+SUM('S25'!$H:$H)+SUM('F25'!$H:$H)+SUMPRODUCT(('S26'!$K$3:$K$600&gt;=$F$2+0)*('S26'!$K$3:$K$600&lt;$F$2+91)*('S26'!$H$3:$H$600))=0,"",SUM('S24'!$H:$H)+SUM('F24'!$H:$H)+SUM('S25'!$H:$H)+SUM('F25'!$H:$H)+SUMPRODUCT(('S26'!$K$3:$K$600&gt;=$F$2+0)*('S26'!$K$3:$K$600&lt;$F$2+91)*('S26'!$H$3:$H$600))),"")</f>
        <v>125431.86</v>
      </c>
      <c r="G112" s="11"/>
      <c r="H112" s="11"/>
      <c r="I112" s="11"/>
      <c r="J112" s="11"/>
      <c r="K112" s="12">
        <f>IFERROR(IF(SUMPRODUCT(('S26'!$K$3:$K$600&gt;=$F$2+84)*('S26'!$K$3:$K$600&lt;$F$2+91)*('S26'!$H$3:$H$600))=0,"",SUMPRODUCT(('S26'!$K$3:$K$600&gt;=$F$2+84)*('S26'!$K$3:$K$600&lt;$F$2+91)*('S26'!$H$3:$H$600))),"")</f>
        <v>2443</v>
      </c>
    </row>
    <row r="113">
      <c r="A113" s="50">
        <v>46132.0</v>
      </c>
      <c r="B113" s="25"/>
      <c r="C113" s="25"/>
      <c r="D113" s="25"/>
      <c r="E113" s="25"/>
      <c r="F113" s="25">
        <f>IFERROR(IF(SUM('S24'!$H:$H)+SUM('F24'!$H:$H)+SUM('S25'!$H:$H)+SUM('F25'!$H:$H)+SUMPRODUCT(('S26'!$K$3:$K$600&gt;=$F$2+0)*('S26'!$K$3:$K$600&lt;$F$2+98)*('S26'!$H$3:$H$600))=0,"",SUM('S24'!$H:$H)+SUM('F24'!$H:$H)+SUM('S25'!$H:$H)+SUM('F25'!$H:$H)+SUMPRODUCT(('S26'!$K$3:$K$600&gt;=$F$2+0)*('S26'!$K$3:$K$600&lt;$F$2+98)*('S26'!$H$3:$H$600))),"")</f>
        <v>126566.86</v>
      </c>
      <c r="G113" s="25"/>
      <c r="H113" s="25"/>
      <c r="I113" s="25"/>
      <c r="J113" s="25"/>
      <c r="K113" s="26">
        <f>IFERROR(IF(SUMPRODUCT(('S26'!$K$3:$K$600&gt;=$F$2+91)*('S26'!$K$3:$K$600&lt;$F$2+98)*('S26'!$H$3:$H$600))=0,"",SUMPRODUCT(('S26'!$K$3:$K$600&gt;=$F$2+91)*('S26'!$K$3:$K$600&lt;$F$2+98)*('S26'!$H$3:$H$600))),"")</f>
        <v>1135</v>
      </c>
    </row>
    <row r="114" ht="10.5" customHeight="1">
      <c r="A114" s="19" t="s">
        <v>112</v>
      </c>
    </row>
    <row r="116" ht="10.5" customHeight="1">
      <c r="A116" s="19" t="s">
        <v>113</v>
      </c>
    </row>
    <row r="117" ht="10.5" customHeight="1">
      <c r="A117" s="19" t="s">
        <v>114</v>
      </c>
    </row>
  </sheetData>
  <mergeCells count="2">
    <mergeCell ref="B42:F42"/>
    <mergeCell ref="G42:K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7.88"/>
    <col customWidth="1" min="12" max="12" width="9.75"/>
    <col customWidth="1" min="13" max="13" width="10.63"/>
    <col customWidth="1" min="14" max="16" width="21.63"/>
  </cols>
  <sheetData>
    <row r="1">
      <c r="A1" s="51" t="s">
        <v>115</v>
      </c>
      <c r="B1" s="52" t="s">
        <v>116</v>
      </c>
      <c r="C1" s="51" t="s">
        <v>117</v>
      </c>
      <c r="D1" s="51" t="s">
        <v>118</v>
      </c>
      <c r="E1" s="51" t="s">
        <v>119</v>
      </c>
      <c r="F1" s="51" t="s">
        <v>120</v>
      </c>
      <c r="G1" s="51" t="s">
        <v>121</v>
      </c>
      <c r="H1" s="51" t="s">
        <v>122</v>
      </c>
      <c r="I1" s="51" t="s">
        <v>123</v>
      </c>
      <c r="J1" s="51" t="s">
        <v>124</v>
      </c>
      <c r="K1" s="51" t="s">
        <v>125</v>
      </c>
      <c r="L1" s="51" t="s">
        <v>126</v>
      </c>
      <c r="M1" s="51" t="s">
        <v>127</v>
      </c>
      <c r="N1" s="53"/>
      <c r="O1" s="53"/>
      <c r="P1" s="53"/>
    </row>
    <row r="2">
      <c r="A2" s="54">
        <v>45313.0</v>
      </c>
      <c r="B2" s="55" t="s">
        <v>128</v>
      </c>
      <c r="C2" s="53" t="b">
        <v>0</v>
      </c>
      <c r="D2" s="53"/>
      <c r="E2" s="53"/>
      <c r="F2" s="53"/>
      <c r="G2" s="53"/>
      <c r="H2" s="56">
        <v>0.0</v>
      </c>
      <c r="I2" s="53"/>
      <c r="J2" s="57"/>
      <c r="K2" s="58">
        <v>45313.0</v>
      </c>
      <c r="L2" s="53" t="s">
        <v>129</v>
      </c>
      <c r="M2" s="59">
        <f>IFERROR(__xludf.DUMMYFUNCTION("BYROW('S24'!K2:K782, LAMBDA(r,
  IF(r="""","""",
    LET(
      nextVal, IFERROR(INDEX('S24'!K2:K782, ROW(r)-ROW('S24'!K2)+2), """"),
      IF(r &lt;&gt; nextVal,
         IFERROR(
           SUM(FILTER('S24'!H2:H782, 'S24'!K2:K782 = r)),
           """"
      "&amp;"   ),
         """"
      )
    )
  )
))
"),0.0)</f>
        <v>0</v>
      </c>
      <c r="N2" s="53"/>
      <c r="O2" s="53"/>
      <c r="P2" s="53"/>
    </row>
    <row r="3">
      <c r="A3" s="60">
        <v>45369.49062912037</v>
      </c>
      <c r="B3" s="52" t="s">
        <v>130</v>
      </c>
      <c r="C3" s="53" t="b">
        <v>0</v>
      </c>
      <c r="D3" s="53"/>
      <c r="E3" s="53"/>
      <c r="F3" s="53"/>
      <c r="G3" s="53"/>
      <c r="H3" s="53">
        <v>32.3</v>
      </c>
      <c r="I3" s="53"/>
      <c r="J3" s="57" t="s">
        <v>11</v>
      </c>
      <c r="K3" s="61">
        <v>45369.0</v>
      </c>
      <c r="L3" s="53" t="s">
        <v>129</v>
      </c>
      <c r="M3" s="53">
        <f>IFERROR(__xludf.DUMMYFUNCTION("""COMPUTED_VALUE"""),32.3)</f>
        <v>32.3</v>
      </c>
      <c r="N3" s="53"/>
      <c r="O3" s="53"/>
      <c r="P3" s="53"/>
    </row>
    <row r="4">
      <c r="A4" s="60">
        <v>45370.60435524306</v>
      </c>
      <c r="B4" s="52" t="s">
        <v>131</v>
      </c>
      <c r="C4" s="53" t="b">
        <v>0</v>
      </c>
      <c r="D4" s="53"/>
      <c r="E4" s="53"/>
      <c r="F4" s="53"/>
      <c r="G4" s="53"/>
      <c r="H4" s="62">
        <v>32.47</v>
      </c>
      <c r="I4" s="53"/>
      <c r="J4" s="53" t="s">
        <v>11</v>
      </c>
      <c r="K4" s="61">
        <v>45370.0</v>
      </c>
      <c r="L4" s="53" t="s">
        <v>132</v>
      </c>
      <c r="M4" s="53" t="str">
        <f>IFERROR(__xludf.DUMMYFUNCTION("""COMPUTED_VALUE"""),"")</f>
        <v/>
      </c>
      <c r="N4" s="53"/>
      <c r="O4" s="53"/>
      <c r="P4" s="53"/>
    </row>
    <row r="5">
      <c r="A5" s="60">
        <v>45370.87484373843</v>
      </c>
      <c r="B5" s="52" t="s">
        <v>133</v>
      </c>
      <c r="C5" s="53" t="b">
        <v>0</v>
      </c>
      <c r="D5" s="53"/>
      <c r="E5" s="53"/>
      <c r="F5" s="53"/>
      <c r="G5" s="53"/>
      <c r="H5" s="62">
        <v>101.0</v>
      </c>
      <c r="I5" s="53"/>
      <c r="J5" s="53" t="s">
        <v>12</v>
      </c>
      <c r="K5" s="61">
        <v>45370.0</v>
      </c>
      <c r="L5" s="53" t="s">
        <v>132</v>
      </c>
      <c r="M5" s="53" t="str">
        <f>IFERROR(__xludf.DUMMYFUNCTION("""COMPUTED_VALUE"""),"")</f>
        <v/>
      </c>
      <c r="N5" s="53"/>
      <c r="O5" s="53"/>
      <c r="P5" s="53"/>
    </row>
    <row r="6">
      <c r="A6" s="60">
        <v>45370.87556549768</v>
      </c>
      <c r="B6" s="52" t="s">
        <v>134</v>
      </c>
      <c r="C6" s="53" t="b">
        <v>0</v>
      </c>
      <c r="D6" s="53"/>
      <c r="E6" s="53"/>
      <c r="F6" s="53"/>
      <c r="G6" s="53"/>
      <c r="H6" s="62">
        <v>163.0</v>
      </c>
      <c r="I6" s="53"/>
      <c r="J6" s="53" t="s">
        <v>12</v>
      </c>
      <c r="K6" s="61">
        <v>45370.0</v>
      </c>
      <c r="L6" s="53" t="s">
        <v>132</v>
      </c>
      <c r="M6" s="53">
        <f>IFERROR(__xludf.DUMMYFUNCTION("""COMPUTED_VALUE"""),296.47)</f>
        <v>296.47</v>
      </c>
      <c r="N6" s="53"/>
      <c r="O6" s="53"/>
      <c r="P6" s="53"/>
    </row>
    <row r="7">
      <c r="A7" s="60">
        <v>45371.39529241898</v>
      </c>
      <c r="B7" s="52" t="s">
        <v>131</v>
      </c>
      <c r="C7" s="53" t="b">
        <v>0</v>
      </c>
      <c r="D7" s="53"/>
      <c r="E7" s="53"/>
      <c r="F7" s="53"/>
      <c r="G7" s="53"/>
      <c r="H7" s="62">
        <v>21.8</v>
      </c>
      <c r="I7" s="53"/>
      <c r="J7" s="53" t="s">
        <v>10</v>
      </c>
      <c r="K7" s="61">
        <v>45371.0</v>
      </c>
      <c r="L7" s="53" t="s">
        <v>135</v>
      </c>
      <c r="M7" s="53" t="str">
        <f>IFERROR(__xludf.DUMMYFUNCTION("""COMPUTED_VALUE"""),"")</f>
        <v/>
      </c>
      <c r="N7" s="53"/>
      <c r="O7" s="53"/>
      <c r="P7" s="53"/>
    </row>
    <row r="8">
      <c r="A8" s="60">
        <v>45371.47010603009</v>
      </c>
      <c r="B8" s="52" t="s">
        <v>130</v>
      </c>
      <c r="C8" s="53" t="b">
        <v>0</v>
      </c>
      <c r="D8" s="53"/>
      <c r="E8" s="53"/>
      <c r="F8" s="53"/>
      <c r="G8" s="53"/>
      <c r="H8" s="62">
        <v>45.8</v>
      </c>
      <c r="I8" s="53"/>
      <c r="J8" s="53" t="s">
        <v>11</v>
      </c>
      <c r="K8" s="61">
        <v>45371.0</v>
      </c>
      <c r="L8" s="53" t="s">
        <v>135</v>
      </c>
      <c r="M8" s="53" t="str">
        <f>IFERROR(__xludf.DUMMYFUNCTION("""COMPUTED_VALUE"""),"")</f>
        <v/>
      </c>
      <c r="N8" s="53"/>
      <c r="O8" s="53"/>
      <c r="P8" s="53"/>
    </row>
    <row r="9">
      <c r="A9" s="60">
        <v>45371.48729944444</v>
      </c>
      <c r="B9" s="52" t="s">
        <v>130</v>
      </c>
      <c r="C9" s="53" t="b">
        <v>0</v>
      </c>
      <c r="D9" s="53"/>
      <c r="E9" s="53"/>
      <c r="F9" s="53"/>
      <c r="G9" s="53"/>
      <c r="H9" s="62">
        <v>7.61</v>
      </c>
      <c r="I9" s="53"/>
      <c r="J9" s="53" t="s">
        <v>11</v>
      </c>
      <c r="K9" s="61">
        <v>45371.0</v>
      </c>
      <c r="L9" s="53" t="s">
        <v>135</v>
      </c>
      <c r="M9" s="53" t="str">
        <f>IFERROR(__xludf.DUMMYFUNCTION("""COMPUTED_VALUE"""),"")</f>
        <v/>
      </c>
      <c r="N9" s="53"/>
      <c r="O9" s="53"/>
      <c r="P9" s="53"/>
    </row>
    <row r="10">
      <c r="A10" s="60">
        <v>45371.6555088426</v>
      </c>
      <c r="B10" s="52" t="s">
        <v>134</v>
      </c>
      <c r="C10" s="53" t="b">
        <v>0</v>
      </c>
      <c r="D10" s="53"/>
      <c r="E10" s="53"/>
      <c r="F10" s="53"/>
      <c r="G10" s="53"/>
      <c r="H10" s="62">
        <v>113.0</v>
      </c>
      <c r="I10" s="53"/>
      <c r="J10" s="53" t="s">
        <v>11</v>
      </c>
      <c r="K10" s="61">
        <v>45371.0</v>
      </c>
      <c r="L10" s="53" t="s">
        <v>135</v>
      </c>
      <c r="M10" s="53" t="str">
        <f>IFERROR(__xludf.DUMMYFUNCTION("""COMPUTED_VALUE"""),"")</f>
        <v/>
      </c>
      <c r="N10" s="53"/>
      <c r="O10" s="53"/>
      <c r="P10" s="53"/>
    </row>
    <row r="11">
      <c r="A11" s="60">
        <v>45371.65593655092</v>
      </c>
      <c r="B11" s="52" t="s">
        <v>134</v>
      </c>
      <c r="C11" s="53" t="b">
        <v>0</v>
      </c>
      <c r="D11" s="53"/>
      <c r="E11" s="53"/>
      <c r="F11" s="53"/>
      <c r="G11" s="53"/>
      <c r="H11" s="62">
        <v>88.0</v>
      </c>
      <c r="I11" s="53"/>
      <c r="J11" s="53" t="s">
        <v>11</v>
      </c>
      <c r="K11" s="61">
        <v>45371.0</v>
      </c>
      <c r="L11" s="53" t="s">
        <v>135</v>
      </c>
      <c r="M11" s="53">
        <f>IFERROR(__xludf.DUMMYFUNCTION("""COMPUTED_VALUE"""),276.21)</f>
        <v>276.21</v>
      </c>
      <c r="N11" s="53"/>
      <c r="O11" s="53"/>
      <c r="P11" s="53"/>
    </row>
    <row r="12">
      <c r="A12" s="60">
        <v>45372.668875625</v>
      </c>
      <c r="B12" s="52" t="s">
        <v>136</v>
      </c>
      <c r="C12" s="53" t="b">
        <v>0</v>
      </c>
      <c r="D12" s="53"/>
      <c r="E12" s="53"/>
      <c r="F12" s="53"/>
      <c r="G12" s="53"/>
      <c r="H12" s="62">
        <v>93.1</v>
      </c>
      <c r="I12" s="53"/>
      <c r="J12" s="53" t="s">
        <v>12</v>
      </c>
      <c r="K12" s="61">
        <v>45372.0</v>
      </c>
      <c r="L12" s="53" t="s">
        <v>137</v>
      </c>
      <c r="M12" s="53">
        <f>IFERROR(__xludf.DUMMYFUNCTION("""COMPUTED_VALUE"""),93.1)</f>
        <v>93.1</v>
      </c>
      <c r="N12" s="53"/>
      <c r="O12" s="53"/>
      <c r="P12" s="53"/>
    </row>
    <row r="13">
      <c r="A13" s="60">
        <v>45373.39620662037</v>
      </c>
      <c r="B13" s="52" t="s">
        <v>131</v>
      </c>
      <c r="C13" s="53" t="b">
        <v>0</v>
      </c>
      <c r="D13" s="53"/>
      <c r="E13" s="53"/>
      <c r="F13" s="53"/>
      <c r="G13" s="53"/>
      <c r="H13" s="62">
        <v>46.38</v>
      </c>
      <c r="I13" s="53"/>
      <c r="J13" s="53" t="s">
        <v>10</v>
      </c>
      <c r="K13" s="61">
        <v>45373.0</v>
      </c>
      <c r="L13" s="53" t="s">
        <v>138</v>
      </c>
      <c r="M13" s="53">
        <f>IFERROR(__xludf.DUMMYFUNCTION("""COMPUTED_VALUE"""),46.38)</f>
        <v>46.38</v>
      </c>
      <c r="N13" s="53"/>
      <c r="O13" s="53"/>
      <c r="P13" s="53"/>
    </row>
    <row r="14">
      <c r="A14" s="60">
        <v>45376.39565631944</v>
      </c>
      <c r="B14" s="52" t="s">
        <v>139</v>
      </c>
      <c r="C14" s="53" t="b">
        <v>0</v>
      </c>
      <c r="D14" s="53"/>
      <c r="E14" s="53"/>
      <c r="F14" s="53"/>
      <c r="G14" s="53"/>
      <c r="H14" s="62">
        <v>50.0</v>
      </c>
      <c r="I14" s="53"/>
      <c r="J14" s="53" t="s">
        <v>10</v>
      </c>
      <c r="K14" s="61">
        <v>45376.0</v>
      </c>
      <c r="L14" s="53" t="s">
        <v>129</v>
      </c>
      <c r="M14" s="53" t="str">
        <f>IFERROR(__xludf.DUMMYFUNCTION("""COMPUTED_VALUE"""),"")</f>
        <v/>
      </c>
      <c r="N14" s="53"/>
      <c r="O14" s="53"/>
      <c r="P14" s="53"/>
    </row>
    <row r="15">
      <c r="A15" s="60">
        <v>45376.49150517361</v>
      </c>
      <c r="B15" s="52" t="s">
        <v>130</v>
      </c>
      <c r="C15" s="53" t="b">
        <v>0</v>
      </c>
      <c r="D15" s="53"/>
      <c r="E15" s="53"/>
      <c r="F15" s="53"/>
      <c r="G15" s="53"/>
      <c r="H15" s="62">
        <v>40.0</v>
      </c>
      <c r="I15" s="53"/>
      <c r="J15" s="53" t="s">
        <v>11</v>
      </c>
      <c r="K15" s="61">
        <v>45376.0</v>
      </c>
      <c r="L15" s="53" t="s">
        <v>129</v>
      </c>
      <c r="M15" s="53" t="str">
        <f>IFERROR(__xludf.DUMMYFUNCTION("""COMPUTED_VALUE"""),"")</f>
        <v/>
      </c>
      <c r="N15" s="53"/>
      <c r="O15" s="53"/>
      <c r="P15" s="53"/>
    </row>
    <row r="16">
      <c r="A16" s="60">
        <v>45376.58561177083</v>
      </c>
      <c r="B16" s="52" t="s">
        <v>136</v>
      </c>
      <c r="C16" s="53" t="b">
        <v>0</v>
      </c>
      <c r="D16" s="53"/>
      <c r="E16" s="53"/>
      <c r="F16" s="53"/>
      <c r="G16" s="53"/>
      <c r="H16" s="62">
        <v>134.3</v>
      </c>
      <c r="I16" s="53"/>
      <c r="J16" s="53" t="s">
        <v>11</v>
      </c>
      <c r="K16" s="61">
        <v>45376.0</v>
      </c>
      <c r="L16" s="53" t="s">
        <v>129</v>
      </c>
      <c r="M16" s="53" t="str">
        <f>IFERROR(__xludf.DUMMYFUNCTION("""COMPUTED_VALUE"""),"")</f>
        <v/>
      </c>
      <c r="N16" s="53"/>
      <c r="O16" s="53"/>
      <c r="P16" s="53"/>
    </row>
    <row r="17">
      <c r="A17" s="60">
        <v>45376.65090092592</v>
      </c>
      <c r="B17" s="52" t="s">
        <v>134</v>
      </c>
      <c r="C17" s="53" t="b">
        <v>0</v>
      </c>
      <c r="D17" s="53"/>
      <c r="E17" s="53"/>
      <c r="F17" s="53"/>
      <c r="G17" s="53"/>
      <c r="H17" s="62">
        <v>131.0</v>
      </c>
      <c r="I17" s="53"/>
      <c r="J17" s="53" t="s">
        <v>11</v>
      </c>
      <c r="K17" s="61">
        <v>45376.0</v>
      </c>
      <c r="L17" s="53" t="s">
        <v>129</v>
      </c>
      <c r="M17" s="53" t="str">
        <f>IFERROR(__xludf.DUMMYFUNCTION("""COMPUTED_VALUE"""),"")</f>
        <v/>
      </c>
      <c r="N17" s="53"/>
      <c r="O17" s="53"/>
      <c r="P17" s="53"/>
    </row>
    <row r="18">
      <c r="A18" s="60">
        <v>45376.65119013889</v>
      </c>
      <c r="B18" s="52" t="s">
        <v>134</v>
      </c>
      <c r="C18" s="53" t="b">
        <v>0</v>
      </c>
      <c r="D18" s="53"/>
      <c r="E18" s="53"/>
      <c r="F18" s="53"/>
      <c r="G18" s="53"/>
      <c r="H18" s="62">
        <v>75.0</v>
      </c>
      <c r="I18" s="53"/>
      <c r="J18" s="53" t="s">
        <v>11</v>
      </c>
      <c r="K18" s="61">
        <v>45376.0</v>
      </c>
      <c r="L18" s="53" t="s">
        <v>129</v>
      </c>
      <c r="M18" s="53" t="str">
        <f>IFERROR(__xludf.DUMMYFUNCTION("""COMPUTED_VALUE"""),"")</f>
        <v/>
      </c>
      <c r="N18" s="53"/>
      <c r="O18" s="53"/>
      <c r="P18" s="53"/>
    </row>
    <row r="19">
      <c r="A19" s="60">
        <v>45376.74698451389</v>
      </c>
      <c r="B19" s="52" t="s">
        <v>140</v>
      </c>
      <c r="C19" s="53" t="b">
        <v>0</v>
      </c>
      <c r="D19" s="53"/>
      <c r="E19" s="53"/>
      <c r="F19" s="53"/>
      <c r="G19" s="53"/>
      <c r="H19" s="62">
        <v>65.0</v>
      </c>
      <c r="I19" s="53"/>
      <c r="J19" s="53" t="s">
        <v>12</v>
      </c>
      <c r="K19" s="61">
        <v>45376.0</v>
      </c>
      <c r="L19" s="53" t="s">
        <v>129</v>
      </c>
      <c r="M19" s="53" t="str">
        <f>IFERROR(__xludf.DUMMYFUNCTION("""COMPUTED_VALUE"""),"")</f>
        <v/>
      </c>
      <c r="N19" s="53"/>
      <c r="O19" s="53"/>
      <c r="P19" s="53"/>
    </row>
    <row r="20">
      <c r="A20" s="60">
        <v>45376.87584413194</v>
      </c>
      <c r="B20" s="52" t="s">
        <v>140</v>
      </c>
      <c r="C20" s="53" t="b">
        <v>0</v>
      </c>
      <c r="D20" s="53"/>
      <c r="E20" s="53"/>
      <c r="F20" s="53"/>
      <c r="G20" s="53"/>
      <c r="H20" s="62">
        <v>167.0</v>
      </c>
      <c r="I20" s="53"/>
      <c r="J20" s="53" t="s">
        <v>12</v>
      </c>
      <c r="K20" s="61">
        <v>45376.0</v>
      </c>
      <c r="L20" s="53" t="s">
        <v>129</v>
      </c>
      <c r="M20" s="53">
        <f>IFERROR(__xludf.DUMMYFUNCTION("""COMPUTED_VALUE"""),662.3)</f>
        <v>662.3</v>
      </c>
      <c r="N20" s="53"/>
      <c r="O20" s="53"/>
      <c r="P20" s="53"/>
    </row>
    <row r="21">
      <c r="A21" s="60">
        <v>45377.49101190973</v>
      </c>
      <c r="B21" s="52" t="s">
        <v>141</v>
      </c>
      <c r="C21" s="53" t="b">
        <v>0</v>
      </c>
      <c r="D21" s="53"/>
      <c r="E21" s="53"/>
      <c r="F21" s="53"/>
      <c r="G21" s="53"/>
      <c r="H21" s="62">
        <v>104.0</v>
      </c>
      <c r="I21" s="53"/>
      <c r="J21" s="53" t="s">
        <v>11</v>
      </c>
      <c r="K21" s="61">
        <v>45377.0</v>
      </c>
      <c r="L21" s="53" t="s">
        <v>132</v>
      </c>
      <c r="M21" s="53" t="str">
        <f>IFERROR(__xludf.DUMMYFUNCTION("""COMPUTED_VALUE"""),"")</f>
        <v/>
      </c>
      <c r="N21" s="53"/>
      <c r="O21" s="53"/>
      <c r="P21" s="53"/>
    </row>
    <row r="22">
      <c r="A22" s="60">
        <v>45377.60448017361</v>
      </c>
      <c r="B22" s="52" t="s">
        <v>131</v>
      </c>
      <c r="C22" s="53" t="b">
        <v>0</v>
      </c>
      <c r="D22" s="53"/>
      <c r="E22" s="53"/>
      <c r="F22" s="53"/>
      <c r="G22" s="53"/>
      <c r="H22" s="62">
        <v>56.0</v>
      </c>
      <c r="I22" s="53"/>
      <c r="J22" s="53" t="s">
        <v>11</v>
      </c>
      <c r="K22" s="61">
        <v>45377.0</v>
      </c>
      <c r="L22" s="53" t="s">
        <v>132</v>
      </c>
      <c r="M22" s="53" t="str">
        <f>IFERROR(__xludf.DUMMYFUNCTION("""COMPUTED_VALUE"""),"")</f>
        <v/>
      </c>
      <c r="N22" s="53"/>
      <c r="O22" s="53"/>
      <c r="P22" s="53"/>
    </row>
    <row r="23">
      <c r="A23" s="60">
        <v>45377.83927986111</v>
      </c>
      <c r="B23" s="52" t="s">
        <v>134</v>
      </c>
      <c r="C23" s="53" t="b">
        <v>0</v>
      </c>
      <c r="D23" s="53"/>
      <c r="E23" s="53"/>
      <c r="F23" s="53"/>
      <c r="G23" s="53"/>
      <c r="H23" s="62">
        <v>115.0</v>
      </c>
      <c r="I23" s="53"/>
      <c r="J23" s="53" t="s">
        <v>12</v>
      </c>
      <c r="K23" s="61">
        <v>45377.0</v>
      </c>
      <c r="L23" s="53" t="s">
        <v>132</v>
      </c>
      <c r="M23" s="53">
        <f>IFERROR(__xludf.DUMMYFUNCTION("""COMPUTED_VALUE"""),275.0)</f>
        <v>275</v>
      </c>
      <c r="N23" s="53"/>
      <c r="O23" s="53"/>
      <c r="P23" s="53"/>
    </row>
    <row r="24">
      <c r="A24" s="60">
        <v>45378.39564537037</v>
      </c>
      <c r="B24" s="52" t="s">
        <v>131</v>
      </c>
      <c r="C24" s="53" t="b">
        <v>0</v>
      </c>
      <c r="D24" s="53"/>
      <c r="E24" s="53"/>
      <c r="F24" s="53"/>
      <c r="G24" s="53"/>
      <c r="H24" s="62">
        <v>24.0</v>
      </c>
      <c r="I24" s="53"/>
      <c r="J24" s="53" t="s">
        <v>10</v>
      </c>
      <c r="K24" s="61">
        <v>45378.0</v>
      </c>
      <c r="L24" s="53" t="s">
        <v>135</v>
      </c>
      <c r="M24" s="53" t="str">
        <f>IFERROR(__xludf.DUMMYFUNCTION("""COMPUTED_VALUE"""),"")</f>
        <v/>
      </c>
      <c r="N24" s="53"/>
      <c r="O24" s="53"/>
      <c r="P24" s="53"/>
    </row>
    <row r="25">
      <c r="A25" s="60">
        <v>45378.49489881944</v>
      </c>
      <c r="B25" s="52" t="s">
        <v>130</v>
      </c>
      <c r="C25" s="53" t="b">
        <v>0</v>
      </c>
      <c r="D25" s="53"/>
      <c r="E25" s="53"/>
      <c r="F25" s="53"/>
      <c r="G25" s="53"/>
      <c r="H25" s="62">
        <v>59.0</v>
      </c>
      <c r="I25" s="53"/>
      <c r="J25" s="53" t="s">
        <v>11</v>
      </c>
      <c r="K25" s="61">
        <v>45378.0</v>
      </c>
      <c r="L25" s="53" t="s">
        <v>135</v>
      </c>
      <c r="M25" s="53" t="str">
        <f>IFERROR(__xludf.DUMMYFUNCTION("""COMPUTED_VALUE"""),"")</f>
        <v/>
      </c>
      <c r="N25" s="53"/>
      <c r="O25" s="53"/>
      <c r="P25" s="53"/>
    </row>
    <row r="26">
      <c r="A26" s="60">
        <v>45378.94011658565</v>
      </c>
      <c r="B26" s="52" t="s">
        <v>134</v>
      </c>
      <c r="C26" s="53" t="b">
        <v>0</v>
      </c>
      <c r="D26" s="53"/>
      <c r="E26" s="53"/>
      <c r="F26" s="53"/>
      <c r="G26" s="53"/>
      <c r="H26" s="62">
        <v>204.0</v>
      </c>
      <c r="I26" s="53"/>
      <c r="J26" s="53"/>
      <c r="K26" s="61">
        <v>45378.0</v>
      </c>
      <c r="L26" s="53" t="s">
        <v>135</v>
      </c>
      <c r="M26" s="53">
        <f>IFERROR(__xludf.DUMMYFUNCTION("""COMPUTED_VALUE"""),287.0)</f>
        <v>287</v>
      </c>
      <c r="N26" s="53"/>
      <c r="O26" s="53"/>
      <c r="P26" s="53"/>
    </row>
    <row r="27">
      <c r="A27" s="60">
        <v>45379.49426673611</v>
      </c>
      <c r="B27" s="52" t="s">
        <v>141</v>
      </c>
      <c r="C27" s="53" t="b">
        <v>0</v>
      </c>
      <c r="D27" s="53"/>
      <c r="E27" s="53"/>
      <c r="F27" s="53"/>
      <c r="G27" s="53"/>
      <c r="H27" s="62">
        <v>107.0</v>
      </c>
      <c r="I27" s="53"/>
      <c r="J27" s="53" t="s">
        <v>11</v>
      </c>
      <c r="K27" s="61">
        <v>45379.0</v>
      </c>
      <c r="L27" s="53" t="s">
        <v>137</v>
      </c>
      <c r="M27" s="53" t="str">
        <f>IFERROR(__xludf.DUMMYFUNCTION("""COMPUTED_VALUE"""),"")</f>
        <v/>
      </c>
      <c r="N27" s="53"/>
      <c r="O27" s="53"/>
      <c r="P27" s="53"/>
    </row>
    <row r="28">
      <c r="A28" s="60">
        <v>45379.66752016204</v>
      </c>
      <c r="B28" s="52" t="s">
        <v>136</v>
      </c>
      <c r="C28" s="53" t="b">
        <v>0</v>
      </c>
      <c r="D28" s="53"/>
      <c r="E28" s="53"/>
      <c r="F28" s="53"/>
      <c r="G28" s="53"/>
      <c r="H28" s="62">
        <v>78.8</v>
      </c>
      <c r="I28" s="53"/>
      <c r="J28" s="53" t="s">
        <v>12</v>
      </c>
      <c r="K28" s="61">
        <v>45379.0</v>
      </c>
      <c r="L28" s="53" t="s">
        <v>137</v>
      </c>
      <c r="M28" s="53" t="str">
        <f>IFERROR(__xludf.DUMMYFUNCTION("""COMPUTED_VALUE"""),"")</f>
        <v/>
      </c>
      <c r="N28" s="53"/>
      <c r="O28" s="53"/>
      <c r="P28" s="53"/>
    </row>
    <row r="29">
      <c r="A29" s="60">
        <v>45379.73255434028</v>
      </c>
      <c r="B29" s="52" t="s">
        <v>136</v>
      </c>
      <c r="C29" s="53" t="b">
        <v>0</v>
      </c>
      <c r="D29" s="53"/>
      <c r="E29" s="53"/>
      <c r="F29" s="53"/>
      <c r="G29" s="53"/>
      <c r="H29" s="62">
        <v>25.0</v>
      </c>
      <c r="I29" s="53"/>
      <c r="J29" s="53" t="s">
        <v>12</v>
      </c>
      <c r="K29" s="61">
        <v>45379.0</v>
      </c>
      <c r="L29" s="53" t="s">
        <v>137</v>
      </c>
      <c r="M29" s="53">
        <f>IFERROR(__xludf.DUMMYFUNCTION("""COMPUTED_VALUE"""),210.8)</f>
        <v>210.8</v>
      </c>
      <c r="N29" s="53"/>
      <c r="O29" s="53"/>
      <c r="P29" s="53"/>
    </row>
    <row r="30">
      <c r="A30" s="60">
        <v>45380.39525326389</v>
      </c>
      <c r="B30" s="52" t="s">
        <v>131</v>
      </c>
      <c r="C30" s="53" t="b">
        <v>0</v>
      </c>
      <c r="D30" s="53"/>
      <c r="E30" s="53"/>
      <c r="F30" s="53"/>
      <c r="G30" s="53"/>
      <c r="H30" s="62">
        <v>38.0</v>
      </c>
      <c r="I30" s="53"/>
      <c r="J30" s="53" t="s">
        <v>10</v>
      </c>
      <c r="K30" s="61">
        <v>45380.0</v>
      </c>
      <c r="L30" s="53" t="s">
        <v>138</v>
      </c>
      <c r="M30" s="53">
        <f>IFERROR(__xludf.DUMMYFUNCTION("""COMPUTED_VALUE"""),38.0)</f>
        <v>38</v>
      </c>
      <c r="N30" s="53"/>
      <c r="O30" s="53"/>
      <c r="P30" s="53"/>
    </row>
    <row r="31">
      <c r="A31" s="60">
        <v>45383.39614152778</v>
      </c>
      <c r="B31" s="52" t="s">
        <v>131</v>
      </c>
      <c r="C31" s="53" t="b">
        <v>0</v>
      </c>
      <c r="D31" s="53"/>
      <c r="E31" s="53"/>
      <c r="F31" s="53"/>
      <c r="G31" s="53"/>
      <c r="H31" s="62">
        <v>49.0</v>
      </c>
      <c r="I31" s="53"/>
      <c r="J31" s="53" t="s">
        <v>10</v>
      </c>
      <c r="K31" s="61">
        <v>45383.0</v>
      </c>
      <c r="L31" s="53" t="s">
        <v>129</v>
      </c>
      <c r="M31" s="53" t="str">
        <f>IFERROR(__xludf.DUMMYFUNCTION("""COMPUTED_VALUE"""),"")</f>
        <v/>
      </c>
      <c r="N31" s="53"/>
      <c r="O31" s="53"/>
      <c r="P31" s="53"/>
    </row>
    <row r="32">
      <c r="A32" s="60">
        <v>45383.49135842593</v>
      </c>
      <c r="B32" s="52" t="s">
        <v>130</v>
      </c>
      <c r="C32" s="53" t="b">
        <v>0</v>
      </c>
      <c r="D32" s="53"/>
      <c r="E32" s="53"/>
      <c r="F32" s="53"/>
      <c r="G32" s="53"/>
      <c r="H32" s="62">
        <v>62.0</v>
      </c>
      <c r="I32" s="53"/>
      <c r="J32" s="53" t="s">
        <v>11</v>
      </c>
      <c r="K32" s="61">
        <v>45383.0</v>
      </c>
      <c r="L32" s="53" t="s">
        <v>129</v>
      </c>
      <c r="M32" s="53">
        <f>IFERROR(__xludf.DUMMYFUNCTION("""COMPUTED_VALUE"""),111.0)</f>
        <v>111</v>
      </c>
      <c r="N32" s="53"/>
      <c r="O32" s="53"/>
      <c r="P32" s="53"/>
    </row>
    <row r="33">
      <c r="A33" s="60">
        <v>45384.3123803125</v>
      </c>
      <c r="B33" s="52" t="s">
        <v>133</v>
      </c>
      <c r="C33" s="53" t="b">
        <v>0</v>
      </c>
      <c r="D33" s="53"/>
      <c r="E33" s="53"/>
      <c r="F33" s="53"/>
      <c r="G33" s="53"/>
      <c r="H33" s="62">
        <v>123.0</v>
      </c>
      <c r="I33" s="53"/>
      <c r="J33" s="53" t="s">
        <v>10</v>
      </c>
      <c r="K33" s="61">
        <v>45384.0</v>
      </c>
      <c r="L33" s="53" t="s">
        <v>132</v>
      </c>
      <c r="M33" s="53" t="str">
        <f>IFERROR(__xludf.DUMMYFUNCTION("""COMPUTED_VALUE"""),"")</f>
        <v/>
      </c>
      <c r="N33" s="53"/>
      <c r="O33" s="53"/>
      <c r="P33" s="53"/>
    </row>
    <row r="34">
      <c r="A34" s="60">
        <v>45384.49530072917</v>
      </c>
      <c r="B34" s="52" t="s">
        <v>142</v>
      </c>
      <c r="C34" s="53" t="b">
        <v>0</v>
      </c>
      <c r="D34" s="53"/>
      <c r="E34" s="53"/>
      <c r="F34" s="53"/>
      <c r="G34" s="53"/>
      <c r="H34" s="62">
        <v>123.0</v>
      </c>
      <c r="I34" s="53"/>
      <c r="J34" s="53" t="s">
        <v>11</v>
      </c>
      <c r="K34" s="61">
        <v>45384.0</v>
      </c>
      <c r="L34" s="53" t="s">
        <v>132</v>
      </c>
      <c r="M34" s="53" t="str">
        <f>IFERROR(__xludf.DUMMYFUNCTION("""COMPUTED_VALUE"""),"")</f>
        <v/>
      </c>
      <c r="N34" s="53"/>
      <c r="O34" s="53"/>
      <c r="P34" s="53"/>
    </row>
    <row r="35">
      <c r="A35" s="60">
        <v>45384.59996172454</v>
      </c>
      <c r="B35" s="52" t="s">
        <v>131</v>
      </c>
      <c r="C35" s="53" t="b">
        <v>0</v>
      </c>
      <c r="D35" s="53"/>
      <c r="E35" s="53"/>
      <c r="F35" s="53"/>
      <c r="G35" s="53"/>
      <c r="H35" s="62">
        <v>78.0</v>
      </c>
      <c r="I35" s="53"/>
      <c r="J35" s="53" t="s">
        <v>11</v>
      </c>
      <c r="K35" s="61">
        <v>45384.0</v>
      </c>
      <c r="L35" s="53" t="s">
        <v>132</v>
      </c>
      <c r="M35" s="53" t="str">
        <f>IFERROR(__xludf.DUMMYFUNCTION("""COMPUTED_VALUE"""),"")</f>
        <v/>
      </c>
      <c r="N35" s="53"/>
      <c r="O35" s="53"/>
      <c r="P35" s="53"/>
    </row>
    <row r="36">
      <c r="A36" s="60">
        <v>45384.66838244213</v>
      </c>
      <c r="B36" s="52" t="s">
        <v>136</v>
      </c>
      <c r="C36" s="53" t="b">
        <v>0</v>
      </c>
      <c r="D36" s="53"/>
      <c r="E36" s="53"/>
      <c r="F36" s="53"/>
      <c r="G36" s="53"/>
      <c r="H36" s="62">
        <v>81.4</v>
      </c>
      <c r="I36" s="53"/>
      <c r="J36" s="53" t="s">
        <v>12</v>
      </c>
      <c r="K36" s="61">
        <v>45384.0</v>
      </c>
      <c r="L36" s="53" t="s">
        <v>132</v>
      </c>
      <c r="M36" s="53">
        <f>IFERROR(__xludf.DUMMYFUNCTION("""COMPUTED_VALUE"""),405.4)</f>
        <v>405.4</v>
      </c>
      <c r="N36" s="53"/>
      <c r="O36" s="53"/>
      <c r="P36" s="53"/>
    </row>
    <row r="37">
      <c r="A37" s="60">
        <v>45385.39539708333</v>
      </c>
      <c r="B37" s="52" t="s">
        <v>131</v>
      </c>
      <c r="C37" s="53" t="b">
        <v>0</v>
      </c>
      <c r="D37" s="53"/>
      <c r="E37" s="53"/>
      <c r="F37" s="53"/>
      <c r="G37" s="53"/>
      <c r="H37" s="62">
        <v>27.0</v>
      </c>
      <c r="I37" s="53"/>
      <c r="J37" s="53" t="s">
        <v>10</v>
      </c>
      <c r="K37" s="61">
        <v>45385.0</v>
      </c>
      <c r="L37" s="53" t="s">
        <v>135</v>
      </c>
      <c r="M37" s="53" t="str">
        <f>IFERROR(__xludf.DUMMYFUNCTION("""COMPUTED_VALUE"""),"")</f>
        <v/>
      </c>
      <c r="N37" s="53"/>
      <c r="O37" s="53"/>
      <c r="P37" s="53"/>
    </row>
    <row r="38">
      <c r="A38" s="60">
        <v>45385.49423478009</v>
      </c>
      <c r="B38" s="52" t="s">
        <v>130</v>
      </c>
      <c r="C38" s="53" t="b">
        <v>0</v>
      </c>
      <c r="D38" s="53"/>
      <c r="E38" s="53"/>
      <c r="F38" s="53"/>
      <c r="G38" s="53"/>
      <c r="H38" s="62">
        <v>68.0</v>
      </c>
      <c r="I38" s="53"/>
      <c r="J38" s="53" t="s">
        <v>11</v>
      </c>
      <c r="K38" s="61">
        <v>45385.0</v>
      </c>
      <c r="L38" s="53" t="s">
        <v>135</v>
      </c>
      <c r="M38" s="53">
        <f>IFERROR(__xludf.DUMMYFUNCTION("""COMPUTED_VALUE"""),95.0)</f>
        <v>95</v>
      </c>
      <c r="N38" s="53"/>
      <c r="O38" s="53"/>
      <c r="P38" s="53"/>
    </row>
    <row r="39">
      <c r="A39" s="60">
        <v>45386.49509460648</v>
      </c>
      <c r="B39" s="52" t="s">
        <v>142</v>
      </c>
      <c r="C39" s="53" t="b">
        <v>0</v>
      </c>
      <c r="D39" s="53"/>
      <c r="E39" s="53"/>
      <c r="F39" s="53"/>
      <c r="G39" s="53"/>
      <c r="H39" s="62">
        <v>101.0</v>
      </c>
      <c r="I39" s="53"/>
      <c r="J39" s="53" t="s">
        <v>11</v>
      </c>
      <c r="K39" s="61">
        <v>45386.0</v>
      </c>
      <c r="L39" s="53" t="s">
        <v>137</v>
      </c>
      <c r="M39" s="53" t="str">
        <f>IFERROR(__xludf.DUMMYFUNCTION("""COMPUTED_VALUE"""),"")</f>
        <v/>
      </c>
      <c r="N39" s="53"/>
      <c r="O39" s="53"/>
      <c r="P39" s="53"/>
    </row>
    <row r="40">
      <c r="A40" s="60">
        <v>45386.7254334375</v>
      </c>
      <c r="B40" s="52" t="s">
        <v>136</v>
      </c>
      <c r="C40" s="53" t="b">
        <v>0</v>
      </c>
      <c r="D40" s="53"/>
      <c r="E40" s="53"/>
      <c r="F40" s="53"/>
      <c r="G40" s="53"/>
      <c r="H40" s="62">
        <v>119.6</v>
      </c>
      <c r="I40" s="53"/>
      <c r="J40" s="53" t="s">
        <v>12</v>
      </c>
      <c r="K40" s="61">
        <v>45386.0</v>
      </c>
      <c r="L40" s="53" t="s">
        <v>137</v>
      </c>
      <c r="M40" s="53">
        <f>IFERROR(__xludf.DUMMYFUNCTION("""COMPUTED_VALUE"""),220.6)</f>
        <v>220.6</v>
      </c>
      <c r="N40" s="53"/>
      <c r="O40" s="53"/>
      <c r="P40" s="53"/>
    </row>
    <row r="41">
      <c r="A41" s="60">
        <v>45387.3937921875</v>
      </c>
      <c r="B41" s="52" t="s">
        <v>139</v>
      </c>
      <c r="C41" s="53" t="b">
        <v>0</v>
      </c>
      <c r="D41" s="53"/>
      <c r="E41" s="53"/>
      <c r="F41" s="53"/>
      <c r="G41" s="53"/>
      <c r="H41" s="62">
        <v>45.0</v>
      </c>
      <c r="I41" s="53"/>
      <c r="J41" s="53" t="s">
        <v>10</v>
      </c>
      <c r="K41" s="61">
        <v>45387.0</v>
      </c>
      <c r="L41" s="53" t="s">
        <v>138</v>
      </c>
      <c r="M41" s="53">
        <f>IFERROR(__xludf.DUMMYFUNCTION("""COMPUTED_VALUE"""),45.0)</f>
        <v>45</v>
      </c>
      <c r="N41" s="53"/>
      <c r="O41" s="53"/>
      <c r="P41" s="53"/>
    </row>
    <row r="42">
      <c r="A42" s="60">
        <v>45390.39635511574</v>
      </c>
      <c r="B42" s="52" t="s">
        <v>139</v>
      </c>
      <c r="C42" s="53" t="b">
        <v>0</v>
      </c>
      <c r="D42" s="53"/>
      <c r="E42" s="53"/>
      <c r="F42" s="53"/>
      <c r="G42" s="53"/>
      <c r="H42" s="62">
        <v>53.0</v>
      </c>
      <c r="I42" s="53"/>
      <c r="J42" s="53" t="s">
        <v>10</v>
      </c>
      <c r="K42" s="61">
        <v>45390.0</v>
      </c>
      <c r="L42" s="53" t="s">
        <v>129</v>
      </c>
      <c r="M42" s="53" t="str">
        <f>IFERROR(__xludf.DUMMYFUNCTION("""COMPUTED_VALUE"""),"")</f>
        <v/>
      </c>
      <c r="N42" s="53"/>
      <c r="O42" s="53"/>
      <c r="P42" s="53"/>
    </row>
    <row r="43">
      <c r="A43" s="60">
        <v>45390.49456042824</v>
      </c>
      <c r="B43" s="52" t="s">
        <v>130</v>
      </c>
      <c r="C43" s="53" t="b">
        <v>0</v>
      </c>
      <c r="D43" s="53"/>
      <c r="E43" s="53"/>
      <c r="F43" s="53"/>
      <c r="G43" s="53"/>
      <c r="H43" s="62">
        <v>66.0</v>
      </c>
      <c r="I43" s="53"/>
      <c r="J43" s="53" t="s">
        <v>11</v>
      </c>
      <c r="K43" s="61">
        <v>45390.0</v>
      </c>
      <c r="L43" s="53" t="s">
        <v>129</v>
      </c>
      <c r="M43" s="53" t="str">
        <f>IFERROR(__xludf.DUMMYFUNCTION("""COMPUTED_VALUE"""),"")</f>
        <v/>
      </c>
      <c r="N43" s="53"/>
      <c r="O43" s="53"/>
      <c r="P43" s="53"/>
    </row>
    <row r="44">
      <c r="A44" s="60">
        <v>45390.57968729167</v>
      </c>
      <c r="B44" s="52" t="s">
        <v>136</v>
      </c>
      <c r="C44" s="53" t="b">
        <v>0</v>
      </c>
      <c r="D44" s="53"/>
      <c r="E44" s="53"/>
      <c r="F44" s="53"/>
      <c r="G44" s="53"/>
      <c r="H44" s="62">
        <v>95.4</v>
      </c>
      <c r="I44" s="53"/>
      <c r="J44" s="53" t="s">
        <v>11</v>
      </c>
      <c r="K44" s="61">
        <v>45390.0</v>
      </c>
      <c r="L44" s="53" t="s">
        <v>129</v>
      </c>
      <c r="M44" s="53" t="str">
        <f>IFERROR(__xludf.DUMMYFUNCTION("""COMPUTED_VALUE"""),"")</f>
        <v/>
      </c>
      <c r="N44" s="53"/>
      <c r="O44" s="53"/>
      <c r="P44" s="53"/>
    </row>
    <row r="45">
      <c r="A45" s="60">
        <v>45390.63875351852</v>
      </c>
      <c r="B45" s="52" t="s">
        <v>134</v>
      </c>
      <c r="C45" s="53" t="b">
        <v>0</v>
      </c>
      <c r="D45" s="53"/>
      <c r="E45" s="53"/>
      <c r="F45" s="53"/>
      <c r="G45" s="53"/>
      <c r="H45" s="62">
        <v>151.0</v>
      </c>
      <c r="I45" s="53"/>
      <c r="J45" s="53" t="s">
        <v>11</v>
      </c>
      <c r="K45" s="61">
        <v>45390.0</v>
      </c>
      <c r="L45" s="53" t="s">
        <v>129</v>
      </c>
      <c r="M45" s="53">
        <f>IFERROR(__xludf.DUMMYFUNCTION("""COMPUTED_VALUE"""),365.4)</f>
        <v>365.4</v>
      </c>
      <c r="N45" s="53"/>
      <c r="O45" s="53"/>
      <c r="P45" s="53"/>
    </row>
    <row r="46">
      <c r="A46" s="60">
        <v>45391.49402787037</v>
      </c>
      <c r="B46" s="52" t="s">
        <v>141</v>
      </c>
      <c r="C46" s="53" t="b">
        <v>0</v>
      </c>
      <c r="D46" s="53"/>
      <c r="E46" s="53"/>
      <c r="F46" s="53"/>
      <c r="G46" s="53"/>
      <c r="H46" s="62">
        <v>123.0</v>
      </c>
      <c r="I46" s="53"/>
      <c r="J46" s="53" t="s">
        <v>11</v>
      </c>
      <c r="K46" s="61">
        <v>45391.0</v>
      </c>
      <c r="L46" s="53" t="s">
        <v>132</v>
      </c>
      <c r="M46" s="53" t="str">
        <f>IFERROR(__xludf.DUMMYFUNCTION("""COMPUTED_VALUE"""),"")</f>
        <v/>
      </c>
      <c r="N46" s="53"/>
      <c r="O46" s="53"/>
      <c r="P46" s="53"/>
    </row>
    <row r="47">
      <c r="A47" s="60">
        <v>45391.60498539352</v>
      </c>
      <c r="B47" s="52" t="s">
        <v>131</v>
      </c>
      <c r="C47" s="53" t="b">
        <v>0</v>
      </c>
      <c r="D47" s="53"/>
      <c r="E47" s="53"/>
      <c r="F47" s="53"/>
      <c r="G47" s="53"/>
      <c r="H47" s="62">
        <v>95.0</v>
      </c>
      <c r="I47" s="53"/>
      <c r="J47" s="53" t="s">
        <v>11</v>
      </c>
      <c r="K47" s="61">
        <v>45391.0</v>
      </c>
      <c r="L47" s="53" t="s">
        <v>132</v>
      </c>
      <c r="M47" s="53" t="str">
        <f>IFERROR(__xludf.DUMMYFUNCTION("""COMPUTED_VALUE"""),"")</f>
        <v/>
      </c>
      <c r="N47" s="53"/>
      <c r="O47" s="53"/>
      <c r="P47" s="53"/>
    </row>
    <row r="48">
      <c r="A48" s="60">
        <v>45391.87429626157</v>
      </c>
      <c r="B48" s="52" t="s">
        <v>134</v>
      </c>
      <c r="C48" s="53" t="b">
        <v>0</v>
      </c>
      <c r="D48" s="53"/>
      <c r="E48" s="53"/>
      <c r="F48" s="53"/>
      <c r="G48" s="53"/>
      <c r="H48" s="62">
        <v>227.0</v>
      </c>
      <c r="I48" s="53"/>
      <c r="J48" s="53" t="s">
        <v>12</v>
      </c>
      <c r="K48" s="61">
        <v>45391.0</v>
      </c>
      <c r="L48" s="53" t="s">
        <v>132</v>
      </c>
      <c r="M48" s="53">
        <f>IFERROR(__xludf.DUMMYFUNCTION("""COMPUTED_VALUE"""),445.0)</f>
        <v>445</v>
      </c>
      <c r="N48" s="53"/>
      <c r="O48" s="53"/>
      <c r="P48" s="53"/>
    </row>
    <row r="49">
      <c r="A49" s="60">
        <v>45392.39584412037</v>
      </c>
      <c r="B49" s="52" t="s">
        <v>131</v>
      </c>
      <c r="C49" s="53" t="b">
        <v>0</v>
      </c>
      <c r="D49" s="53"/>
      <c r="E49" s="53"/>
      <c r="F49" s="53"/>
      <c r="G49" s="53"/>
      <c r="H49" s="62">
        <v>24.0</v>
      </c>
      <c r="I49" s="53"/>
      <c r="J49" s="53" t="s">
        <v>10</v>
      </c>
      <c r="K49" s="61">
        <v>45392.0</v>
      </c>
      <c r="L49" s="53" t="s">
        <v>135</v>
      </c>
      <c r="M49" s="53" t="str">
        <f>IFERROR(__xludf.DUMMYFUNCTION("""COMPUTED_VALUE"""),"")</f>
        <v/>
      </c>
      <c r="N49" s="53"/>
      <c r="O49" s="53"/>
      <c r="P49" s="53"/>
    </row>
    <row r="50">
      <c r="A50" s="60">
        <v>45392.53708604167</v>
      </c>
      <c r="B50" s="52" t="s">
        <v>130</v>
      </c>
      <c r="C50" s="53" t="b">
        <v>0</v>
      </c>
      <c r="D50" s="53"/>
      <c r="E50" s="53"/>
      <c r="F50" s="53"/>
      <c r="G50" s="53"/>
      <c r="H50" s="62">
        <v>62.0</v>
      </c>
      <c r="I50" s="53"/>
      <c r="J50" s="53" t="s">
        <v>11</v>
      </c>
      <c r="K50" s="61">
        <v>45392.0</v>
      </c>
      <c r="L50" s="53" t="s">
        <v>135</v>
      </c>
      <c r="M50" s="53" t="str">
        <f>IFERROR(__xludf.DUMMYFUNCTION("""COMPUTED_VALUE"""),"")</f>
        <v/>
      </c>
      <c r="N50" s="53"/>
      <c r="O50" s="53"/>
      <c r="P50" s="53"/>
    </row>
    <row r="51">
      <c r="A51" s="60">
        <v>45392.64348349537</v>
      </c>
      <c r="B51" s="52" t="s">
        <v>134</v>
      </c>
      <c r="C51" s="53" t="b">
        <v>0</v>
      </c>
      <c r="D51" s="53"/>
      <c r="E51" s="53"/>
      <c r="F51" s="53"/>
      <c r="G51" s="53"/>
      <c r="H51" s="62">
        <v>161.0</v>
      </c>
      <c r="I51" s="53"/>
      <c r="J51" s="53" t="s">
        <v>11</v>
      </c>
      <c r="K51" s="61">
        <v>45392.0</v>
      </c>
      <c r="L51" s="53" t="s">
        <v>135</v>
      </c>
      <c r="M51" s="53">
        <f>IFERROR(__xludf.DUMMYFUNCTION("""COMPUTED_VALUE"""),247.0)</f>
        <v>247</v>
      </c>
      <c r="N51" s="53"/>
      <c r="O51" s="53"/>
      <c r="P51" s="53"/>
    </row>
    <row r="52">
      <c r="A52" s="60">
        <v>45393.49957605324</v>
      </c>
      <c r="B52" s="52" t="s">
        <v>143</v>
      </c>
      <c r="C52" s="53" t="b">
        <v>0</v>
      </c>
      <c r="D52" s="53"/>
      <c r="E52" s="53"/>
      <c r="F52" s="53"/>
      <c r="G52" s="53"/>
      <c r="H52" s="62">
        <v>115.0</v>
      </c>
      <c r="I52" s="53"/>
      <c r="J52" s="53" t="s">
        <v>11</v>
      </c>
      <c r="K52" s="61">
        <v>45393.0</v>
      </c>
      <c r="L52" s="53" t="s">
        <v>137</v>
      </c>
      <c r="M52" s="53" t="str">
        <f>IFERROR(__xludf.DUMMYFUNCTION("""COMPUTED_VALUE"""),"")</f>
        <v/>
      </c>
      <c r="N52" s="53"/>
      <c r="O52" s="53"/>
      <c r="P52" s="53"/>
    </row>
    <row r="53">
      <c r="A53" s="60">
        <v>45393.72620920139</v>
      </c>
      <c r="B53" s="52" t="s">
        <v>136</v>
      </c>
      <c r="C53" s="53" t="b">
        <v>0</v>
      </c>
      <c r="D53" s="53"/>
      <c r="E53" s="53"/>
      <c r="F53" s="53"/>
      <c r="G53" s="53"/>
      <c r="H53" s="62">
        <v>115.0</v>
      </c>
      <c r="I53" s="53"/>
      <c r="J53" s="53" t="s">
        <v>12</v>
      </c>
      <c r="K53" s="61">
        <v>45393.0</v>
      </c>
      <c r="L53" s="53" t="s">
        <v>137</v>
      </c>
      <c r="M53" s="53">
        <f>IFERROR(__xludf.DUMMYFUNCTION("""COMPUTED_VALUE"""),230.0)</f>
        <v>230</v>
      </c>
      <c r="N53" s="53"/>
      <c r="O53" s="53"/>
      <c r="P53" s="53"/>
    </row>
    <row r="54">
      <c r="A54" s="60">
        <v>45394.4614031713</v>
      </c>
      <c r="B54" s="52" t="s">
        <v>131</v>
      </c>
      <c r="C54" s="53" t="b">
        <v>0</v>
      </c>
      <c r="D54" s="53"/>
      <c r="E54" s="53"/>
      <c r="F54" s="53"/>
      <c r="G54" s="53"/>
      <c r="H54" s="62">
        <v>41.0</v>
      </c>
      <c r="I54" s="53"/>
      <c r="J54" s="53" t="s">
        <v>11</v>
      </c>
      <c r="K54" s="61">
        <v>45394.0</v>
      </c>
      <c r="L54" s="53" t="s">
        <v>138</v>
      </c>
      <c r="M54" s="53">
        <f>IFERROR(__xludf.DUMMYFUNCTION("""COMPUTED_VALUE"""),41.0)</f>
        <v>41</v>
      </c>
      <c r="N54" s="53"/>
      <c r="O54" s="53"/>
      <c r="P54" s="53"/>
    </row>
    <row r="55">
      <c r="A55" s="60">
        <v>45397.39522128472</v>
      </c>
      <c r="B55" s="52" t="s">
        <v>131</v>
      </c>
      <c r="C55" s="53" t="b">
        <v>0</v>
      </c>
      <c r="D55" s="53"/>
      <c r="E55" s="53"/>
      <c r="F55" s="53"/>
      <c r="G55" s="53"/>
      <c r="H55" s="62">
        <v>54.0</v>
      </c>
      <c r="I55" s="53"/>
      <c r="J55" s="53" t="s">
        <v>10</v>
      </c>
      <c r="K55" s="61">
        <v>45397.0</v>
      </c>
      <c r="L55" s="53" t="s">
        <v>129</v>
      </c>
      <c r="M55" s="53" t="str">
        <f>IFERROR(__xludf.DUMMYFUNCTION("""COMPUTED_VALUE"""),"")</f>
        <v/>
      </c>
      <c r="N55" s="53"/>
      <c r="O55" s="53"/>
      <c r="P55" s="53"/>
    </row>
    <row r="56">
      <c r="A56" s="60">
        <v>45397.49620026621</v>
      </c>
      <c r="B56" s="52" t="s">
        <v>130</v>
      </c>
      <c r="C56" s="53" t="b">
        <v>0</v>
      </c>
      <c r="D56" s="53"/>
      <c r="E56" s="53"/>
      <c r="F56" s="53"/>
      <c r="G56" s="53"/>
      <c r="H56" s="62">
        <v>73.0</v>
      </c>
      <c r="I56" s="53"/>
      <c r="J56" s="53" t="s">
        <v>11</v>
      </c>
      <c r="K56" s="61">
        <v>45397.0</v>
      </c>
      <c r="L56" s="53" t="s">
        <v>129</v>
      </c>
      <c r="M56" s="53" t="str">
        <f>IFERROR(__xludf.DUMMYFUNCTION("""COMPUTED_VALUE"""),"")</f>
        <v/>
      </c>
      <c r="N56" s="53"/>
      <c r="O56" s="53"/>
      <c r="P56" s="53"/>
    </row>
    <row r="57">
      <c r="A57" s="60">
        <v>45397.57459721065</v>
      </c>
      <c r="B57" s="52" t="s">
        <v>136</v>
      </c>
      <c r="C57" s="53" t="b">
        <v>0</v>
      </c>
      <c r="D57" s="53"/>
      <c r="E57" s="53"/>
      <c r="F57" s="53"/>
      <c r="G57" s="53"/>
      <c r="H57" s="62">
        <v>112.0</v>
      </c>
      <c r="I57" s="53"/>
      <c r="J57" s="53" t="s">
        <v>11</v>
      </c>
      <c r="K57" s="61">
        <v>45397.0</v>
      </c>
      <c r="L57" s="53" t="s">
        <v>129</v>
      </c>
      <c r="M57" s="53" t="str">
        <f>IFERROR(__xludf.DUMMYFUNCTION("""COMPUTED_VALUE"""),"")</f>
        <v/>
      </c>
      <c r="N57" s="53"/>
      <c r="O57" s="53"/>
      <c r="P57" s="53"/>
    </row>
    <row r="58">
      <c r="A58" s="60">
        <v>45397.79029754629</v>
      </c>
      <c r="B58" s="52" t="s">
        <v>134</v>
      </c>
      <c r="C58" s="53" t="b">
        <v>0</v>
      </c>
      <c r="D58" s="53"/>
      <c r="E58" s="53"/>
      <c r="F58" s="53"/>
      <c r="G58" s="53"/>
      <c r="H58" s="62">
        <v>183.0</v>
      </c>
      <c r="I58" s="53"/>
      <c r="J58" s="53" t="s">
        <v>12</v>
      </c>
      <c r="K58" s="61">
        <v>45397.0</v>
      </c>
      <c r="L58" s="53" t="s">
        <v>129</v>
      </c>
      <c r="M58" s="53">
        <f>IFERROR(__xludf.DUMMYFUNCTION("""COMPUTED_VALUE"""),422.0)</f>
        <v>422</v>
      </c>
      <c r="N58" s="53"/>
      <c r="O58" s="53"/>
      <c r="P58" s="53"/>
    </row>
    <row r="59">
      <c r="A59" s="60">
        <v>45398.49804878472</v>
      </c>
      <c r="B59" s="52" t="s">
        <v>141</v>
      </c>
      <c r="C59" s="53" t="b">
        <v>0</v>
      </c>
      <c r="D59" s="53"/>
      <c r="E59" s="53"/>
      <c r="F59" s="53"/>
      <c r="G59" s="53"/>
      <c r="H59" s="62">
        <v>129.0</v>
      </c>
      <c r="I59" s="53"/>
      <c r="J59" s="53" t="s">
        <v>11</v>
      </c>
      <c r="K59" s="61">
        <v>45398.0</v>
      </c>
      <c r="L59" s="53" t="s">
        <v>132</v>
      </c>
      <c r="M59" s="53" t="str">
        <f>IFERROR(__xludf.DUMMYFUNCTION("""COMPUTED_VALUE"""),"")</f>
        <v/>
      </c>
      <c r="N59" s="53"/>
      <c r="O59" s="53"/>
      <c r="P59" s="53"/>
    </row>
    <row r="60">
      <c r="A60" s="60">
        <v>45398.64969746528</v>
      </c>
      <c r="B60" s="52" t="s">
        <v>136</v>
      </c>
      <c r="C60" s="53" t="b">
        <v>0</v>
      </c>
      <c r="D60" s="53"/>
      <c r="E60" s="53"/>
      <c r="F60" s="53"/>
      <c r="G60" s="53"/>
      <c r="H60" s="62">
        <v>108.9</v>
      </c>
      <c r="I60" s="53"/>
      <c r="J60" s="53" t="s">
        <v>11</v>
      </c>
      <c r="K60" s="61">
        <v>45398.0</v>
      </c>
      <c r="L60" s="53" t="s">
        <v>132</v>
      </c>
      <c r="M60" s="53" t="str">
        <f>IFERROR(__xludf.DUMMYFUNCTION("""COMPUTED_VALUE"""),"")</f>
        <v/>
      </c>
      <c r="N60" s="53"/>
      <c r="O60" s="53"/>
      <c r="P60" s="53"/>
    </row>
    <row r="61">
      <c r="A61" s="60">
        <v>45398.67228358796</v>
      </c>
      <c r="B61" s="52" t="s">
        <v>139</v>
      </c>
      <c r="C61" s="53" t="b">
        <v>0</v>
      </c>
      <c r="D61" s="53"/>
      <c r="E61" s="53"/>
      <c r="F61" s="53"/>
      <c r="G61" s="53"/>
      <c r="H61" s="62">
        <v>68.0</v>
      </c>
      <c r="I61" s="53"/>
      <c r="J61" s="53" t="s">
        <v>12</v>
      </c>
      <c r="K61" s="61">
        <v>45398.0</v>
      </c>
      <c r="L61" s="53" t="s">
        <v>132</v>
      </c>
      <c r="M61" s="53" t="str">
        <f>IFERROR(__xludf.DUMMYFUNCTION("""COMPUTED_VALUE"""),"")</f>
        <v/>
      </c>
      <c r="N61" s="53"/>
      <c r="O61" s="53"/>
      <c r="P61" s="53"/>
    </row>
    <row r="62">
      <c r="A62" s="60">
        <v>45398.87822554398</v>
      </c>
      <c r="B62" s="52" t="s">
        <v>134</v>
      </c>
      <c r="C62" s="53" t="b">
        <v>0</v>
      </c>
      <c r="D62" s="53"/>
      <c r="E62" s="53"/>
      <c r="F62" s="53"/>
      <c r="G62" s="53"/>
      <c r="H62" s="62">
        <v>252.0</v>
      </c>
      <c r="I62" s="53"/>
      <c r="J62" s="53" t="s">
        <v>12</v>
      </c>
      <c r="K62" s="61">
        <v>45398.0</v>
      </c>
      <c r="L62" s="53" t="s">
        <v>132</v>
      </c>
      <c r="M62" s="53">
        <f>IFERROR(__xludf.DUMMYFUNCTION("""COMPUTED_VALUE"""),557.9)</f>
        <v>557.9</v>
      </c>
      <c r="N62" s="53"/>
      <c r="O62" s="53"/>
      <c r="P62" s="53"/>
    </row>
    <row r="63">
      <c r="A63" s="60">
        <v>45399.45836287037</v>
      </c>
      <c r="B63" s="52" t="s">
        <v>131</v>
      </c>
      <c r="C63" s="53" t="b">
        <v>0</v>
      </c>
      <c r="D63" s="53"/>
      <c r="E63" s="53"/>
      <c r="F63" s="53"/>
      <c r="G63" s="53"/>
      <c r="H63" s="62">
        <v>33.0</v>
      </c>
      <c r="I63" s="53"/>
      <c r="J63" s="53" t="s">
        <v>11</v>
      </c>
      <c r="K63" s="61">
        <v>45399.0</v>
      </c>
      <c r="L63" s="53" t="s">
        <v>135</v>
      </c>
      <c r="M63" s="53" t="str">
        <f>IFERROR(__xludf.DUMMYFUNCTION("""COMPUTED_VALUE"""),"")</f>
        <v/>
      </c>
      <c r="N63" s="53"/>
      <c r="O63" s="53"/>
      <c r="P63" s="53"/>
    </row>
    <row r="64">
      <c r="A64" s="60">
        <v>45399.64160498843</v>
      </c>
      <c r="B64" s="52" t="s">
        <v>134</v>
      </c>
      <c r="C64" s="53" t="b">
        <v>0</v>
      </c>
      <c r="D64" s="53"/>
      <c r="E64" s="53"/>
      <c r="F64" s="53"/>
      <c r="G64" s="53"/>
      <c r="H64" s="62">
        <v>166.0</v>
      </c>
      <c r="I64" s="53"/>
      <c r="J64" s="53" t="s">
        <v>11</v>
      </c>
      <c r="K64" s="61">
        <v>45399.0</v>
      </c>
      <c r="L64" s="53" t="s">
        <v>135</v>
      </c>
      <c r="M64" s="53">
        <f>IFERROR(__xludf.DUMMYFUNCTION("""COMPUTED_VALUE"""),199.0)</f>
        <v>199</v>
      </c>
      <c r="N64" s="53"/>
      <c r="O64" s="53"/>
      <c r="P64" s="53"/>
    </row>
    <row r="65">
      <c r="A65" s="60">
        <v>45400.49686623843</v>
      </c>
      <c r="B65" s="52" t="s">
        <v>141</v>
      </c>
      <c r="C65" s="53" t="b">
        <v>0</v>
      </c>
      <c r="D65" s="53"/>
      <c r="E65" s="53"/>
      <c r="F65" s="53"/>
      <c r="G65" s="53"/>
      <c r="H65" s="62">
        <v>100.0</v>
      </c>
      <c r="I65" s="53"/>
      <c r="J65" s="53" t="s">
        <v>11</v>
      </c>
      <c r="K65" s="61">
        <v>45400.0</v>
      </c>
      <c r="L65" s="53" t="s">
        <v>137</v>
      </c>
      <c r="M65" s="53" t="str">
        <f>IFERROR(__xludf.DUMMYFUNCTION("""COMPUTED_VALUE"""),"")</f>
        <v/>
      </c>
      <c r="N65" s="53"/>
      <c r="O65" s="53"/>
      <c r="P65" s="53"/>
    </row>
    <row r="66">
      <c r="A66" s="60">
        <v>45400.66689484954</v>
      </c>
      <c r="B66" s="52" t="s">
        <v>136</v>
      </c>
      <c r="C66" s="53" t="b">
        <v>0</v>
      </c>
      <c r="D66" s="53"/>
      <c r="E66" s="53"/>
      <c r="F66" s="53"/>
      <c r="G66" s="53"/>
      <c r="H66" s="62">
        <v>85.0</v>
      </c>
      <c r="I66" s="53"/>
      <c r="J66" s="53" t="s">
        <v>12</v>
      </c>
      <c r="K66" s="61">
        <v>45400.0</v>
      </c>
      <c r="L66" s="53" t="s">
        <v>137</v>
      </c>
      <c r="M66" s="53">
        <f>IFERROR(__xludf.DUMMYFUNCTION("""COMPUTED_VALUE"""),185.0)</f>
        <v>185</v>
      </c>
      <c r="N66" s="53"/>
      <c r="O66" s="53"/>
      <c r="P66" s="53"/>
    </row>
    <row r="67">
      <c r="A67" s="60">
        <v>45401.47384366898</v>
      </c>
      <c r="B67" s="52" t="s">
        <v>131</v>
      </c>
      <c r="C67" s="53" t="b">
        <v>0</v>
      </c>
      <c r="D67" s="53"/>
      <c r="E67" s="53"/>
      <c r="F67" s="53"/>
      <c r="G67" s="53"/>
      <c r="H67" s="62">
        <v>55.0</v>
      </c>
      <c r="I67" s="53"/>
      <c r="J67" s="53" t="s">
        <v>11</v>
      </c>
      <c r="K67" s="61">
        <v>45401.0</v>
      </c>
      <c r="L67" s="53" t="s">
        <v>138</v>
      </c>
      <c r="M67" s="53">
        <f>IFERROR(__xludf.DUMMYFUNCTION("""COMPUTED_VALUE"""),55.0)</f>
        <v>55</v>
      </c>
      <c r="N67" s="53"/>
      <c r="O67" s="53"/>
      <c r="P67" s="53"/>
    </row>
    <row r="68">
      <c r="A68" s="60">
        <v>45404.39857280093</v>
      </c>
      <c r="B68" s="52" t="s">
        <v>130</v>
      </c>
      <c r="C68" s="53" t="b">
        <v>0</v>
      </c>
      <c r="D68" s="53"/>
      <c r="E68" s="53"/>
      <c r="F68" s="53"/>
      <c r="G68" s="53"/>
      <c r="H68" s="62">
        <v>68.0</v>
      </c>
      <c r="I68" s="53"/>
      <c r="J68" s="53" t="s">
        <v>10</v>
      </c>
      <c r="K68" s="61">
        <v>45404.0</v>
      </c>
      <c r="L68" s="53" t="s">
        <v>129</v>
      </c>
      <c r="M68" s="53" t="str">
        <f>IFERROR(__xludf.DUMMYFUNCTION("""COMPUTED_VALUE"""),"")</f>
        <v/>
      </c>
      <c r="N68" s="53"/>
      <c r="O68" s="53"/>
      <c r="P68" s="53"/>
    </row>
    <row r="69">
      <c r="A69" s="60">
        <v>45404.47806114583</v>
      </c>
      <c r="B69" s="52" t="s">
        <v>130</v>
      </c>
      <c r="C69" s="53" t="b">
        <v>0</v>
      </c>
      <c r="D69" s="53"/>
      <c r="E69" s="53"/>
      <c r="F69" s="53"/>
      <c r="G69" s="53"/>
      <c r="H69" s="62">
        <v>27.0</v>
      </c>
      <c r="I69" s="53"/>
      <c r="J69" s="53" t="s">
        <v>11</v>
      </c>
      <c r="K69" s="61">
        <v>45404.0</v>
      </c>
      <c r="L69" s="53" t="s">
        <v>129</v>
      </c>
      <c r="M69" s="53" t="str">
        <f>IFERROR(__xludf.DUMMYFUNCTION("""COMPUTED_VALUE"""),"")</f>
        <v/>
      </c>
      <c r="N69" s="53"/>
      <c r="O69" s="53"/>
      <c r="P69" s="53"/>
    </row>
    <row r="70">
      <c r="A70" s="60">
        <v>45404.65330383102</v>
      </c>
      <c r="B70" s="52" t="s">
        <v>134</v>
      </c>
      <c r="C70" s="53" t="b">
        <v>0</v>
      </c>
      <c r="D70" s="53"/>
      <c r="E70" s="53"/>
      <c r="F70" s="53"/>
      <c r="G70" s="53"/>
      <c r="H70" s="62">
        <v>218.0</v>
      </c>
      <c r="I70" s="53"/>
      <c r="J70" s="53" t="s">
        <v>11</v>
      </c>
      <c r="K70" s="61">
        <v>45404.0</v>
      </c>
      <c r="L70" s="53" t="s">
        <v>129</v>
      </c>
      <c r="M70" s="53">
        <f>IFERROR(__xludf.DUMMYFUNCTION("""COMPUTED_VALUE"""),313.0)</f>
        <v>313</v>
      </c>
      <c r="N70" s="53"/>
      <c r="O70" s="53"/>
      <c r="P70" s="53"/>
    </row>
    <row r="71">
      <c r="A71" s="60">
        <v>45405.49143359953</v>
      </c>
      <c r="B71" s="52" t="s">
        <v>144</v>
      </c>
      <c r="C71" s="53" t="b">
        <v>0</v>
      </c>
      <c r="D71" s="53"/>
      <c r="E71" s="53"/>
      <c r="F71" s="53"/>
      <c r="G71" s="53"/>
      <c r="H71" s="53">
        <v>128.0</v>
      </c>
      <c r="I71" s="53"/>
      <c r="J71" s="53" t="s">
        <v>11</v>
      </c>
      <c r="K71" s="61">
        <v>45405.0</v>
      </c>
      <c r="L71" s="53" t="s">
        <v>132</v>
      </c>
      <c r="M71" s="53" t="str">
        <f>IFERROR(__xludf.DUMMYFUNCTION("""COMPUTED_VALUE"""),"")</f>
        <v/>
      </c>
      <c r="N71" s="53"/>
      <c r="O71" s="53"/>
      <c r="P71" s="53"/>
    </row>
    <row r="72">
      <c r="A72" s="60">
        <v>45405.75908548611</v>
      </c>
      <c r="B72" s="52" t="s">
        <v>131</v>
      </c>
      <c r="C72" s="53" t="b">
        <v>0</v>
      </c>
      <c r="D72" s="53"/>
      <c r="E72" s="53"/>
      <c r="F72" s="53"/>
      <c r="G72" s="53"/>
      <c r="H72" s="53">
        <v>73.0</v>
      </c>
      <c r="I72" s="53"/>
      <c r="J72" s="53" t="s">
        <v>12</v>
      </c>
      <c r="K72" s="61">
        <v>45405.0</v>
      </c>
      <c r="L72" s="53" t="s">
        <v>132</v>
      </c>
      <c r="M72" s="53" t="str">
        <f>IFERROR(__xludf.DUMMYFUNCTION("""COMPUTED_VALUE"""),"")</f>
        <v/>
      </c>
      <c r="N72" s="53"/>
      <c r="O72" s="53"/>
      <c r="P72" s="53"/>
    </row>
    <row r="73">
      <c r="A73" s="60">
        <v>45405.88573015046</v>
      </c>
      <c r="B73" s="52" t="s">
        <v>134</v>
      </c>
      <c r="C73" s="53" t="b">
        <v>0</v>
      </c>
      <c r="D73" s="53"/>
      <c r="E73" s="53"/>
      <c r="F73" s="53"/>
      <c r="G73" s="53"/>
      <c r="H73" s="53">
        <v>335.0</v>
      </c>
      <c r="I73" s="53"/>
      <c r="J73" s="53" t="s">
        <v>12</v>
      </c>
      <c r="K73" s="61">
        <v>45405.0</v>
      </c>
      <c r="L73" s="53" t="s">
        <v>132</v>
      </c>
      <c r="M73" s="53">
        <f>IFERROR(__xludf.DUMMYFUNCTION("""COMPUTED_VALUE"""),536.0)</f>
        <v>536</v>
      </c>
      <c r="N73" s="53"/>
      <c r="O73" s="53"/>
      <c r="P73" s="53"/>
    </row>
    <row r="74">
      <c r="A74" s="60">
        <v>45406.39601630787</v>
      </c>
      <c r="B74" s="52" t="s">
        <v>131</v>
      </c>
      <c r="C74" s="53" t="b">
        <v>0</v>
      </c>
      <c r="D74" s="53"/>
      <c r="E74" s="53"/>
      <c r="F74" s="53"/>
      <c r="G74" s="53"/>
      <c r="H74" s="53">
        <v>30.0</v>
      </c>
      <c r="I74" s="53"/>
      <c r="J74" s="53" t="s">
        <v>10</v>
      </c>
      <c r="K74" s="61">
        <v>45406.0</v>
      </c>
      <c r="L74" s="53" t="s">
        <v>135</v>
      </c>
      <c r="M74" s="53">
        <f>IFERROR(__xludf.DUMMYFUNCTION("""COMPUTED_VALUE"""),30.0)</f>
        <v>30</v>
      </c>
      <c r="N74" s="53"/>
      <c r="O74" s="53"/>
      <c r="P74" s="53"/>
    </row>
    <row r="75">
      <c r="A75" s="60">
        <v>45407.49333091435</v>
      </c>
      <c r="B75" s="52" t="s">
        <v>141</v>
      </c>
      <c r="C75" s="53" t="b">
        <v>0</v>
      </c>
      <c r="D75" s="53"/>
      <c r="E75" s="53"/>
      <c r="F75" s="53"/>
      <c r="G75" s="53"/>
      <c r="H75" s="53">
        <v>107.0</v>
      </c>
      <c r="I75" s="53"/>
      <c r="J75" s="53" t="s">
        <v>11</v>
      </c>
      <c r="K75" s="61">
        <v>45407.0</v>
      </c>
      <c r="L75" s="53" t="s">
        <v>137</v>
      </c>
      <c r="M75" s="53" t="str">
        <f>IFERROR(__xludf.DUMMYFUNCTION("""COMPUTED_VALUE"""),"")</f>
        <v/>
      </c>
      <c r="N75" s="53"/>
      <c r="O75" s="53"/>
      <c r="P75" s="53"/>
    </row>
    <row r="76">
      <c r="A76" s="60">
        <v>45407.67865701389</v>
      </c>
      <c r="B76" s="52" t="s">
        <v>136</v>
      </c>
      <c r="C76" s="53" t="b">
        <v>0</v>
      </c>
      <c r="D76" s="53"/>
      <c r="E76" s="53"/>
      <c r="F76" s="53"/>
      <c r="G76" s="53"/>
      <c r="H76" s="53">
        <v>85.0</v>
      </c>
      <c r="I76" s="53"/>
      <c r="J76" s="53" t="s">
        <v>12</v>
      </c>
      <c r="K76" s="61">
        <v>45407.0</v>
      </c>
      <c r="L76" s="53" t="s">
        <v>137</v>
      </c>
      <c r="M76" s="53">
        <f>IFERROR(__xludf.DUMMYFUNCTION("""COMPUTED_VALUE"""),192.0)</f>
        <v>192</v>
      </c>
      <c r="N76" s="53"/>
      <c r="O76" s="53"/>
      <c r="P76" s="53"/>
    </row>
    <row r="77">
      <c r="A77" s="60">
        <v>45408.46131762731</v>
      </c>
      <c r="B77" s="52" t="s">
        <v>131</v>
      </c>
      <c r="C77" s="53" t="b">
        <v>0</v>
      </c>
      <c r="D77" s="53"/>
      <c r="E77" s="53"/>
      <c r="F77" s="53"/>
      <c r="G77" s="53"/>
      <c r="H77" s="53">
        <v>45.0</v>
      </c>
      <c r="I77" s="53"/>
      <c r="J77" s="53" t="s">
        <v>11</v>
      </c>
      <c r="K77" s="61">
        <v>45408.0</v>
      </c>
      <c r="L77" s="53" t="s">
        <v>138</v>
      </c>
      <c r="M77" s="53">
        <f>IFERROR(__xludf.DUMMYFUNCTION("""COMPUTED_VALUE"""),45.0)</f>
        <v>45</v>
      </c>
      <c r="N77" s="53"/>
      <c r="O77" s="53"/>
      <c r="P77" s="53"/>
    </row>
    <row r="78">
      <c r="A78" s="60">
        <v>45411.36300809028</v>
      </c>
      <c r="B78" s="52" t="s">
        <v>130</v>
      </c>
      <c r="C78" s="53" t="b">
        <v>0</v>
      </c>
      <c r="D78" s="53"/>
      <c r="E78" s="53"/>
      <c r="F78" s="53"/>
      <c r="G78" s="53"/>
      <c r="H78" s="53">
        <v>74.0</v>
      </c>
      <c r="I78" s="53"/>
      <c r="J78" s="53" t="s">
        <v>10</v>
      </c>
      <c r="K78" s="61">
        <v>45411.0</v>
      </c>
      <c r="L78" s="53" t="s">
        <v>129</v>
      </c>
      <c r="M78" s="53" t="str">
        <f>IFERROR(__xludf.DUMMYFUNCTION("""COMPUTED_VALUE"""),"")</f>
        <v/>
      </c>
      <c r="N78" s="53"/>
      <c r="O78" s="53"/>
      <c r="P78" s="53"/>
    </row>
    <row r="79">
      <c r="A79" s="60">
        <v>45411.49698015046</v>
      </c>
      <c r="B79" s="52" t="s">
        <v>130</v>
      </c>
      <c r="C79" s="53" t="b">
        <v>0</v>
      </c>
      <c r="D79" s="53"/>
      <c r="E79" s="53"/>
      <c r="F79" s="53"/>
      <c r="G79" s="53"/>
      <c r="H79" s="53">
        <v>79.0</v>
      </c>
      <c r="I79" s="53"/>
      <c r="J79" s="53" t="s">
        <v>11</v>
      </c>
      <c r="K79" s="61">
        <v>45411.0</v>
      </c>
      <c r="L79" s="53" t="s">
        <v>129</v>
      </c>
      <c r="M79" s="53">
        <f>IFERROR(__xludf.DUMMYFUNCTION("""COMPUTED_VALUE"""),153.0)</f>
        <v>153</v>
      </c>
      <c r="N79" s="53"/>
      <c r="O79" s="53"/>
      <c r="P79" s="53"/>
    </row>
    <row r="80">
      <c r="A80" s="60"/>
      <c r="B80" s="52"/>
      <c r="C80" s="53"/>
      <c r="D80" s="53"/>
      <c r="E80" s="53"/>
      <c r="F80" s="53"/>
      <c r="G80" s="53"/>
      <c r="H80" s="53"/>
      <c r="I80" s="53"/>
      <c r="J80" s="53"/>
      <c r="K80" s="61"/>
      <c r="L80" s="53"/>
      <c r="M80" s="53" t="str">
        <f>IFERROR(__xludf.DUMMYFUNCTION("""COMPUTED_VALUE"""),"")</f>
        <v/>
      </c>
      <c r="N80" s="53"/>
      <c r="O80" s="53"/>
      <c r="P80" s="53"/>
    </row>
    <row r="81">
      <c r="A81" s="60"/>
      <c r="B81" s="52"/>
      <c r="C81" s="53"/>
      <c r="D81" s="53"/>
      <c r="E81" s="53"/>
      <c r="F81" s="53"/>
      <c r="G81" s="53"/>
      <c r="H81" s="53"/>
      <c r="I81" s="53"/>
      <c r="J81" s="53"/>
      <c r="K81" s="61"/>
      <c r="L81" s="53"/>
      <c r="M81" s="53" t="str">
        <f>IFERROR(__xludf.DUMMYFUNCTION("""COMPUTED_VALUE"""),"")</f>
        <v/>
      </c>
      <c r="N81" s="53"/>
      <c r="O81" s="53"/>
      <c r="P81" s="53"/>
    </row>
    <row r="82">
      <c r="A82" s="60"/>
      <c r="B82" s="52"/>
      <c r="C82" s="53"/>
      <c r="D82" s="53"/>
      <c r="E82" s="53"/>
      <c r="F82" s="53"/>
      <c r="G82" s="53"/>
      <c r="H82" s="53"/>
      <c r="I82" s="53"/>
      <c r="J82" s="53"/>
      <c r="K82" s="61"/>
      <c r="L82" s="53"/>
      <c r="M82" s="53" t="str">
        <f>IFERROR(__xludf.DUMMYFUNCTION("""COMPUTED_VALUE"""),"")</f>
        <v/>
      </c>
      <c r="N82" s="53"/>
      <c r="O82" s="53"/>
      <c r="P82" s="53"/>
    </row>
    <row r="83">
      <c r="A83" s="60"/>
      <c r="B83" s="52"/>
      <c r="C83" s="53"/>
      <c r="D83" s="53"/>
      <c r="E83" s="53"/>
      <c r="F83" s="53"/>
      <c r="G83" s="53"/>
      <c r="H83" s="53"/>
      <c r="I83" s="53"/>
      <c r="J83" s="53"/>
      <c r="K83" s="61"/>
      <c r="L83" s="53"/>
      <c r="M83" s="53" t="str">
        <f>IFERROR(__xludf.DUMMYFUNCTION("""COMPUTED_VALUE"""),"")</f>
        <v/>
      </c>
      <c r="N83" s="53"/>
      <c r="O83" s="53"/>
      <c r="P83" s="53"/>
    </row>
    <row r="84">
      <c r="A84" s="60"/>
      <c r="B84" s="52"/>
      <c r="C84" s="53"/>
      <c r="D84" s="53"/>
      <c r="E84" s="53"/>
      <c r="F84" s="53"/>
      <c r="G84" s="53"/>
      <c r="H84" s="53"/>
      <c r="I84" s="53"/>
      <c r="J84" s="53"/>
      <c r="K84" s="61"/>
      <c r="L84" s="53"/>
      <c r="M84" s="53" t="str">
        <f>IFERROR(__xludf.DUMMYFUNCTION("""COMPUTED_VALUE"""),"")</f>
        <v/>
      </c>
      <c r="N84" s="53"/>
      <c r="O84" s="53"/>
      <c r="P84" s="53"/>
    </row>
    <row r="85">
      <c r="A85" s="60"/>
      <c r="B85" s="52"/>
      <c r="C85" s="53"/>
      <c r="D85" s="53"/>
      <c r="E85" s="53"/>
      <c r="F85" s="53"/>
      <c r="G85" s="53"/>
      <c r="H85" s="53"/>
      <c r="I85" s="53"/>
      <c r="J85" s="53"/>
      <c r="K85" s="61"/>
      <c r="L85" s="53"/>
      <c r="M85" s="53" t="str">
        <f>IFERROR(__xludf.DUMMYFUNCTION("""COMPUTED_VALUE"""),"")</f>
        <v/>
      </c>
      <c r="N85" s="53"/>
      <c r="O85" s="53"/>
      <c r="P85" s="53"/>
    </row>
    <row r="86">
      <c r="A86" s="60"/>
      <c r="B86" s="52"/>
      <c r="C86" s="53"/>
      <c r="D86" s="53"/>
      <c r="E86" s="53"/>
      <c r="F86" s="53"/>
      <c r="G86" s="53"/>
      <c r="H86" s="53"/>
      <c r="I86" s="53"/>
      <c r="J86" s="53"/>
      <c r="K86" s="61"/>
      <c r="L86" s="53"/>
      <c r="M86" s="53" t="str">
        <f>IFERROR(__xludf.DUMMYFUNCTION("""COMPUTED_VALUE"""),"")</f>
        <v/>
      </c>
      <c r="N86" s="53"/>
      <c r="O86" s="53"/>
      <c r="P86" s="53"/>
    </row>
    <row r="87">
      <c r="A87" s="60"/>
      <c r="B87" s="52"/>
      <c r="C87" s="53"/>
      <c r="D87" s="53"/>
      <c r="E87" s="53"/>
      <c r="F87" s="53"/>
      <c r="G87" s="53"/>
      <c r="H87" s="53"/>
      <c r="I87" s="53"/>
      <c r="J87" s="53"/>
      <c r="K87" s="61"/>
      <c r="L87" s="53"/>
      <c r="M87" s="53" t="str">
        <f>IFERROR(__xludf.DUMMYFUNCTION("""COMPUTED_VALUE"""),"")</f>
        <v/>
      </c>
      <c r="N87" s="53"/>
      <c r="O87" s="53"/>
      <c r="P87" s="53"/>
    </row>
    <row r="88">
      <c r="A88" s="60"/>
      <c r="B88" s="52"/>
      <c r="C88" s="53"/>
      <c r="D88" s="53"/>
      <c r="E88" s="53"/>
      <c r="F88" s="53"/>
      <c r="G88" s="53"/>
      <c r="H88" s="53"/>
      <c r="I88" s="53"/>
      <c r="J88" s="53"/>
      <c r="K88" s="61"/>
      <c r="L88" s="53"/>
      <c r="M88" s="53" t="str">
        <f>IFERROR(__xludf.DUMMYFUNCTION("""COMPUTED_VALUE"""),"")</f>
        <v/>
      </c>
      <c r="N88" s="53"/>
      <c r="O88" s="53"/>
      <c r="P88" s="53"/>
    </row>
    <row r="89">
      <c r="A89" s="60"/>
      <c r="B89" s="52"/>
      <c r="C89" s="53"/>
      <c r="D89" s="53"/>
      <c r="E89" s="53"/>
      <c r="F89" s="53"/>
      <c r="G89" s="53"/>
      <c r="H89" s="53"/>
      <c r="I89" s="53"/>
      <c r="J89" s="53"/>
      <c r="K89" s="61"/>
      <c r="L89" s="53"/>
      <c r="M89" s="53" t="str">
        <f>IFERROR(__xludf.DUMMYFUNCTION("""COMPUTED_VALUE"""),"")</f>
        <v/>
      </c>
      <c r="N89" s="53"/>
      <c r="O89" s="53"/>
      <c r="P89" s="53"/>
    </row>
    <row r="90">
      <c r="A90" s="60"/>
      <c r="B90" s="52"/>
      <c r="C90" s="53"/>
      <c r="D90" s="53"/>
      <c r="E90" s="53"/>
      <c r="F90" s="53"/>
      <c r="G90" s="53"/>
      <c r="H90" s="53"/>
      <c r="I90" s="53"/>
      <c r="J90" s="53"/>
      <c r="K90" s="61"/>
      <c r="L90" s="53"/>
      <c r="M90" s="53" t="str">
        <f>IFERROR(__xludf.DUMMYFUNCTION("""COMPUTED_VALUE"""),"")</f>
        <v/>
      </c>
      <c r="N90" s="53"/>
      <c r="O90" s="53"/>
      <c r="P90" s="53"/>
    </row>
    <row r="91">
      <c r="A91" s="60"/>
      <c r="B91" s="52"/>
      <c r="C91" s="53"/>
      <c r="D91" s="53"/>
      <c r="E91" s="53"/>
      <c r="F91" s="53"/>
      <c r="G91" s="53"/>
      <c r="H91" s="53"/>
      <c r="I91" s="53"/>
      <c r="J91" s="53"/>
      <c r="K91" s="61"/>
      <c r="L91" s="53"/>
      <c r="M91" s="53" t="str">
        <f>IFERROR(__xludf.DUMMYFUNCTION("""COMPUTED_VALUE"""),"")</f>
        <v/>
      </c>
      <c r="N91" s="53"/>
      <c r="O91" s="53"/>
      <c r="P91" s="53"/>
    </row>
    <row r="92">
      <c r="A92" s="60"/>
      <c r="B92" s="52"/>
      <c r="C92" s="53"/>
      <c r="D92" s="53"/>
      <c r="E92" s="53"/>
      <c r="F92" s="53"/>
      <c r="G92" s="53"/>
      <c r="H92" s="53"/>
      <c r="I92" s="53"/>
      <c r="J92" s="53"/>
      <c r="K92" s="61"/>
      <c r="L92" s="53"/>
      <c r="M92" s="53" t="str">
        <f>IFERROR(__xludf.DUMMYFUNCTION("""COMPUTED_VALUE"""),"")</f>
        <v/>
      </c>
      <c r="N92" s="53"/>
      <c r="O92" s="53"/>
      <c r="P92" s="53"/>
    </row>
    <row r="93">
      <c r="A93" s="60"/>
      <c r="B93" s="52"/>
      <c r="C93" s="53"/>
      <c r="D93" s="53"/>
      <c r="E93" s="53"/>
      <c r="F93" s="53"/>
      <c r="G93" s="53"/>
      <c r="H93" s="53"/>
      <c r="I93" s="53"/>
      <c r="J93" s="53"/>
      <c r="K93" s="61"/>
      <c r="L93" s="53"/>
      <c r="M93" s="53" t="str">
        <f>IFERROR(__xludf.DUMMYFUNCTION("""COMPUTED_VALUE"""),"")</f>
        <v/>
      </c>
      <c r="N93" s="53"/>
      <c r="O93" s="53"/>
      <c r="P93" s="53"/>
    </row>
    <row r="94">
      <c r="A94" s="60"/>
      <c r="B94" s="52"/>
      <c r="C94" s="53"/>
      <c r="D94" s="53"/>
      <c r="E94" s="53"/>
      <c r="F94" s="53"/>
      <c r="G94" s="53"/>
      <c r="H94" s="53"/>
      <c r="I94" s="53"/>
      <c r="J94" s="53"/>
      <c r="K94" s="61"/>
      <c r="L94" s="53"/>
      <c r="M94" s="53" t="str">
        <f>IFERROR(__xludf.DUMMYFUNCTION("""COMPUTED_VALUE"""),"")</f>
        <v/>
      </c>
      <c r="N94" s="53"/>
      <c r="O94" s="53"/>
      <c r="P94" s="53"/>
    </row>
    <row r="95">
      <c r="A95" s="60"/>
      <c r="B95" s="52"/>
      <c r="C95" s="53"/>
      <c r="D95" s="53"/>
      <c r="E95" s="53"/>
      <c r="F95" s="53"/>
      <c r="G95" s="53"/>
      <c r="H95" s="53"/>
      <c r="I95" s="53"/>
      <c r="J95" s="53"/>
      <c r="K95" s="61"/>
      <c r="L95" s="53"/>
      <c r="M95" s="53" t="str">
        <f>IFERROR(__xludf.DUMMYFUNCTION("""COMPUTED_VALUE"""),"")</f>
        <v/>
      </c>
      <c r="N95" s="53"/>
      <c r="O95" s="53"/>
      <c r="P95" s="53"/>
    </row>
    <row r="96">
      <c r="A96" s="60"/>
      <c r="B96" s="52"/>
      <c r="C96" s="53"/>
      <c r="D96" s="53"/>
      <c r="E96" s="53"/>
      <c r="F96" s="53"/>
      <c r="G96" s="53"/>
      <c r="H96" s="53"/>
      <c r="I96" s="53"/>
      <c r="J96" s="53"/>
      <c r="K96" s="61"/>
      <c r="L96" s="53"/>
      <c r="M96" s="53" t="str">
        <f>IFERROR(__xludf.DUMMYFUNCTION("""COMPUTED_VALUE"""),"")</f>
        <v/>
      </c>
      <c r="N96" s="53"/>
      <c r="O96" s="53"/>
      <c r="P96" s="53"/>
    </row>
    <row r="97">
      <c r="A97" s="60"/>
      <c r="B97" s="52"/>
      <c r="C97" s="53"/>
      <c r="D97" s="53"/>
      <c r="E97" s="53"/>
      <c r="F97" s="53"/>
      <c r="G97" s="53"/>
      <c r="H97" s="53"/>
      <c r="I97" s="53"/>
      <c r="J97" s="53"/>
      <c r="K97" s="61"/>
      <c r="L97" s="53"/>
      <c r="M97" s="53" t="str">
        <f>IFERROR(__xludf.DUMMYFUNCTION("""COMPUTED_VALUE"""),"")</f>
        <v/>
      </c>
      <c r="N97" s="53"/>
      <c r="O97" s="53"/>
      <c r="P97" s="53"/>
    </row>
    <row r="98">
      <c r="A98" s="60"/>
      <c r="B98" s="52"/>
      <c r="C98" s="53"/>
      <c r="D98" s="53"/>
      <c r="E98" s="53"/>
      <c r="F98" s="53"/>
      <c r="G98" s="53"/>
      <c r="H98" s="53"/>
      <c r="I98" s="53"/>
      <c r="J98" s="53"/>
      <c r="K98" s="61"/>
      <c r="L98" s="53"/>
      <c r="M98" s="53" t="str">
        <f>IFERROR(__xludf.DUMMYFUNCTION("""COMPUTED_VALUE"""),"")</f>
        <v/>
      </c>
      <c r="N98" s="53"/>
      <c r="O98" s="53"/>
      <c r="P98" s="53"/>
    </row>
    <row r="99">
      <c r="A99" s="60"/>
      <c r="B99" s="52"/>
      <c r="C99" s="53"/>
      <c r="D99" s="53"/>
      <c r="E99" s="53"/>
      <c r="F99" s="53"/>
      <c r="G99" s="53"/>
      <c r="H99" s="53"/>
      <c r="I99" s="53"/>
      <c r="J99" s="53"/>
      <c r="K99" s="61"/>
      <c r="L99" s="53"/>
      <c r="M99" s="53" t="str">
        <f>IFERROR(__xludf.DUMMYFUNCTION("""COMPUTED_VALUE"""),"")</f>
        <v/>
      </c>
      <c r="N99" s="53"/>
      <c r="O99" s="53"/>
      <c r="P99" s="53"/>
    </row>
    <row r="100">
      <c r="A100" s="60"/>
      <c r="B100" s="52"/>
      <c r="C100" s="53"/>
      <c r="D100" s="53"/>
      <c r="E100" s="53"/>
      <c r="F100" s="53"/>
      <c r="G100" s="53"/>
      <c r="H100" s="53"/>
      <c r="I100" s="53"/>
      <c r="J100" s="53"/>
      <c r="K100" s="61"/>
      <c r="L100" s="53"/>
      <c r="M100" s="53" t="str">
        <f>IFERROR(__xludf.DUMMYFUNCTION("""COMPUTED_VALUE"""),"")</f>
        <v/>
      </c>
      <c r="N100" s="53"/>
      <c r="O100" s="53"/>
      <c r="P100" s="53"/>
    </row>
    <row r="101">
      <c r="A101" s="60"/>
      <c r="B101" s="52"/>
      <c r="C101" s="53"/>
      <c r="D101" s="53"/>
      <c r="E101" s="53"/>
      <c r="F101" s="53"/>
      <c r="G101" s="53"/>
      <c r="H101" s="53"/>
      <c r="I101" s="53"/>
      <c r="J101" s="53"/>
      <c r="K101" s="61"/>
      <c r="L101" s="53"/>
      <c r="M101" s="53" t="str">
        <f>IFERROR(__xludf.DUMMYFUNCTION("""COMPUTED_VALUE"""),"")</f>
        <v/>
      </c>
      <c r="N101" s="53"/>
      <c r="O101" s="53"/>
      <c r="P101" s="53"/>
    </row>
    <row r="102">
      <c r="A102" s="60"/>
      <c r="B102" s="52"/>
      <c r="C102" s="53"/>
      <c r="D102" s="53"/>
      <c r="E102" s="53"/>
      <c r="F102" s="53"/>
      <c r="G102" s="53"/>
      <c r="H102" s="53"/>
      <c r="I102" s="53"/>
      <c r="J102" s="53"/>
      <c r="K102" s="61"/>
      <c r="L102" s="53"/>
      <c r="M102" s="53" t="str">
        <f>IFERROR(__xludf.DUMMYFUNCTION("""COMPUTED_VALUE"""),"")</f>
        <v/>
      </c>
      <c r="N102" s="53"/>
      <c r="O102" s="53"/>
      <c r="P102" s="53"/>
    </row>
    <row r="103">
      <c r="A103" s="60"/>
      <c r="B103" s="52"/>
      <c r="C103" s="53"/>
      <c r="D103" s="53"/>
      <c r="E103" s="53"/>
      <c r="F103" s="53"/>
      <c r="G103" s="53"/>
      <c r="H103" s="53"/>
      <c r="I103" s="53"/>
      <c r="J103" s="53"/>
      <c r="K103" s="61"/>
      <c r="L103" s="53"/>
      <c r="M103" s="53" t="str">
        <f>IFERROR(__xludf.DUMMYFUNCTION("""COMPUTED_VALUE"""),"")</f>
        <v/>
      </c>
      <c r="N103" s="53"/>
      <c r="O103" s="53"/>
      <c r="P103" s="53"/>
    </row>
    <row r="104">
      <c r="A104" s="60"/>
      <c r="B104" s="52"/>
      <c r="C104" s="53"/>
      <c r="D104" s="53"/>
      <c r="E104" s="53"/>
      <c r="F104" s="53"/>
      <c r="G104" s="53"/>
      <c r="H104" s="53"/>
      <c r="I104" s="53"/>
      <c r="J104" s="53"/>
      <c r="K104" s="61"/>
      <c r="L104" s="53"/>
      <c r="M104" s="53" t="str">
        <f>IFERROR(__xludf.DUMMYFUNCTION("""COMPUTED_VALUE"""),"")</f>
        <v/>
      </c>
      <c r="N104" s="53"/>
      <c r="O104" s="53"/>
      <c r="P104" s="53"/>
    </row>
    <row r="105">
      <c r="A105" s="60"/>
      <c r="B105" s="52"/>
      <c r="C105" s="53"/>
      <c r="D105" s="53"/>
      <c r="E105" s="53"/>
      <c r="F105" s="53"/>
      <c r="G105" s="53"/>
      <c r="H105" s="53"/>
      <c r="I105" s="53"/>
      <c r="J105" s="53"/>
      <c r="K105" s="61"/>
      <c r="L105" s="53"/>
      <c r="M105" s="53" t="str">
        <f>IFERROR(__xludf.DUMMYFUNCTION("""COMPUTED_VALUE"""),"")</f>
        <v/>
      </c>
      <c r="N105" s="53"/>
      <c r="O105" s="53"/>
      <c r="P105" s="53"/>
    </row>
    <row r="106">
      <c r="A106" s="60"/>
      <c r="B106" s="52"/>
      <c r="C106" s="53"/>
      <c r="D106" s="53"/>
      <c r="E106" s="53"/>
      <c r="F106" s="53"/>
      <c r="G106" s="53"/>
      <c r="H106" s="53"/>
      <c r="I106" s="53"/>
      <c r="J106" s="53"/>
      <c r="K106" s="61"/>
      <c r="L106" s="53"/>
      <c r="M106" s="53" t="str">
        <f>IFERROR(__xludf.DUMMYFUNCTION("""COMPUTED_VALUE"""),"")</f>
        <v/>
      </c>
      <c r="N106" s="53"/>
      <c r="O106" s="53"/>
      <c r="P106" s="53"/>
    </row>
    <row r="107">
      <c r="A107" s="60"/>
      <c r="B107" s="52"/>
      <c r="C107" s="53"/>
      <c r="D107" s="53"/>
      <c r="E107" s="53"/>
      <c r="F107" s="53"/>
      <c r="G107" s="53"/>
      <c r="H107" s="53"/>
      <c r="I107" s="53"/>
      <c r="J107" s="53"/>
      <c r="K107" s="61"/>
      <c r="L107" s="53"/>
      <c r="M107" s="53" t="str">
        <f>IFERROR(__xludf.DUMMYFUNCTION("""COMPUTED_VALUE"""),"")</f>
        <v/>
      </c>
      <c r="N107" s="53"/>
      <c r="O107" s="53"/>
      <c r="P107" s="53"/>
    </row>
    <row r="108">
      <c r="A108" s="60"/>
      <c r="B108" s="52"/>
      <c r="C108" s="53"/>
      <c r="D108" s="53"/>
      <c r="E108" s="53"/>
      <c r="F108" s="53"/>
      <c r="G108" s="53"/>
      <c r="H108" s="53"/>
      <c r="I108" s="53"/>
      <c r="J108" s="53"/>
      <c r="K108" s="61"/>
      <c r="L108" s="53"/>
      <c r="M108" s="53" t="str">
        <f>IFERROR(__xludf.DUMMYFUNCTION("""COMPUTED_VALUE"""),"")</f>
        <v/>
      </c>
      <c r="N108" s="53"/>
      <c r="O108" s="53"/>
      <c r="P108" s="53"/>
    </row>
    <row r="109">
      <c r="A109" s="60"/>
      <c r="B109" s="52"/>
      <c r="C109" s="53"/>
      <c r="D109" s="53"/>
      <c r="E109" s="53"/>
      <c r="F109" s="53"/>
      <c r="G109" s="53"/>
      <c r="H109" s="53"/>
      <c r="I109" s="53"/>
      <c r="J109" s="53"/>
      <c r="K109" s="61"/>
      <c r="L109" s="53"/>
      <c r="M109" s="53" t="str">
        <f>IFERROR(__xludf.DUMMYFUNCTION("""COMPUTED_VALUE"""),"")</f>
        <v/>
      </c>
      <c r="N109" s="53"/>
      <c r="O109" s="53"/>
      <c r="P109" s="53"/>
    </row>
    <row r="110">
      <c r="A110" s="60"/>
      <c r="B110" s="52"/>
      <c r="C110" s="53"/>
      <c r="D110" s="53"/>
      <c r="E110" s="53"/>
      <c r="F110" s="53"/>
      <c r="G110" s="53"/>
      <c r="H110" s="53"/>
      <c r="I110" s="53"/>
      <c r="J110" s="53"/>
      <c r="K110" s="61"/>
      <c r="L110" s="53"/>
      <c r="M110" s="53" t="str">
        <f>IFERROR(__xludf.DUMMYFUNCTION("""COMPUTED_VALUE"""),"")</f>
        <v/>
      </c>
      <c r="N110" s="53"/>
      <c r="O110" s="53"/>
      <c r="P110" s="53"/>
    </row>
    <row r="111">
      <c r="A111" s="60"/>
      <c r="B111" s="52"/>
      <c r="C111" s="53"/>
      <c r="D111" s="53"/>
      <c r="E111" s="53"/>
      <c r="F111" s="53"/>
      <c r="G111" s="53"/>
      <c r="H111" s="53"/>
      <c r="I111" s="53"/>
      <c r="J111" s="53"/>
      <c r="K111" s="61"/>
      <c r="L111" s="53"/>
      <c r="M111" s="53" t="str">
        <f>IFERROR(__xludf.DUMMYFUNCTION("""COMPUTED_VALUE"""),"")</f>
        <v/>
      </c>
      <c r="N111" s="53"/>
      <c r="O111" s="53"/>
      <c r="P111" s="53"/>
    </row>
    <row r="112">
      <c r="A112" s="60"/>
      <c r="B112" s="52"/>
      <c r="C112" s="53"/>
      <c r="D112" s="53"/>
      <c r="E112" s="53"/>
      <c r="F112" s="53"/>
      <c r="G112" s="53"/>
      <c r="H112" s="53"/>
      <c r="I112" s="53"/>
      <c r="J112" s="53"/>
      <c r="K112" s="61"/>
      <c r="L112" s="53"/>
      <c r="M112" s="53" t="str">
        <f>IFERROR(__xludf.DUMMYFUNCTION("""COMPUTED_VALUE"""),"")</f>
        <v/>
      </c>
      <c r="N112" s="53"/>
      <c r="O112" s="53"/>
      <c r="P112" s="53"/>
    </row>
    <row r="113">
      <c r="A113" s="60"/>
      <c r="B113" s="52"/>
      <c r="C113" s="53"/>
      <c r="D113" s="53"/>
      <c r="E113" s="53"/>
      <c r="F113" s="53"/>
      <c r="G113" s="53"/>
      <c r="H113" s="53"/>
      <c r="I113" s="53"/>
      <c r="J113" s="53"/>
      <c r="K113" s="61"/>
      <c r="L113" s="53"/>
      <c r="M113" s="53" t="str">
        <f>IFERROR(__xludf.DUMMYFUNCTION("""COMPUTED_VALUE"""),"")</f>
        <v/>
      </c>
      <c r="N113" s="53"/>
      <c r="O113" s="53"/>
      <c r="P113" s="53"/>
    </row>
    <row r="114">
      <c r="A114" s="60"/>
      <c r="B114" s="52"/>
      <c r="C114" s="53"/>
      <c r="D114" s="53"/>
      <c r="E114" s="53"/>
      <c r="F114" s="53"/>
      <c r="G114" s="53"/>
      <c r="H114" s="53"/>
      <c r="I114" s="53"/>
      <c r="J114" s="53"/>
      <c r="K114" s="61"/>
      <c r="L114" s="53"/>
      <c r="M114" s="53" t="str">
        <f>IFERROR(__xludf.DUMMYFUNCTION("""COMPUTED_VALUE"""),"")</f>
        <v/>
      </c>
      <c r="N114" s="53"/>
      <c r="O114" s="53"/>
      <c r="P114" s="53"/>
    </row>
    <row r="115">
      <c r="A115" s="60"/>
      <c r="B115" s="52"/>
      <c r="C115" s="53"/>
      <c r="D115" s="53"/>
      <c r="E115" s="53"/>
      <c r="F115" s="53"/>
      <c r="G115" s="53"/>
      <c r="H115" s="53"/>
      <c r="I115" s="53"/>
      <c r="J115" s="53"/>
      <c r="K115" s="61"/>
      <c r="L115" s="53"/>
      <c r="M115" s="53" t="str">
        <f>IFERROR(__xludf.DUMMYFUNCTION("""COMPUTED_VALUE"""),"")</f>
        <v/>
      </c>
      <c r="N115" s="53"/>
      <c r="O115" s="53"/>
      <c r="P115" s="53"/>
    </row>
    <row r="116">
      <c r="A116" s="60"/>
      <c r="B116" s="52"/>
      <c r="C116" s="53"/>
      <c r="D116" s="53"/>
      <c r="E116" s="53"/>
      <c r="F116" s="53"/>
      <c r="G116" s="53"/>
      <c r="H116" s="53"/>
      <c r="I116" s="53"/>
      <c r="J116" s="53"/>
      <c r="K116" s="61"/>
      <c r="L116" s="53"/>
      <c r="M116" s="53" t="str">
        <f>IFERROR(__xludf.DUMMYFUNCTION("""COMPUTED_VALUE"""),"")</f>
        <v/>
      </c>
      <c r="N116" s="53"/>
      <c r="O116" s="53"/>
      <c r="P116" s="53"/>
    </row>
    <row r="117">
      <c r="A117" s="60"/>
      <c r="B117" s="52"/>
      <c r="C117" s="53"/>
      <c r="D117" s="53"/>
      <c r="E117" s="53"/>
      <c r="F117" s="53"/>
      <c r="G117" s="53"/>
      <c r="H117" s="53"/>
      <c r="I117" s="53"/>
      <c r="J117" s="53"/>
      <c r="K117" s="61"/>
      <c r="L117" s="53"/>
      <c r="M117" s="53" t="str">
        <f>IFERROR(__xludf.DUMMYFUNCTION("""COMPUTED_VALUE"""),"")</f>
        <v/>
      </c>
      <c r="N117" s="53"/>
      <c r="O117" s="53"/>
      <c r="P117" s="53"/>
    </row>
    <row r="118">
      <c r="A118" s="60"/>
      <c r="B118" s="52"/>
      <c r="C118" s="53"/>
      <c r="D118" s="53"/>
      <c r="E118" s="53"/>
      <c r="F118" s="53"/>
      <c r="G118" s="53"/>
      <c r="H118" s="53"/>
      <c r="I118" s="53"/>
      <c r="J118" s="53"/>
      <c r="K118" s="61"/>
      <c r="L118" s="53"/>
      <c r="M118" s="53" t="str">
        <f>IFERROR(__xludf.DUMMYFUNCTION("""COMPUTED_VALUE"""),"")</f>
        <v/>
      </c>
      <c r="N118" s="53"/>
      <c r="O118" s="53"/>
      <c r="P118" s="53"/>
    </row>
    <row r="119">
      <c r="A119" s="60"/>
      <c r="B119" s="52"/>
      <c r="C119" s="53"/>
      <c r="D119" s="53"/>
      <c r="E119" s="53"/>
      <c r="F119" s="53"/>
      <c r="G119" s="53"/>
      <c r="H119" s="53"/>
      <c r="I119" s="53"/>
      <c r="J119" s="53"/>
      <c r="K119" s="61"/>
      <c r="L119" s="53"/>
      <c r="M119" s="53" t="str">
        <f>IFERROR(__xludf.DUMMYFUNCTION("""COMPUTED_VALUE"""),"")</f>
        <v/>
      </c>
      <c r="N119" s="53"/>
      <c r="O119" s="53"/>
      <c r="P119" s="53"/>
    </row>
    <row r="120">
      <c r="A120" s="60"/>
      <c r="B120" s="52"/>
      <c r="C120" s="53"/>
      <c r="D120" s="53"/>
      <c r="E120" s="53"/>
      <c r="F120" s="53"/>
      <c r="G120" s="53"/>
      <c r="H120" s="53"/>
      <c r="I120" s="53"/>
      <c r="J120" s="53"/>
      <c r="K120" s="61"/>
      <c r="L120" s="53"/>
      <c r="M120" s="53" t="str">
        <f>IFERROR(__xludf.DUMMYFUNCTION("""COMPUTED_VALUE"""),"")</f>
        <v/>
      </c>
      <c r="N120" s="53"/>
      <c r="O120" s="53"/>
      <c r="P120" s="53"/>
    </row>
    <row r="121">
      <c r="A121" s="60"/>
      <c r="B121" s="52"/>
      <c r="C121" s="53"/>
      <c r="D121" s="53"/>
      <c r="E121" s="53"/>
      <c r="F121" s="53"/>
      <c r="G121" s="53"/>
      <c r="H121" s="53"/>
      <c r="I121" s="53"/>
      <c r="J121" s="53"/>
      <c r="K121" s="61"/>
      <c r="L121" s="53"/>
      <c r="M121" s="53" t="str">
        <f>IFERROR(__xludf.DUMMYFUNCTION("""COMPUTED_VALUE"""),"")</f>
        <v/>
      </c>
      <c r="N121" s="53"/>
      <c r="O121" s="53"/>
      <c r="P121" s="53"/>
    </row>
    <row r="122">
      <c r="A122" s="60"/>
      <c r="B122" s="52"/>
      <c r="C122" s="53"/>
      <c r="D122" s="53"/>
      <c r="E122" s="53"/>
      <c r="F122" s="53"/>
      <c r="G122" s="53"/>
      <c r="H122" s="53"/>
      <c r="I122" s="53"/>
      <c r="J122" s="53"/>
      <c r="K122" s="61"/>
      <c r="L122" s="53"/>
      <c r="M122" s="53" t="str">
        <f>IFERROR(__xludf.DUMMYFUNCTION("""COMPUTED_VALUE"""),"")</f>
        <v/>
      </c>
      <c r="N122" s="53"/>
      <c r="O122" s="53"/>
      <c r="P122" s="53"/>
    </row>
    <row r="123">
      <c r="A123" s="60"/>
      <c r="B123" s="52"/>
      <c r="C123" s="53"/>
      <c r="D123" s="53"/>
      <c r="E123" s="53"/>
      <c r="F123" s="53"/>
      <c r="G123" s="53"/>
      <c r="H123" s="53"/>
      <c r="I123" s="53"/>
      <c r="J123" s="53"/>
      <c r="K123" s="61"/>
      <c r="L123" s="53"/>
      <c r="M123" s="53" t="str">
        <f>IFERROR(__xludf.DUMMYFUNCTION("""COMPUTED_VALUE"""),"")</f>
        <v/>
      </c>
      <c r="N123" s="53"/>
      <c r="O123" s="53"/>
      <c r="P123" s="53"/>
    </row>
    <row r="124">
      <c r="A124" s="60"/>
      <c r="B124" s="52"/>
      <c r="C124" s="53"/>
      <c r="D124" s="53"/>
      <c r="E124" s="53"/>
      <c r="F124" s="53"/>
      <c r="G124" s="53"/>
      <c r="H124" s="53"/>
      <c r="I124" s="53"/>
      <c r="J124" s="53"/>
      <c r="K124" s="61"/>
      <c r="L124" s="53"/>
      <c r="M124" s="53" t="str">
        <f>IFERROR(__xludf.DUMMYFUNCTION("""COMPUTED_VALUE"""),"")</f>
        <v/>
      </c>
      <c r="N124" s="53"/>
      <c r="O124" s="53"/>
      <c r="P124" s="53"/>
    </row>
    <row r="125">
      <c r="A125" s="60"/>
      <c r="B125" s="52"/>
      <c r="C125" s="53"/>
      <c r="D125" s="53"/>
      <c r="E125" s="53"/>
      <c r="F125" s="53"/>
      <c r="G125" s="53"/>
      <c r="H125" s="53"/>
      <c r="I125" s="53"/>
      <c r="J125" s="53"/>
      <c r="K125" s="61"/>
      <c r="L125" s="53"/>
      <c r="M125" s="53" t="str">
        <f>IFERROR(__xludf.DUMMYFUNCTION("""COMPUTED_VALUE"""),"")</f>
        <v/>
      </c>
      <c r="N125" s="53"/>
      <c r="O125" s="53"/>
      <c r="P125" s="53"/>
    </row>
    <row r="126">
      <c r="A126" s="60"/>
      <c r="B126" s="52"/>
      <c r="C126" s="53"/>
      <c r="D126" s="53"/>
      <c r="E126" s="53"/>
      <c r="F126" s="53"/>
      <c r="G126" s="53"/>
      <c r="H126" s="53"/>
      <c r="I126" s="53"/>
      <c r="J126" s="53"/>
      <c r="K126" s="61"/>
      <c r="L126" s="53"/>
      <c r="M126" s="53" t="str">
        <f>IFERROR(__xludf.DUMMYFUNCTION("""COMPUTED_VALUE"""),"")</f>
        <v/>
      </c>
      <c r="N126" s="53"/>
      <c r="O126" s="53"/>
      <c r="P126" s="53"/>
    </row>
    <row r="127">
      <c r="A127" s="60"/>
      <c r="B127" s="52"/>
      <c r="C127" s="53"/>
      <c r="D127" s="53"/>
      <c r="E127" s="53"/>
      <c r="F127" s="53"/>
      <c r="G127" s="53"/>
      <c r="H127" s="53"/>
      <c r="I127" s="53"/>
      <c r="J127" s="53"/>
      <c r="K127" s="61"/>
      <c r="L127" s="53"/>
      <c r="M127" s="53" t="str">
        <f>IFERROR(__xludf.DUMMYFUNCTION("""COMPUTED_VALUE"""),"")</f>
        <v/>
      </c>
      <c r="N127" s="53"/>
      <c r="O127" s="53"/>
      <c r="P127" s="53"/>
    </row>
    <row r="128">
      <c r="A128" s="60"/>
      <c r="B128" s="52"/>
      <c r="C128" s="53"/>
      <c r="D128" s="53"/>
      <c r="E128" s="53"/>
      <c r="F128" s="53"/>
      <c r="G128" s="53"/>
      <c r="H128" s="53"/>
      <c r="I128" s="53"/>
      <c r="J128" s="53"/>
      <c r="K128" s="61"/>
      <c r="L128" s="53"/>
      <c r="M128" s="53" t="str">
        <f>IFERROR(__xludf.DUMMYFUNCTION("""COMPUTED_VALUE"""),"")</f>
        <v/>
      </c>
      <c r="N128" s="53"/>
      <c r="O128" s="53"/>
      <c r="P128" s="53"/>
    </row>
    <row r="129">
      <c r="A129" s="60"/>
      <c r="B129" s="52"/>
      <c r="C129" s="53"/>
      <c r="D129" s="53"/>
      <c r="E129" s="53"/>
      <c r="F129" s="53"/>
      <c r="G129" s="53"/>
      <c r="H129" s="53"/>
      <c r="I129" s="53"/>
      <c r="J129" s="53"/>
      <c r="K129" s="61"/>
      <c r="L129" s="53"/>
      <c r="M129" s="53" t="str">
        <f>IFERROR(__xludf.DUMMYFUNCTION("""COMPUTED_VALUE"""),"")</f>
        <v/>
      </c>
      <c r="N129" s="53"/>
      <c r="O129" s="53"/>
      <c r="P129" s="53"/>
    </row>
    <row r="130">
      <c r="A130" s="60"/>
      <c r="B130" s="52"/>
      <c r="C130" s="53"/>
      <c r="D130" s="53"/>
      <c r="E130" s="53"/>
      <c r="F130" s="53"/>
      <c r="G130" s="53"/>
      <c r="H130" s="53"/>
      <c r="I130" s="53"/>
      <c r="J130" s="53"/>
      <c r="K130" s="61"/>
      <c r="L130" s="53"/>
      <c r="M130" s="53" t="str">
        <f>IFERROR(__xludf.DUMMYFUNCTION("""COMPUTED_VALUE"""),"")</f>
        <v/>
      </c>
      <c r="N130" s="53"/>
      <c r="O130" s="53"/>
      <c r="P130" s="53"/>
    </row>
    <row r="131">
      <c r="A131" s="60"/>
      <c r="B131" s="52"/>
      <c r="C131" s="53"/>
      <c r="D131" s="53"/>
      <c r="E131" s="53"/>
      <c r="F131" s="53"/>
      <c r="G131" s="53"/>
      <c r="H131" s="53"/>
      <c r="I131" s="53"/>
      <c r="J131" s="53"/>
      <c r="K131" s="61"/>
      <c r="L131" s="53"/>
      <c r="M131" s="53" t="str">
        <f>IFERROR(__xludf.DUMMYFUNCTION("""COMPUTED_VALUE"""),"")</f>
        <v/>
      </c>
      <c r="N131" s="53"/>
      <c r="O131" s="53"/>
      <c r="P131" s="53"/>
    </row>
    <row r="132">
      <c r="A132" s="60"/>
      <c r="B132" s="52"/>
      <c r="C132" s="53"/>
      <c r="D132" s="53"/>
      <c r="E132" s="53"/>
      <c r="F132" s="53"/>
      <c r="G132" s="53"/>
      <c r="H132" s="53"/>
      <c r="I132" s="53"/>
      <c r="J132" s="53"/>
      <c r="K132" s="61"/>
      <c r="L132" s="53"/>
      <c r="M132" s="53" t="str">
        <f>IFERROR(__xludf.DUMMYFUNCTION("""COMPUTED_VALUE"""),"")</f>
        <v/>
      </c>
      <c r="N132" s="53"/>
      <c r="O132" s="53"/>
      <c r="P132" s="53"/>
    </row>
    <row r="133">
      <c r="A133" s="60"/>
      <c r="B133" s="52"/>
      <c r="C133" s="53"/>
      <c r="D133" s="53"/>
      <c r="E133" s="53"/>
      <c r="F133" s="53"/>
      <c r="G133" s="53"/>
      <c r="H133" s="53"/>
      <c r="I133" s="53"/>
      <c r="J133" s="53"/>
      <c r="K133" s="61"/>
      <c r="L133" s="53"/>
      <c r="M133" s="53" t="str">
        <f>IFERROR(__xludf.DUMMYFUNCTION("""COMPUTED_VALUE"""),"")</f>
        <v/>
      </c>
      <c r="N133" s="53"/>
      <c r="O133" s="53"/>
      <c r="P133" s="53"/>
    </row>
    <row r="134">
      <c r="A134" s="60"/>
      <c r="B134" s="52"/>
      <c r="C134" s="53"/>
      <c r="D134" s="53"/>
      <c r="E134" s="53"/>
      <c r="F134" s="53"/>
      <c r="G134" s="53"/>
      <c r="H134" s="53"/>
      <c r="I134" s="53"/>
      <c r="J134" s="53"/>
      <c r="K134" s="61"/>
      <c r="L134" s="53"/>
      <c r="M134" s="53" t="str">
        <f>IFERROR(__xludf.DUMMYFUNCTION("""COMPUTED_VALUE"""),"")</f>
        <v/>
      </c>
      <c r="N134" s="53"/>
      <c r="O134" s="53"/>
      <c r="P134" s="53"/>
    </row>
    <row r="135">
      <c r="A135" s="60"/>
      <c r="B135" s="52"/>
      <c r="C135" s="53"/>
      <c r="D135" s="53"/>
      <c r="E135" s="53"/>
      <c r="F135" s="53"/>
      <c r="G135" s="53"/>
      <c r="H135" s="53"/>
      <c r="I135" s="53"/>
      <c r="J135" s="53"/>
      <c r="K135" s="61"/>
      <c r="L135" s="53"/>
      <c r="M135" s="53" t="str">
        <f>IFERROR(__xludf.DUMMYFUNCTION("""COMPUTED_VALUE"""),"")</f>
        <v/>
      </c>
      <c r="N135" s="53"/>
      <c r="O135" s="53"/>
      <c r="P135" s="53"/>
    </row>
    <row r="136">
      <c r="A136" s="60"/>
      <c r="B136" s="52"/>
      <c r="C136" s="53"/>
      <c r="D136" s="53"/>
      <c r="E136" s="53"/>
      <c r="F136" s="53"/>
      <c r="G136" s="53"/>
      <c r="H136" s="53"/>
      <c r="I136" s="53"/>
      <c r="J136" s="53"/>
      <c r="K136" s="61"/>
      <c r="L136" s="53"/>
      <c r="M136" s="53" t="str">
        <f>IFERROR(__xludf.DUMMYFUNCTION("""COMPUTED_VALUE"""),"")</f>
        <v/>
      </c>
      <c r="N136" s="53"/>
      <c r="O136" s="53"/>
      <c r="P136" s="53"/>
    </row>
    <row r="137">
      <c r="A137" s="60"/>
      <c r="B137" s="52"/>
      <c r="C137" s="53"/>
      <c r="D137" s="53"/>
      <c r="E137" s="53"/>
      <c r="F137" s="53"/>
      <c r="G137" s="53"/>
      <c r="H137" s="53"/>
      <c r="I137" s="53"/>
      <c r="J137" s="53"/>
      <c r="K137" s="61"/>
      <c r="L137" s="53"/>
      <c r="M137" s="53" t="str">
        <f>IFERROR(__xludf.DUMMYFUNCTION("""COMPUTED_VALUE"""),"")</f>
        <v/>
      </c>
      <c r="N137" s="53"/>
      <c r="O137" s="53"/>
      <c r="P137" s="53"/>
    </row>
    <row r="138">
      <c r="A138" s="60"/>
      <c r="B138" s="52"/>
      <c r="C138" s="53"/>
      <c r="D138" s="53"/>
      <c r="E138" s="53"/>
      <c r="F138" s="53"/>
      <c r="G138" s="53"/>
      <c r="H138" s="53"/>
      <c r="I138" s="53"/>
      <c r="J138" s="53"/>
      <c r="K138" s="61"/>
      <c r="L138" s="53"/>
      <c r="M138" s="53" t="str">
        <f>IFERROR(__xludf.DUMMYFUNCTION("""COMPUTED_VALUE"""),"")</f>
        <v/>
      </c>
      <c r="N138" s="53"/>
      <c r="O138" s="53"/>
      <c r="P138" s="53"/>
    </row>
    <row r="139">
      <c r="A139" s="60"/>
      <c r="B139" s="52"/>
      <c r="C139" s="53"/>
      <c r="D139" s="53"/>
      <c r="E139" s="53"/>
      <c r="F139" s="53"/>
      <c r="G139" s="53"/>
      <c r="H139" s="53"/>
      <c r="I139" s="53"/>
      <c r="J139" s="53"/>
      <c r="K139" s="61"/>
      <c r="L139" s="53"/>
      <c r="M139" s="53" t="str">
        <f>IFERROR(__xludf.DUMMYFUNCTION("""COMPUTED_VALUE"""),"")</f>
        <v/>
      </c>
      <c r="N139" s="53"/>
      <c r="O139" s="53"/>
      <c r="P139" s="53"/>
    </row>
    <row r="140">
      <c r="A140" s="60"/>
      <c r="B140" s="52"/>
      <c r="C140" s="53"/>
      <c r="D140" s="53"/>
      <c r="E140" s="53"/>
      <c r="F140" s="53"/>
      <c r="G140" s="53"/>
      <c r="H140" s="53"/>
      <c r="I140" s="53"/>
      <c r="J140" s="53"/>
      <c r="K140" s="61"/>
      <c r="L140" s="53"/>
      <c r="M140" s="53" t="str">
        <f>IFERROR(__xludf.DUMMYFUNCTION("""COMPUTED_VALUE"""),"")</f>
        <v/>
      </c>
      <c r="N140" s="53"/>
      <c r="O140" s="53"/>
      <c r="P140" s="53"/>
    </row>
    <row r="141">
      <c r="A141" s="60"/>
      <c r="B141" s="52"/>
      <c r="C141" s="53"/>
      <c r="D141" s="53"/>
      <c r="E141" s="53"/>
      <c r="F141" s="53"/>
      <c r="G141" s="53"/>
      <c r="H141" s="53"/>
      <c r="I141" s="53"/>
      <c r="J141" s="53"/>
      <c r="K141" s="61"/>
      <c r="L141" s="53"/>
      <c r="M141" s="53" t="str">
        <f>IFERROR(__xludf.DUMMYFUNCTION("""COMPUTED_VALUE"""),"")</f>
        <v/>
      </c>
      <c r="N141" s="53"/>
      <c r="O141" s="53"/>
      <c r="P141" s="53"/>
    </row>
    <row r="142">
      <c r="A142" s="60"/>
      <c r="B142" s="52"/>
      <c r="C142" s="53"/>
      <c r="D142" s="53"/>
      <c r="E142" s="53"/>
      <c r="F142" s="53"/>
      <c r="G142" s="53"/>
      <c r="H142" s="53"/>
      <c r="I142" s="53"/>
      <c r="J142" s="53"/>
      <c r="K142" s="61"/>
      <c r="L142" s="53"/>
      <c r="M142" s="53" t="str">
        <f>IFERROR(__xludf.DUMMYFUNCTION("""COMPUTED_VALUE"""),"")</f>
        <v/>
      </c>
      <c r="N142" s="53"/>
      <c r="O142" s="53"/>
      <c r="P142" s="53"/>
    </row>
    <row r="143">
      <c r="A143" s="60"/>
      <c r="B143" s="52"/>
      <c r="C143" s="53"/>
      <c r="D143" s="53"/>
      <c r="E143" s="53"/>
      <c r="F143" s="53"/>
      <c r="G143" s="53"/>
      <c r="H143" s="53"/>
      <c r="I143" s="53"/>
      <c r="J143" s="53"/>
      <c r="K143" s="61"/>
      <c r="L143" s="53"/>
      <c r="M143" s="53" t="str">
        <f>IFERROR(__xludf.DUMMYFUNCTION("""COMPUTED_VALUE"""),"")</f>
        <v/>
      </c>
      <c r="N143" s="53"/>
      <c r="O143" s="53"/>
      <c r="P143" s="53"/>
    </row>
    <row r="144">
      <c r="A144" s="60"/>
      <c r="B144" s="52"/>
      <c r="C144" s="53"/>
      <c r="D144" s="53"/>
      <c r="E144" s="53"/>
      <c r="F144" s="53"/>
      <c r="G144" s="53"/>
      <c r="H144" s="53"/>
      <c r="I144" s="53"/>
      <c r="J144" s="53"/>
      <c r="K144" s="61"/>
      <c r="L144" s="53"/>
      <c r="M144" s="53" t="str">
        <f>IFERROR(__xludf.DUMMYFUNCTION("""COMPUTED_VALUE"""),"")</f>
        <v/>
      </c>
      <c r="N144" s="53"/>
      <c r="O144" s="53"/>
      <c r="P144" s="53"/>
    </row>
    <row r="145">
      <c r="A145" s="60"/>
      <c r="B145" s="52"/>
      <c r="C145" s="53"/>
      <c r="D145" s="53"/>
      <c r="E145" s="53"/>
      <c r="F145" s="53"/>
      <c r="G145" s="53"/>
      <c r="H145" s="53"/>
      <c r="I145" s="53"/>
      <c r="J145" s="53"/>
      <c r="K145" s="61"/>
      <c r="L145" s="53"/>
      <c r="M145" s="53" t="str">
        <f>IFERROR(__xludf.DUMMYFUNCTION("""COMPUTED_VALUE"""),"")</f>
        <v/>
      </c>
      <c r="N145" s="53"/>
      <c r="O145" s="53"/>
      <c r="P145" s="53"/>
    </row>
    <row r="146">
      <c r="A146" s="60"/>
      <c r="B146" s="52"/>
      <c r="C146" s="53"/>
      <c r="D146" s="53"/>
      <c r="E146" s="53"/>
      <c r="F146" s="53"/>
      <c r="G146" s="53"/>
      <c r="H146" s="53"/>
      <c r="I146" s="53"/>
      <c r="J146" s="53"/>
      <c r="K146" s="61"/>
      <c r="L146" s="53"/>
      <c r="M146" s="53" t="str">
        <f>IFERROR(__xludf.DUMMYFUNCTION("""COMPUTED_VALUE"""),"")</f>
        <v/>
      </c>
      <c r="N146" s="53"/>
      <c r="O146" s="53"/>
      <c r="P146" s="53"/>
    </row>
    <row r="147">
      <c r="A147" s="60"/>
      <c r="B147" s="52"/>
      <c r="C147" s="53"/>
      <c r="D147" s="53"/>
      <c r="E147" s="53"/>
      <c r="F147" s="53"/>
      <c r="G147" s="53"/>
      <c r="H147" s="53"/>
      <c r="I147" s="53"/>
      <c r="J147" s="53"/>
      <c r="K147" s="61"/>
      <c r="L147" s="53"/>
      <c r="M147" s="53" t="str">
        <f>IFERROR(__xludf.DUMMYFUNCTION("""COMPUTED_VALUE"""),"")</f>
        <v/>
      </c>
      <c r="N147" s="53"/>
      <c r="O147" s="53"/>
      <c r="P147" s="53"/>
    </row>
    <row r="148">
      <c r="A148" s="60"/>
      <c r="B148" s="52"/>
      <c r="C148" s="53"/>
      <c r="D148" s="53"/>
      <c r="E148" s="53"/>
      <c r="F148" s="53"/>
      <c r="G148" s="53"/>
      <c r="H148" s="53"/>
      <c r="I148" s="53"/>
      <c r="J148" s="53"/>
      <c r="K148" s="61"/>
      <c r="L148" s="53"/>
      <c r="M148" s="53" t="str">
        <f>IFERROR(__xludf.DUMMYFUNCTION("""COMPUTED_VALUE"""),"")</f>
        <v/>
      </c>
      <c r="N148" s="53"/>
      <c r="O148" s="53"/>
      <c r="P148" s="53"/>
    </row>
    <row r="149">
      <c r="A149" s="60"/>
      <c r="B149" s="52"/>
      <c r="C149" s="53"/>
      <c r="D149" s="53"/>
      <c r="E149" s="53"/>
      <c r="F149" s="53"/>
      <c r="G149" s="53"/>
      <c r="H149" s="53"/>
      <c r="I149" s="53"/>
      <c r="J149" s="53"/>
      <c r="K149" s="61"/>
      <c r="L149" s="53"/>
      <c r="M149" s="53" t="str">
        <f>IFERROR(__xludf.DUMMYFUNCTION("""COMPUTED_VALUE"""),"")</f>
        <v/>
      </c>
      <c r="N149" s="53"/>
      <c r="O149" s="53"/>
      <c r="P149" s="53"/>
    </row>
    <row r="150">
      <c r="A150" s="60"/>
      <c r="B150" s="52"/>
      <c r="C150" s="53"/>
      <c r="D150" s="53"/>
      <c r="E150" s="53"/>
      <c r="F150" s="53"/>
      <c r="G150" s="53"/>
      <c r="H150" s="53"/>
      <c r="I150" s="53"/>
      <c r="J150" s="53"/>
      <c r="K150" s="61"/>
      <c r="L150" s="53"/>
      <c r="M150" s="53" t="str">
        <f>IFERROR(__xludf.DUMMYFUNCTION("""COMPUTED_VALUE"""),"")</f>
        <v/>
      </c>
      <c r="N150" s="53"/>
      <c r="O150" s="53"/>
      <c r="P150" s="53"/>
    </row>
    <row r="151">
      <c r="A151" s="60"/>
      <c r="B151" s="52"/>
      <c r="C151" s="53"/>
      <c r="D151" s="53"/>
      <c r="E151" s="53"/>
      <c r="F151" s="53"/>
      <c r="G151" s="53"/>
      <c r="H151" s="53"/>
      <c r="I151" s="53"/>
      <c r="J151" s="53"/>
      <c r="K151" s="61"/>
      <c r="L151" s="53"/>
      <c r="M151" s="53" t="str">
        <f>IFERROR(__xludf.DUMMYFUNCTION("""COMPUTED_VALUE"""),"")</f>
        <v/>
      </c>
      <c r="N151" s="53"/>
      <c r="O151" s="53"/>
      <c r="P151" s="53"/>
    </row>
    <row r="152">
      <c r="A152" s="60"/>
      <c r="B152" s="52"/>
      <c r="C152" s="53"/>
      <c r="D152" s="53"/>
      <c r="E152" s="53"/>
      <c r="F152" s="53"/>
      <c r="G152" s="53"/>
      <c r="H152" s="53"/>
      <c r="I152" s="53"/>
      <c r="J152" s="53"/>
      <c r="K152" s="61"/>
      <c r="L152" s="53"/>
      <c r="M152" s="53" t="str">
        <f>IFERROR(__xludf.DUMMYFUNCTION("""COMPUTED_VALUE"""),"")</f>
        <v/>
      </c>
      <c r="N152" s="53"/>
      <c r="O152" s="53"/>
      <c r="P152" s="53"/>
    </row>
    <row r="153">
      <c r="A153" s="60"/>
      <c r="B153" s="52"/>
      <c r="C153" s="53"/>
      <c r="D153" s="53"/>
      <c r="E153" s="53"/>
      <c r="F153" s="53"/>
      <c r="G153" s="53"/>
      <c r="H153" s="53"/>
      <c r="I153" s="53"/>
      <c r="J153" s="53"/>
      <c r="K153" s="61"/>
      <c r="L153" s="53"/>
      <c r="M153" s="53" t="str">
        <f>IFERROR(__xludf.DUMMYFUNCTION("""COMPUTED_VALUE"""),"")</f>
        <v/>
      </c>
      <c r="N153" s="53"/>
      <c r="O153" s="53"/>
      <c r="P153" s="53"/>
    </row>
    <row r="154">
      <c r="A154" s="60"/>
      <c r="B154" s="52"/>
      <c r="C154" s="53"/>
      <c r="D154" s="53"/>
      <c r="E154" s="53"/>
      <c r="F154" s="53"/>
      <c r="G154" s="53"/>
      <c r="H154" s="53"/>
      <c r="I154" s="53"/>
      <c r="J154" s="53"/>
      <c r="K154" s="61"/>
      <c r="L154" s="53"/>
      <c r="M154" s="53" t="str">
        <f>IFERROR(__xludf.DUMMYFUNCTION("""COMPUTED_VALUE"""),"")</f>
        <v/>
      </c>
      <c r="N154" s="53"/>
      <c r="O154" s="53"/>
      <c r="P154" s="53"/>
    </row>
    <row r="155">
      <c r="A155" s="60"/>
      <c r="B155" s="52"/>
      <c r="C155" s="53"/>
      <c r="D155" s="53"/>
      <c r="E155" s="53"/>
      <c r="F155" s="53"/>
      <c r="G155" s="53"/>
      <c r="H155" s="53"/>
      <c r="I155" s="53"/>
      <c r="J155" s="53"/>
      <c r="K155" s="61"/>
      <c r="L155" s="53"/>
      <c r="M155" s="53" t="str">
        <f>IFERROR(__xludf.DUMMYFUNCTION("""COMPUTED_VALUE"""),"")</f>
        <v/>
      </c>
      <c r="N155" s="53"/>
      <c r="O155" s="53"/>
      <c r="P155" s="53"/>
    </row>
    <row r="156">
      <c r="A156" s="60"/>
      <c r="B156" s="52"/>
      <c r="C156" s="53"/>
      <c r="D156" s="53"/>
      <c r="E156" s="53"/>
      <c r="F156" s="53"/>
      <c r="G156" s="53"/>
      <c r="H156" s="53"/>
      <c r="I156" s="53"/>
      <c r="J156" s="53"/>
      <c r="K156" s="61"/>
      <c r="L156" s="53"/>
      <c r="M156" s="53" t="str">
        <f>IFERROR(__xludf.DUMMYFUNCTION("""COMPUTED_VALUE"""),"")</f>
        <v/>
      </c>
      <c r="N156" s="53"/>
      <c r="O156" s="53"/>
      <c r="P156" s="53"/>
    </row>
    <row r="157">
      <c r="A157" s="60"/>
      <c r="B157" s="52"/>
      <c r="C157" s="53"/>
      <c r="D157" s="53"/>
      <c r="E157" s="53"/>
      <c r="F157" s="53"/>
      <c r="G157" s="53"/>
      <c r="H157" s="53"/>
      <c r="I157" s="53"/>
      <c r="J157" s="53"/>
      <c r="K157" s="61"/>
      <c r="L157" s="53"/>
      <c r="M157" s="53" t="str">
        <f>IFERROR(__xludf.DUMMYFUNCTION("""COMPUTED_VALUE"""),"")</f>
        <v/>
      </c>
      <c r="N157" s="53"/>
      <c r="O157" s="53"/>
      <c r="P157" s="53"/>
    </row>
    <row r="158">
      <c r="A158" s="60"/>
      <c r="B158" s="52"/>
      <c r="C158" s="53"/>
      <c r="D158" s="53"/>
      <c r="E158" s="53"/>
      <c r="F158" s="53"/>
      <c r="G158" s="53"/>
      <c r="H158" s="53"/>
      <c r="I158" s="53"/>
      <c r="J158" s="53"/>
      <c r="K158" s="61"/>
      <c r="L158" s="53"/>
      <c r="M158" s="53" t="str">
        <f>IFERROR(__xludf.DUMMYFUNCTION("""COMPUTED_VALUE"""),"")</f>
        <v/>
      </c>
      <c r="N158" s="53"/>
      <c r="O158" s="53"/>
      <c r="P158" s="53"/>
    </row>
    <row r="159">
      <c r="A159" s="60"/>
      <c r="B159" s="52"/>
      <c r="C159" s="53"/>
      <c r="D159" s="53"/>
      <c r="E159" s="53"/>
      <c r="F159" s="53"/>
      <c r="G159" s="53"/>
      <c r="H159" s="53"/>
      <c r="I159" s="53"/>
      <c r="J159" s="53"/>
      <c r="K159" s="61"/>
      <c r="L159" s="53"/>
      <c r="M159" s="53" t="str">
        <f>IFERROR(__xludf.DUMMYFUNCTION("""COMPUTED_VALUE"""),"")</f>
        <v/>
      </c>
      <c r="N159" s="53"/>
      <c r="O159" s="53"/>
      <c r="P159" s="53"/>
    </row>
    <row r="160">
      <c r="A160" s="60"/>
      <c r="B160" s="52"/>
      <c r="C160" s="53"/>
      <c r="D160" s="53"/>
      <c r="E160" s="53"/>
      <c r="F160" s="53"/>
      <c r="G160" s="53"/>
      <c r="H160" s="53"/>
      <c r="I160" s="53"/>
      <c r="J160" s="53"/>
      <c r="K160" s="61"/>
      <c r="L160" s="53"/>
      <c r="M160" s="53" t="str">
        <f>IFERROR(__xludf.DUMMYFUNCTION("""COMPUTED_VALUE"""),"")</f>
        <v/>
      </c>
      <c r="N160" s="53"/>
      <c r="O160" s="53"/>
      <c r="P160" s="53"/>
    </row>
    <row r="161">
      <c r="A161" s="60"/>
      <c r="B161" s="52"/>
      <c r="C161" s="53"/>
      <c r="D161" s="53"/>
      <c r="E161" s="53"/>
      <c r="F161" s="53"/>
      <c r="G161" s="53"/>
      <c r="H161" s="53"/>
      <c r="I161" s="53"/>
      <c r="J161" s="53"/>
      <c r="K161" s="61"/>
      <c r="L161" s="53"/>
      <c r="M161" s="53" t="str">
        <f>IFERROR(__xludf.DUMMYFUNCTION("""COMPUTED_VALUE"""),"")</f>
        <v/>
      </c>
      <c r="N161" s="53"/>
      <c r="O161" s="53"/>
      <c r="P161" s="53"/>
    </row>
    <row r="162">
      <c r="A162" s="60"/>
      <c r="B162" s="52"/>
      <c r="C162" s="53"/>
      <c r="D162" s="53"/>
      <c r="E162" s="53"/>
      <c r="F162" s="53"/>
      <c r="G162" s="53"/>
      <c r="H162" s="53"/>
      <c r="I162" s="53"/>
      <c r="J162" s="53"/>
      <c r="K162" s="61"/>
      <c r="L162" s="53"/>
      <c r="M162" s="53" t="str">
        <f>IFERROR(__xludf.DUMMYFUNCTION("""COMPUTED_VALUE"""),"")</f>
        <v/>
      </c>
      <c r="N162" s="53"/>
      <c r="O162" s="53"/>
      <c r="P162" s="53"/>
    </row>
    <row r="163">
      <c r="A163" s="60"/>
      <c r="B163" s="52"/>
      <c r="C163" s="53"/>
      <c r="D163" s="53"/>
      <c r="E163" s="53"/>
      <c r="F163" s="53"/>
      <c r="G163" s="53"/>
      <c r="H163" s="53"/>
      <c r="I163" s="53"/>
      <c r="J163" s="53"/>
      <c r="K163" s="61"/>
      <c r="L163" s="53"/>
      <c r="M163" s="53" t="str">
        <f>IFERROR(__xludf.DUMMYFUNCTION("""COMPUTED_VALUE"""),"")</f>
        <v/>
      </c>
      <c r="N163" s="53"/>
      <c r="O163" s="53"/>
      <c r="P163" s="53"/>
    </row>
    <row r="164">
      <c r="A164" s="60"/>
      <c r="B164" s="52"/>
      <c r="C164" s="53"/>
      <c r="D164" s="53"/>
      <c r="E164" s="53"/>
      <c r="F164" s="53"/>
      <c r="G164" s="53"/>
      <c r="H164" s="53"/>
      <c r="I164" s="53"/>
      <c r="J164" s="53"/>
      <c r="K164" s="61"/>
      <c r="L164" s="53"/>
      <c r="M164" s="53" t="str">
        <f>IFERROR(__xludf.DUMMYFUNCTION("""COMPUTED_VALUE"""),"")</f>
        <v/>
      </c>
      <c r="N164" s="53"/>
      <c r="O164" s="53"/>
      <c r="P164" s="53"/>
    </row>
    <row r="165">
      <c r="A165" s="60"/>
      <c r="B165" s="52"/>
      <c r="C165" s="53"/>
      <c r="D165" s="53"/>
      <c r="E165" s="53"/>
      <c r="F165" s="53"/>
      <c r="G165" s="53"/>
      <c r="H165" s="53"/>
      <c r="I165" s="53"/>
      <c r="J165" s="53"/>
      <c r="K165" s="61"/>
      <c r="L165" s="53"/>
      <c r="M165" s="53" t="str">
        <f>IFERROR(__xludf.DUMMYFUNCTION("""COMPUTED_VALUE"""),"")</f>
        <v/>
      </c>
      <c r="N165" s="53"/>
      <c r="O165" s="53"/>
      <c r="P165" s="53"/>
    </row>
    <row r="166">
      <c r="A166" s="60"/>
      <c r="B166" s="52"/>
      <c r="C166" s="53"/>
      <c r="D166" s="53"/>
      <c r="E166" s="53"/>
      <c r="F166" s="53"/>
      <c r="G166" s="53"/>
      <c r="H166" s="53"/>
      <c r="I166" s="53"/>
      <c r="J166" s="53"/>
      <c r="K166" s="61"/>
      <c r="L166" s="53"/>
      <c r="M166" s="53" t="str">
        <f>IFERROR(__xludf.DUMMYFUNCTION("""COMPUTED_VALUE"""),"")</f>
        <v/>
      </c>
      <c r="N166" s="53"/>
      <c r="O166" s="53"/>
      <c r="P166" s="53"/>
    </row>
    <row r="167">
      <c r="A167" s="60"/>
      <c r="B167" s="52"/>
      <c r="C167" s="53"/>
      <c r="D167" s="53"/>
      <c r="E167" s="53"/>
      <c r="F167" s="53"/>
      <c r="G167" s="53"/>
      <c r="H167" s="53"/>
      <c r="I167" s="53"/>
      <c r="J167" s="53"/>
      <c r="K167" s="61"/>
      <c r="L167" s="53"/>
      <c r="M167" s="53" t="str">
        <f>IFERROR(__xludf.DUMMYFUNCTION("""COMPUTED_VALUE"""),"")</f>
        <v/>
      </c>
      <c r="N167" s="53"/>
      <c r="O167" s="53"/>
      <c r="P167" s="53"/>
    </row>
    <row r="168">
      <c r="A168" s="60"/>
      <c r="B168" s="52"/>
      <c r="C168" s="53"/>
      <c r="D168" s="53"/>
      <c r="E168" s="53"/>
      <c r="F168" s="53"/>
      <c r="G168" s="53"/>
      <c r="H168" s="53"/>
      <c r="I168" s="53"/>
      <c r="J168" s="53"/>
      <c r="K168" s="61"/>
      <c r="L168" s="53"/>
      <c r="M168" s="53" t="str">
        <f>IFERROR(__xludf.DUMMYFUNCTION("""COMPUTED_VALUE"""),"")</f>
        <v/>
      </c>
      <c r="N168" s="53"/>
      <c r="O168" s="53"/>
      <c r="P168" s="53"/>
    </row>
    <row r="169">
      <c r="A169" s="60"/>
      <c r="B169" s="52"/>
      <c r="C169" s="53"/>
      <c r="D169" s="53"/>
      <c r="E169" s="53"/>
      <c r="F169" s="53"/>
      <c r="G169" s="53"/>
      <c r="H169" s="53"/>
      <c r="I169" s="53"/>
      <c r="J169" s="53"/>
      <c r="K169" s="61"/>
      <c r="L169" s="53"/>
      <c r="M169" s="53" t="str">
        <f>IFERROR(__xludf.DUMMYFUNCTION("""COMPUTED_VALUE"""),"")</f>
        <v/>
      </c>
      <c r="N169" s="53"/>
      <c r="O169" s="53"/>
      <c r="P169" s="53"/>
    </row>
    <row r="170">
      <c r="A170" s="60"/>
      <c r="B170" s="52"/>
      <c r="C170" s="53"/>
      <c r="D170" s="53"/>
      <c r="E170" s="53"/>
      <c r="F170" s="53"/>
      <c r="G170" s="53"/>
      <c r="H170" s="53"/>
      <c r="I170" s="53"/>
      <c r="J170" s="53"/>
      <c r="K170" s="61"/>
      <c r="L170" s="53"/>
      <c r="M170" s="53" t="str">
        <f>IFERROR(__xludf.DUMMYFUNCTION("""COMPUTED_VALUE"""),"")</f>
        <v/>
      </c>
      <c r="N170" s="53"/>
      <c r="O170" s="53"/>
      <c r="P170" s="53"/>
    </row>
    <row r="171">
      <c r="A171" s="60"/>
      <c r="B171" s="52"/>
      <c r="C171" s="53"/>
      <c r="D171" s="53"/>
      <c r="E171" s="53"/>
      <c r="F171" s="53"/>
      <c r="G171" s="53"/>
      <c r="H171" s="53"/>
      <c r="I171" s="53"/>
      <c r="J171" s="53"/>
      <c r="K171" s="61"/>
      <c r="L171" s="53"/>
      <c r="M171" s="53" t="str">
        <f>IFERROR(__xludf.DUMMYFUNCTION("""COMPUTED_VALUE"""),"")</f>
        <v/>
      </c>
      <c r="N171" s="53"/>
      <c r="O171" s="53"/>
      <c r="P171" s="53"/>
    </row>
    <row r="172">
      <c r="A172" s="60"/>
      <c r="B172" s="52"/>
      <c r="C172" s="53"/>
      <c r="D172" s="53"/>
      <c r="E172" s="53"/>
      <c r="F172" s="53"/>
      <c r="G172" s="53"/>
      <c r="H172" s="53"/>
      <c r="I172" s="53"/>
      <c r="J172" s="53"/>
      <c r="K172" s="61"/>
      <c r="L172" s="53"/>
      <c r="M172" s="53" t="str">
        <f>IFERROR(__xludf.DUMMYFUNCTION("""COMPUTED_VALUE"""),"")</f>
        <v/>
      </c>
      <c r="N172" s="53"/>
      <c r="O172" s="53"/>
      <c r="P172" s="53"/>
    </row>
    <row r="173">
      <c r="A173" s="60"/>
      <c r="B173" s="52"/>
      <c r="C173" s="53"/>
      <c r="D173" s="53"/>
      <c r="E173" s="53"/>
      <c r="F173" s="53"/>
      <c r="G173" s="53"/>
      <c r="H173" s="53"/>
      <c r="I173" s="53"/>
      <c r="J173" s="53"/>
      <c r="K173" s="61"/>
      <c r="L173" s="53"/>
      <c r="M173" s="53" t="str">
        <f>IFERROR(__xludf.DUMMYFUNCTION("""COMPUTED_VALUE"""),"")</f>
        <v/>
      </c>
      <c r="N173" s="53"/>
      <c r="O173" s="53"/>
      <c r="P173" s="53"/>
    </row>
    <row r="174">
      <c r="A174" s="60"/>
      <c r="B174" s="52"/>
      <c r="C174" s="53"/>
      <c r="D174" s="53"/>
      <c r="E174" s="53"/>
      <c r="F174" s="53"/>
      <c r="G174" s="53"/>
      <c r="H174" s="53"/>
      <c r="I174" s="53"/>
      <c r="J174" s="53"/>
      <c r="K174" s="61"/>
      <c r="L174" s="53"/>
      <c r="M174" s="53" t="str">
        <f>IFERROR(__xludf.DUMMYFUNCTION("""COMPUTED_VALUE"""),"")</f>
        <v/>
      </c>
      <c r="N174" s="53"/>
      <c r="O174" s="53"/>
      <c r="P174" s="53"/>
    </row>
    <row r="175">
      <c r="A175" s="60"/>
      <c r="B175" s="52"/>
      <c r="C175" s="53"/>
      <c r="D175" s="53"/>
      <c r="E175" s="53"/>
      <c r="F175" s="53"/>
      <c r="G175" s="53"/>
      <c r="H175" s="53"/>
      <c r="I175" s="53"/>
      <c r="J175" s="53"/>
      <c r="K175" s="61"/>
      <c r="L175" s="53"/>
      <c r="M175" s="53" t="str">
        <f>IFERROR(__xludf.DUMMYFUNCTION("""COMPUTED_VALUE"""),"")</f>
        <v/>
      </c>
      <c r="N175" s="53"/>
      <c r="O175" s="53"/>
      <c r="P175" s="53"/>
    </row>
    <row r="176">
      <c r="A176" s="60"/>
      <c r="B176" s="52"/>
      <c r="C176" s="53"/>
      <c r="D176" s="53"/>
      <c r="E176" s="53"/>
      <c r="F176" s="53"/>
      <c r="G176" s="53"/>
      <c r="H176" s="53"/>
      <c r="I176" s="53"/>
      <c r="J176" s="53"/>
      <c r="K176" s="61"/>
      <c r="L176" s="53"/>
      <c r="M176" s="53" t="str">
        <f>IFERROR(__xludf.DUMMYFUNCTION("""COMPUTED_VALUE"""),"")</f>
        <v/>
      </c>
      <c r="N176" s="53"/>
      <c r="O176" s="53"/>
      <c r="P176" s="53"/>
    </row>
    <row r="177">
      <c r="A177" s="60"/>
      <c r="B177" s="52"/>
      <c r="C177" s="53"/>
      <c r="D177" s="53"/>
      <c r="E177" s="53"/>
      <c r="F177" s="53"/>
      <c r="G177" s="53"/>
      <c r="H177" s="53"/>
      <c r="I177" s="53"/>
      <c r="J177" s="53"/>
      <c r="K177" s="61"/>
      <c r="L177" s="53"/>
      <c r="M177" s="53" t="str">
        <f>IFERROR(__xludf.DUMMYFUNCTION("""COMPUTED_VALUE"""),"")</f>
        <v/>
      </c>
      <c r="N177" s="53"/>
      <c r="O177" s="53"/>
      <c r="P177" s="53"/>
    </row>
    <row r="178">
      <c r="A178" s="60"/>
      <c r="B178" s="52"/>
      <c r="C178" s="53"/>
      <c r="D178" s="53"/>
      <c r="E178" s="53"/>
      <c r="F178" s="53"/>
      <c r="G178" s="53"/>
      <c r="H178" s="53"/>
      <c r="I178" s="53"/>
      <c r="J178" s="53"/>
      <c r="K178" s="61"/>
      <c r="L178" s="53"/>
      <c r="M178" s="53" t="str">
        <f>IFERROR(__xludf.DUMMYFUNCTION("""COMPUTED_VALUE"""),"")</f>
        <v/>
      </c>
      <c r="N178" s="53"/>
      <c r="O178" s="53"/>
      <c r="P178" s="53"/>
    </row>
    <row r="179">
      <c r="A179" s="60"/>
      <c r="B179" s="52"/>
      <c r="C179" s="53"/>
      <c r="D179" s="53"/>
      <c r="E179" s="53"/>
      <c r="F179" s="53"/>
      <c r="G179" s="53"/>
      <c r="H179" s="53"/>
      <c r="I179" s="53"/>
      <c r="J179" s="53"/>
      <c r="K179" s="61"/>
      <c r="L179" s="53"/>
      <c r="M179" s="53" t="str">
        <f>IFERROR(__xludf.DUMMYFUNCTION("""COMPUTED_VALUE"""),"")</f>
        <v/>
      </c>
      <c r="N179" s="53"/>
      <c r="O179" s="53"/>
      <c r="P179" s="53"/>
    </row>
    <row r="180">
      <c r="A180" s="60"/>
      <c r="B180" s="52"/>
      <c r="C180" s="53"/>
      <c r="D180" s="53"/>
      <c r="E180" s="53"/>
      <c r="F180" s="53"/>
      <c r="G180" s="53"/>
      <c r="H180" s="53"/>
      <c r="I180" s="53"/>
      <c r="J180" s="53"/>
      <c r="K180" s="61"/>
      <c r="L180" s="53"/>
      <c r="M180" s="53" t="str">
        <f>IFERROR(__xludf.DUMMYFUNCTION("""COMPUTED_VALUE"""),"")</f>
        <v/>
      </c>
      <c r="N180" s="53"/>
      <c r="O180" s="53"/>
      <c r="P180" s="53"/>
    </row>
    <row r="181">
      <c r="A181" s="60"/>
      <c r="B181" s="52"/>
      <c r="C181" s="53"/>
      <c r="D181" s="53"/>
      <c r="E181" s="53"/>
      <c r="F181" s="53"/>
      <c r="G181" s="53"/>
      <c r="H181" s="53"/>
      <c r="I181" s="53"/>
      <c r="J181" s="53"/>
      <c r="K181" s="61"/>
      <c r="L181" s="53"/>
      <c r="M181" s="53" t="str">
        <f>IFERROR(__xludf.DUMMYFUNCTION("""COMPUTED_VALUE"""),"")</f>
        <v/>
      </c>
      <c r="N181" s="53"/>
      <c r="O181" s="53"/>
      <c r="P181" s="53"/>
    </row>
    <row r="182">
      <c r="A182" s="60"/>
      <c r="B182" s="52"/>
      <c r="C182" s="53"/>
      <c r="D182" s="53"/>
      <c r="E182" s="53"/>
      <c r="F182" s="53"/>
      <c r="G182" s="53"/>
      <c r="H182" s="53"/>
      <c r="I182" s="53"/>
      <c r="J182" s="53"/>
      <c r="K182" s="61"/>
      <c r="L182" s="53"/>
      <c r="M182" s="53" t="str">
        <f>IFERROR(__xludf.DUMMYFUNCTION("""COMPUTED_VALUE"""),"")</f>
        <v/>
      </c>
      <c r="N182" s="53"/>
      <c r="O182" s="53"/>
      <c r="P182" s="53"/>
    </row>
    <row r="183">
      <c r="A183" s="60"/>
      <c r="B183" s="52"/>
      <c r="C183" s="53"/>
      <c r="D183" s="53"/>
      <c r="E183" s="53"/>
      <c r="F183" s="53"/>
      <c r="G183" s="53"/>
      <c r="H183" s="53"/>
      <c r="I183" s="53"/>
      <c r="J183" s="53"/>
      <c r="K183" s="61"/>
      <c r="L183" s="53"/>
      <c r="M183" s="53" t="str">
        <f>IFERROR(__xludf.DUMMYFUNCTION("""COMPUTED_VALUE"""),"")</f>
        <v/>
      </c>
      <c r="N183" s="53"/>
      <c r="O183" s="53"/>
      <c r="P183" s="53"/>
    </row>
    <row r="184">
      <c r="A184" s="60"/>
      <c r="B184" s="52"/>
      <c r="C184" s="53"/>
      <c r="D184" s="53"/>
      <c r="E184" s="53"/>
      <c r="F184" s="53"/>
      <c r="G184" s="53"/>
      <c r="H184" s="53"/>
      <c r="I184" s="53"/>
      <c r="J184" s="53"/>
      <c r="K184" s="61"/>
      <c r="L184" s="53"/>
      <c r="M184" s="53" t="str">
        <f>IFERROR(__xludf.DUMMYFUNCTION("""COMPUTED_VALUE"""),"")</f>
        <v/>
      </c>
      <c r="N184" s="53"/>
      <c r="O184" s="53"/>
      <c r="P184" s="53"/>
    </row>
    <row r="185">
      <c r="A185" s="60"/>
      <c r="B185" s="52"/>
      <c r="C185" s="53"/>
      <c r="D185" s="53"/>
      <c r="E185" s="53"/>
      <c r="F185" s="53"/>
      <c r="G185" s="53"/>
      <c r="H185" s="53"/>
      <c r="I185" s="53"/>
      <c r="J185" s="53"/>
      <c r="K185" s="61"/>
      <c r="L185" s="53"/>
      <c r="M185" s="53" t="str">
        <f>IFERROR(__xludf.DUMMYFUNCTION("""COMPUTED_VALUE"""),"")</f>
        <v/>
      </c>
      <c r="N185" s="53"/>
      <c r="O185" s="53"/>
      <c r="P185" s="53"/>
    </row>
    <row r="186">
      <c r="A186" s="60"/>
      <c r="B186" s="52"/>
      <c r="C186" s="53"/>
      <c r="D186" s="53"/>
      <c r="E186" s="53"/>
      <c r="F186" s="53"/>
      <c r="G186" s="53"/>
      <c r="H186" s="53"/>
      <c r="I186" s="53"/>
      <c r="J186" s="53"/>
      <c r="K186" s="61"/>
      <c r="L186" s="53"/>
      <c r="M186" s="53" t="str">
        <f>IFERROR(__xludf.DUMMYFUNCTION("""COMPUTED_VALUE"""),"")</f>
        <v/>
      </c>
      <c r="N186" s="53"/>
      <c r="O186" s="53"/>
      <c r="P186" s="53"/>
    </row>
    <row r="187">
      <c r="A187" s="60"/>
      <c r="B187" s="52"/>
      <c r="C187" s="53"/>
      <c r="D187" s="53"/>
      <c r="E187" s="53"/>
      <c r="F187" s="53"/>
      <c r="G187" s="53"/>
      <c r="H187" s="53"/>
      <c r="I187" s="53"/>
      <c r="J187" s="53"/>
      <c r="K187" s="61"/>
      <c r="L187" s="53"/>
      <c r="M187" s="53" t="str">
        <f>IFERROR(__xludf.DUMMYFUNCTION("""COMPUTED_VALUE"""),"")</f>
        <v/>
      </c>
      <c r="N187" s="53"/>
      <c r="O187" s="53"/>
      <c r="P187" s="53"/>
    </row>
    <row r="188">
      <c r="A188" s="60"/>
      <c r="B188" s="52"/>
      <c r="C188" s="53"/>
      <c r="D188" s="53"/>
      <c r="E188" s="53"/>
      <c r="F188" s="53"/>
      <c r="G188" s="53"/>
      <c r="H188" s="53"/>
      <c r="I188" s="53"/>
      <c r="J188" s="53"/>
      <c r="K188" s="61"/>
      <c r="L188" s="53"/>
      <c r="M188" s="53" t="str">
        <f>IFERROR(__xludf.DUMMYFUNCTION("""COMPUTED_VALUE"""),"")</f>
        <v/>
      </c>
      <c r="N188" s="53"/>
      <c r="O188" s="53"/>
      <c r="P188" s="53"/>
    </row>
    <row r="189">
      <c r="A189" s="60"/>
      <c r="B189" s="52"/>
      <c r="C189" s="53"/>
      <c r="D189" s="53"/>
      <c r="E189" s="53"/>
      <c r="F189" s="53"/>
      <c r="G189" s="53"/>
      <c r="H189" s="53"/>
      <c r="I189" s="53"/>
      <c r="J189" s="53"/>
      <c r="K189" s="61"/>
      <c r="L189" s="53"/>
      <c r="M189" s="53" t="str">
        <f>IFERROR(__xludf.DUMMYFUNCTION("""COMPUTED_VALUE"""),"")</f>
        <v/>
      </c>
      <c r="N189" s="53"/>
      <c r="O189" s="53"/>
      <c r="P189" s="53"/>
    </row>
    <row r="190">
      <c r="A190" s="60"/>
      <c r="B190" s="52"/>
      <c r="C190" s="53"/>
      <c r="D190" s="53"/>
      <c r="E190" s="53"/>
      <c r="F190" s="53"/>
      <c r="G190" s="53"/>
      <c r="H190" s="53"/>
      <c r="I190" s="53"/>
      <c r="J190" s="53"/>
      <c r="K190" s="61"/>
      <c r="L190" s="53"/>
      <c r="M190" s="53" t="str">
        <f>IFERROR(__xludf.DUMMYFUNCTION("""COMPUTED_VALUE"""),"")</f>
        <v/>
      </c>
      <c r="N190" s="53"/>
      <c r="O190" s="53"/>
      <c r="P190" s="53"/>
    </row>
    <row r="191">
      <c r="A191" s="60"/>
      <c r="B191" s="52"/>
      <c r="C191" s="53"/>
      <c r="D191" s="53"/>
      <c r="E191" s="53"/>
      <c r="F191" s="53"/>
      <c r="G191" s="53"/>
      <c r="H191" s="53"/>
      <c r="I191" s="53"/>
      <c r="J191" s="53"/>
      <c r="K191" s="61"/>
      <c r="L191" s="53"/>
      <c r="M191" s="53" t="str">
        <f>IFERROR(__xludf.DUMMYFUNCTION("""COMPUTED_VALUE"""),"")</f>
        <v/>
      </c>
      <c r="N191" s="53"/>
      <c r="O191" s="53"/>
      <c r="P191" s="53"/>
    </row>
    <row r="192">
      <c r="A192" s="60"/>
      <c r="B192" s="52"/>
      <c r="C192" s="53"/>
      <c r="D192" s="53"/>
      <c r="E192" s="53"/>
      <c r="F192" s="53"/>
      <c r="G192" s="53"/>
      <c r="H192" s="53"/>
      <c r="I192" s="53"/>
      <c r="J192" s="53"/>
      <c r="K192" s="61"/>
      <c r="L192" s="53"/>
      <c r="M192" s="53" t="str">
        <f>IFERROR(__xludf.DUMMYFUNCTION("""COMPUTED_VALUE"""),"")</f>
        <v/>
      </c>
      <c r="N192" s="53"/>
      <c r="O192" s="53"/>
      <c r="P192" s="53"/>
    </row>
    <row r="193">
      <c r="A193" s="60"/>
      <c r="B193" s="52"/>
      <c r="C193" s="53"/>
      <c r="D193" s="53"/>
      <c r="E193" s="53"/>
      <c r="F193" s="53"/>
      <c r="G193" s="53"/>
      <c r="H193" s="53"/>
      <c r="I193" s="53"/>
      <c r="J193" s="53"/>
      <c r="K193" s="61"/>
      <c r="L193" s="53"/>
      <c r="M193" s="53" t="str">
        <f>IFERROR(__xludf.DUMMYFUNCTION("""COMPUTED_VALUE"""),"")</f>
        <v/>
      </c>
      <c r="N193" s="53"/>
      <c r="O193" s="53"/>
      <c r="P193" s="53"/>
    </row>
    <row r="194">
      <c r="A194" s="60"/>
      <c r="B194" s="52"/>
      <c r="C194" s="53"/>
      <c r="D194" s="53"/>
      <c r="E194" s="53"/>
      <c r="F194" s="53"/>
      <c r="G194" s="53"/>
      <c r="H194" s="53"/>
      <c r="I194" s="53"/>
      <c r="J194" s="53"/>
      <c r="K194" s="61"/>
      <c r="L194" s="53"/>
      <c r="M194" s="53" t="str">
        <f>IFERROR(__xludf.DUMMYFUNCTION("""COMPUTED_VALUE"""),"")</f>
        <v/>
      </c>
      <c r="N194" s="53"/>
      <c r="O194" s="53"/>
      <c r="P194" s="53"/>
    </row>
    <row r="195">
      <c r="A195" s="60"/>
      <c r="B195" s="52"/>
      <c r="C195" s="53"/>
      <c r="D195" s="53"/>
      <c r="E195" s="53"/>
      <c r="F195" s="53"/>
      <c r="G195" s="53"/>
      <c r="H195" s="53"/>
      <c r="I195" s="53"/>
      <c r="J195" s="53"/>
      <c r="K195" s="61"/>
      <c r="L195" s="53"/>
      <c r="M195" s="53" t="str">
        <f>IFERROR(__xludf.DUMMYFUNCTION("""COMPUTED_VALUE"""),"")</f>
        <v/>
      </c>
      <c r="N195" s="53"/>
      <c r="O195" s="53"/>
      <c r="P195" s="53"/>
    </row>
    <row r="196">
      <c r="A196" s="60"/>
      <c r="B196" s="52"/>
      <c r="C196" s="53"/>
      <c r="D196" s="53"/>
      <c r="E196" s="53"/>
      <c r="F196" s="53"/>
      <c r="G196" s="53"/>
      <c r="H196" s="53"/>
      <c r="I196" s="53"/>
      <c r="J196" s="53"/>
      <c r="K196" s="61"/>
      <c r="L196" s="53"/>
      <c r="M196" s="53" t="str">
        <f>IFERROR(__xludf.DUMMYFUNCTION("""COMPUTED_VALUE"""),"")</f>
        <v/>
      </c>
      <c r="N196" s="53"/>
      <c r="O196" s="53"/>
      <c r="P196" s="53"/>
    </row>
    <row r="197">
      <c r="A197" s="60"/>
      <c r="B197" s="52"/>
      <c r="C197" s="53"/>
      <c r="D197" s="53"/>
      <c r="E197" s="53"/>
      <c r="F197" s="53"/>
      <c r="G197" s="53"/>
      <c r="H197" s="53"/>
      <c r="I197" s="53"/>
      <c r="J197" s="53"/>
      <c r="K197" s="61"/>
      <c r="L197" s="53"/>
      <c r="M197" s="53" t="str">
        <f>IFERROR(__xludf.DUMMYFUNCTION("""COMPUTED_VALUE"""),"")</f>
        <v/>
      </c>
      <c r="N197" s="53"/>
      <c r="O197" s="53"/>
      <c r="P197" s="53"/>
    </row>
    <row r="198">
      <c r="A198" s="60"/>
      <c r="B198" s="52"/>
      <c r="C198" s="53"/>
      <c r="D198" s="53"/>
      <c r="E198" s="53"/>
      <c r="F198" s="53"/>
      <c r="G198" s="53"/>
      <c r="H198" s="53"/>
      <c r="I198" s="53"/>
      <c r="J198" s="53"/>
      <c r="K198" s="61"/>
      <c r="L198" s="53"/>
      <c r="M198" s="53" t="str">
        <f>IFERROR(__xludf.DUMMYFUNCTION("""COMPUTED_VALUE"""),"")</f>
        <v/>
      </c>
      <c r="N198" s="53"/>
      <c r="O198" s="53"/>
      <c r="P198" s="53"/>
    </row>
    <row r="199">
      <c r="A199" s="60"/>
      <c r="B199" s="52"/>
      <c r="C199" s="53"/>
      <c r="D199" s="53"/>
      <c r="E199" s="53"/>
      <c r="F199" s="53"/>
      <c r="G199" s="53"/>
      <c r="H199" s="53"/>
      <c r="I199" s="53"/>
      <c r="J199" s="53"/>
      <c r="K199" s="61"/>
      <c r="L199" s="53"/>
      <c r="M199" s="53" t="str">
        <f>IFERROR(__xludf.DUMMYFUNCTION("""COMPUTED_VALUE"""),"")</f>
        <v/>
      </c>
      <c r="N199" s="53"/>
      <c r="O199" s="53"/>
      <c r="P199" s="53"/>
    </row>
    <row r="200">
      <c r="A200" s="60"/>
      <c r="B200" s="52"/>
      <c r="C200" s="53"/>
      <c r="D200" s="53"/>
      <c r="E200" s="53"/>
      <c r="F200" s="53"/>
      <c r="G200" s="53"/>
      <c r="H200" s="53"/>
      <c r="I200" s="53"/>
      <c r="J200" s="53"/>
      <c r="K200" s="61"/>
      <c r="L200" s="53"/>
      <c r="M200" s="53" t="str">
        <f>IFERROR(__xludf.DUMMYFUNCTION("""COMPUTED_VALUE"""),"")</f>
        <v/>
      </c>
      <c r="N200" s="53"/>
      <c r="O200" s="53"/>
      <c r="P200" s="53"/>
    </row>
    <row r="201">
      <c r="A201" s="60"/>
      <c r="B201" s="52"/>
      <c r="C201" s="53"/>
      <c r="D201" s="53"/>
      <c r="E201" s="53"/>
      <c r="F201" s="53"/>
      <c r="G201" s="53"/>
      <c r="H201" s="53"/>
      <c r="I201" s="53"/>
      <c r="J201" s="53"/>
      <c r="K201" s="61"/>
      <c r="L201" s="53"/>
      <c r="M201" s="53" t="str">
        <f>IFERROR(__xludf.DUMMYFUNCTION("""COMPUTED_VALUE"""),"")</f>
        <v/>
      </c>
      <c r="N201" s="53"/>
      <c r="O201" s="53"/>
      <c r="P201" s="53"/>
    </row>
    <row r="202">
      <c r="A202" s="60"/>
      <c r="B202" s="52"/>
      <c r="C202" s="53"/>
      <c r="D202" s="53"/>
      <c r="E202" s="53"/>
      <c r="F202" s="53"/>
      <c r="G202" s="53"/>
      <c r="H202" s="53"/>
      <c r="I202" s="53"/>
      <c r="J202" s="53"/>
      <c r="K202" s="61"/>
      <c r="L202" s="53"/>
      <c r="M202" s="53" t="str">
        <f>IFERROR(__xludf.DUMMYFUNCTION("""COMPUTED_VALUE"""),"")</f>
        <v/>
      </c>
      <c r="N202" s="53"/>
      <c r="O202" s="53"/>
      <c r="P202" s="53"/>
    </row>
    <row r="203">
      <c r="A203" s="60"/>
      <c r="B203" s="52"/>
      <c r="C203" s="53"/>
      <c r="D203" s="53"/>
      <c r="E203" s="53"/>
      <c r="F203" s="53"/>
      <c r="G203" s="53"/>
      <c r="H203" s="53"/>
      <c r="I203" s="53"/>
      <c r="J203" s="53"/>
      <c r="K203" s="61"/>
      <c r="L203" s="53"/>
      <c r="M203" s="53" t="str">
        <f>IFERROR(__xludf.DUMMYFUNCTION("""COMPUTED_VALUE"""),"")</f>
        <v/>
      </c>
      <c r="N203" s="53"/>
      <c r="O203" s="53"/>
      <c r="P203" s="53"/>
    </row>
    <row r="204">
      <c r="A204" s="60"/>
      <c r="B204" s="52"/>
      <c r="C204" s="53"/>
      <c r="D204" s="53"/>
      <c r="E204" s="53"/>
      <c r="F204" s="53"/>
      <c r="G204" s="53"/>
      <c r="H204" s="53"/>
      <c r="I204" s="53"/>
      <c r="J204" s="53"/>
      <c r="K204" s="61"/>
      <c r="L204" s="53"/>
      <c r="M204" s="53" t="str">
        <f>IFERROR(__xludf.DUMMYFUNCTION("""COMPUTED_VALUE"""),"")</f>
        <v/>
      </c>
      <c r="N204" s="53"/>
      <c r="O204" s="53"/>
      <c r="P204" s="53"/>
    </row>
    <row r="205">
      <c r="A205" s="60"/>
      <c r="B205" s="52"/>
      <c r="C205" s="53"/>
      <c r="D205" s="53"/>
      <c r="E205" s="53"/>
      <c r="F205" s="53"/>
      <c r="G205" s="53"/>
      <c r="H205" s="53"/>
      <c r="I205" s="53"/>
      <c r="J205" s="53"/>
      <c r="K205" s="61"/>
      <c r="L205" s="53"/>
      <c r="M205" s="53" t="str">
        <f>IFERROR(__xludf.DUMMYFUNCTION("""COMPUTED_VALUE"""),"")</f>
        <v/>
      </c>
      <c r="N205" s="53"/>
      <c r="O205" s="53"/>
      <c r="P205" s="53"/>
    </row>
    <row r="206">
      <c r="A206" s="60"/>
      <c r="B206" s="52"/>
      <c r="C206" s="53"/>
      <c r="D206" s="53"/>
      <c r="E206" s="53"/>
      <c r="F206" s="53"/>
      <c r="G206" s="53"/>
      <c r="H206" s="53"/>
      <c r="I206" s="53"/>
      <c r="J206" s="53"/>
      <c r="K206" s="61"/>
      <c r="L206" s="53"/>
      <c r="M206" s="53" t="str">
        <f>IFERROR(__xludf.DUMMYFUNCTION("""COMPUTED_VALUE"""),"")</f>
        <v/>
      </c>
      <c r="N206" s="53"/>
      <c r="O206" s="53"/>
      <c r="P206" s="53"/>
    </row>
    <row r="207">
      <c r="A207" s="60"/>
      <c r="B207" s="52"/>
      <c r="C207" s="53"/>
      <c r="D207" s="53"/>
      <c r="E207" s="53"/>
      <c r="F207" s="53"/>
      <c r="G207" s="53"/>
      <c r="H207" s="53"/>
      <c r="I207" s="53"/>
      <c r="J207" s="53"/>
      <c r="K207" s="61"/>
      <c r="L207" s="53"/>
      <c r="M207" s="53" t="str">
        <f>IFERROR(__xludf.DUMMYFUNCTION("""COMPUTED_VALUE"""),"")</f>
        <v/>
      </c>
      <c r="N207" s="53"/>
      <c r="O207" s="53"/>
      <c r="P207" s="53"/>
    </row>
    <row r="208">
      <c r="A208" s="60"/>
      <c r="B208" s="52"/>
      <c r="C208" s="53"/>
      <c r="D208" s="53"/>
      <c r="E208" s="53"/>
      <c r="F208" s="53"/>
      <c r="G208" s="53"/>
      <c r="H208" s="53"/>
      <c r="I208" s="53"/>
      <c r="J208" s="53"/>
      <c r="K208" s="61"/>
      <c r="L208" s="53"/>
      <c r="M208" s="53" t="str">
        <f>IFERROR(__xludf.DUMMYFUNCTION("""COMPUTED_VALUE"""),"")</f>
        <v/>
      </c>
      <c r="N208" s="53"/>
      <c r="O208" s="53"/>
      <c r="P208" s="53"/>
    </row>
    <row r="209">
      <c r="A209" s="60"/>
      <c r="B209" s="52"/>
      <c r="C209" s="53"/>
      <c r="D209" s="53"/>
      <c r="E209" s="53"/>
      <c r="F209" s="53"/>
      <c r="G209" s="53"/>
      <c r="H209" s="53"/>
      <c r="I209" s="53"/>
      <c r="J209" s="53"/>
      <c r="K209" s="61"/>
      <c r="L209" s="53"/>
      <c r="M209" s="53" t="str">
        <f>IFERROR(__xludf.DUMMYFUNCTION("""COMPUTED_VALUE"""),"")</f>
        <v/>
      </c>
      <c r="N209" s="53"/>
      <c r="O209" s="53"/>
      <c r="P209" s="53"/>
    </row>
    <row r="210">
      <c r="A210" s="60"/>
      <c r="B210" s="52"/>
      <c r="C210" s="53"/>
      <c r="D210" s="53"/>
      <c r="E210" s="53"/>
      <c r="F210" s="53"/>
      <c r="G210" s="53"/>
      <c r="H210" s="53"/>
      <c r="I210" s="53"/>
      <c r="J210" s="53"/>
      <c r="K210" s="61"/>
      <c r="L210" s="53"/>
      <c r="M210" s="53" t="str">
        <f>IFERROR(__xludf.DUMMYFUNCTION("""COMPUTED_VALUE"""),"")</f>
        <v/>
      </c>
      <c r="N210" s="53"/>
      <c r="O210" s="53"/>
      <c r="P210" s="53"/>
    </row>
    <row r="211">
      <c r="A211" s="60"/>
      <c r="B211" s="52"/>
      <c r="C211" s="53"/>
      <c r="D211" s="53"/>
      <c r="E211" s="53"/>
      <c r="F211" s="53"/>
      <c r="G211" s="53"/>
      <c r="H211" s="53"/>
      <c r="I211" s="53"/>
      <c r="J211" s="53"/>
      <c r="K211" s="61"/>
      <c r="L211" s="53"/>
      <c r="M211" s="53" t="str">
        <f>IFERROR(__xludf.DUMMYFUNCTION("""COMPUTED_VALUE"""),"")</f>
        <v/>
      </c>
      <c r="N211" s="53"/>
      <c r="O211" s="53"/>
      <c r="P211" s="53"/>
    </row>
    <row r="212">
      <c r="A212" s="60"/>
      <c r="B212" s="52"/>
      <c r="C212" s="53"/>
      <c r="D212" s="53"/>
      <c r="E212" s="53"/>
      <c r="F212" s="53"/>
      <c r="G212" s="53"/>
      <c r="H212" s="53"/>
      <c r="I212" s="53"/>
      <c r="J212" s="53"/>
      <c r="K212" s="61"/>
      <c r="L212" s="53"/>
      <c r="M212" s="53" t="str">
        <f>IFERROR(__xludf.DUMMYFUNCTION("""COMPUTED_VALUE"""),"")</f>
        <v/>
      </c>
      <c r="N212" s="53"/>
      <c r="O212" s="53"/>
      <c r="P212" s="53"/>
    </row>
    <row r="213">
      <c r="A213" s="60"/>
      <c r="B213" s="52"/>
      <c r="C213" s="53"/>
      <c r="D213" s="53"/>
      <c r="E213" s="53"/>
      <c r="F213" s="53"/>
      <c r="G213" s="53"/>
      <c r="H213" s="53"/>
      <c r="I213" s="53"/>
      <c r="J213" s="53"/>
      <c r="K213" s="61"/>
      <c r="L213" s="53"/>
      <c r="M213" s="53" t="str">
        <f>IFERROR(__xludf.DUMMYFUNCTION("""COMPUTED_VALUE"""),"")</f>
        <v/>
      </c>
      <c r="N213" s="53"/>
      <c r="O213" s="53"/>
      <c r="P213" s="53"/>
    </row>
    <row r="214">
      <c r="A214" s="60"/>
      <c r="B214" s="52"/>
      <c r="C214" s="53"/>
      <c r="D214" s="53"/>
      <c r="E214" s="53"/>
      <c r="F214" s="53"/>
      <c r="G214" s="53"/>
      <c r="H214" s="53"/>
      <c r="I214" s="53"/>
      <c r="J214" s="53"/>
      <c r="K214" s="61"/>
      <c r="L214" s="53"/>
      <c r="M214" s="53" t="str">
        <f>IFERROR(__xludf.DUMMYFUNCTION("""COMPUTED_VALUE"""),"")</f>
        <v/>
      </c>
      <c r="N214" s="53"/>
      <c r="O214" s="53"/>
      <c r="P214" s="53"/>
    </row>
    <row r="215">
      <c r="A215" s="60"/>
      <c r="B215" s="52"/>
      <c r="C215" s="53"/>
      <c r="D215" s="53"/>
      <c r="E215" s="53"/>
      <c r="F215" s="53"/>
      <c r="G215" s="53"/>
      <c r="H215" s="53"/>
      <c r="I215" s="53"/>
      <c r="J215" s="53"/>
      <c r="K215" s="61"/>
      <c r="L215" s="53"/>
      <c r="M215" s="53" t="str">
        <f>IFERROR(__xludf.DUMMYFUNCTION("""COMPUTED_VALUE"""),"")</f>
        <v/>
      </c>
      <c r="N215" s="53"/>
      <c r="O215" s="53"/>
      <c r="P215" s="53"/>
    </row>
    <row r="216">
      <c r="A216" s="60"/>
      <c r="B216" s="52"/>
      <c r="C216" s="53"/>
      <c r="D216" s="53"/>
      <c r="E216" s="53"/>
      <c r="F216" s="53"/>
      <c r="G216" s="53"/>
      <c r="H216" s="53"/>
      <c r="I216" s="53"/>
      <c r="J216" s="53"/>
      <c r="K216" s="61"/>
      <c r="L216" s="53"/>
      <c r="M216" s="53" t="str">
        <f>IFERROR(__xludf.DUMMYFUNCTION("""COMPUTED_VALUE"""),"")</f>
        <v/>
      </c>
      <c r="N216" s="53"/>
      <c r="O216" s="53"/>
      <c r="P216" s="53"/>
    </row>
    <row r="217">
      <c r="A217" s="60"/>
      <c r="B217" s="52"/>
      <c r="C217" s="53"/>
      <c r="D217" s="53"/>
      <c r="E217" s="53"/>
      <c r="F217" s="53"/>
      <c r="G217" s="53"/>
      <c r="H217" s="53"/>
      <c r="I217" s="53"/>
      <c r="J217" s="53"/>
      <c r="K217" s="61"/>
      <c r="L217" s="53"/>
      <c r="M217" s="53" t="str">
        <f>IFERROR(__xludf.DUMMYFUNCTION("""COMPUTED_VALUE"""),"")</f>
        <v/>
      </c>
      <c r="N217" s="53"/>
      <c r="O217" s="53"/>
      <c r="P217" s="53"/>
    </row>
    <row r="218">
      <c r="A218" s="60"/>
      <c r="B218" s="52"/>
      <c r="C218" s="53"/>
      <c r="D218" s="53"/>
      <c r="E218" s="53"/>
      <c r="F218" s="53"/>
      <c r="G218" s="53"/>
      <c r="H218" s="53"/>
      <c r="I218" s="53"/>
      <c r="J218" s="53"/>
      <c r="K218" s="61"/>
      <c r="L218" s="53"/>
      <c r="M218" s="53" t="str">
        <f>IFERROR(__xludf.DUMMYFUNCTION("""COMPUTED_VALUE"""),"")</f>
        <v/>
      </c>
      <c r="N218" s="53"/>
      <c r="O218" s="53"/>
      <c r="P218" s="53"/>
    </row>
    <row r="219">
      <c r="A219" s="60"/>
      <c r="B219" s="52"/>
      <c r="C219" s="53"/>
      <c r="D219" s="53"/>
      <c r="E219" s="53"/>
      <c r="F219" s="53"/>
      <c r="G219" s="53"/>
      <c r="H219" s="53"/>
      <c r="I219" s="53"/>
      <c r="J219" s="53"/>
      <c r="K219" s="61"/>
      <c r="L219" s="53"/>
      <c r="M219" s="53" t="str">
        <f>IFERROR(__xludf.DUMMYFUNCTION("""COMPUTED_VALUE"""),"")</f>
        <v/>
      </c>
      <c r="N219" s="53"/>
      <c r="O219" s="53"/>
      <c r="P219" s="53"/>
    </row>
    <row r="220">
      <c r="A220" s="60"/>
      <c r="B220" s="52"/>
      <c r="C220" s="53"/>
      <c r="D220" s="53"/>
      <c r="E220" s="53"/>
      <c r="F220" s="53"/>
      <c r="G220" s="53"/>
      <c r="H220" s="53"/>
      <c r="I220" s="53"/>
      <c r="J220" s="53"/>
      <c r="K220" s="61"/>
      <c r="L220" s="53"/>
      <c r="M220" s="53" t="str">
        <f>IFERROR(__xludf.DUMMYFUNCTION("""COMPUTED_VALUE"""),"")</f>
        <v/>
      </c>
      <c r="N220" s="53"/>
      <c r="O220" s="53"/>
      <c r="P220" s="53"/>
    </row>
    <row r="221">
      <c r="A221" s="60"/>
      <c r="B221" s="52"/>
      <c r="C221" s="53"/>
      <c r="D221" s="53"/>
      <c r="E221" s="53"/>
      <c r="F221" s="53"/>
      <c r="G221" s="53"/>
      <c r="H221" s="53"/>
      <c r="I221" s="53"/>
      <c r="J221" s="53"/>
      <c r="K221" s="61"/>
      <c r="L221" s="53"/>
      <c r="M221" s="53" t="str">
        <f>IFERROR(__xludf.DUMMYFUNCTION("""COMPUTED_VALUE"""),"")</f>
        <v/>
      </c>
      <c r="N221" s="53"/>
      <c r="O221" s="53"/>
      <c r="P221" s="53"/>
    </row>
    <row r="222">
      <c r="A222" s="60"/>
      <c r="B222" s="52"/>
      <c r="C222" s="53"/>
      <c r="D222" s="53"/>
      <c r="E222" s="53"/>
      <c r="F222" s="53"/>
      <c r="G222" s="53"/>
      <c r="H222" s="53"/>
      <c r="I222" s="53"/>
      <c r="J222" s="53"/>
      <c r="K222" s="61"/>
      <c r="L222" s="53"/>
      <c r="M222" s="53" t="str">
        <f>IFERROR(__xludf.DUMMYFUNCTION("""COMPUTED_VALUE"""),"")</f>
        <v/>
      </c>
      <c r="N222" s="53"/>
      <c r="O222" s="53"/>
      <c r="P222" s="53"/>
    </row>
    <row r="223">
      <c r="A223" s="60"/>
      <c r="B223" s="52"/>
      <c r="C223" s="53"/>
      <c r="D223" s="53"/>
      <c r="E223" s="53"/>
      <c r="F223" s="53"/>
      <c r="G223" s="53"/>
      <c r="H223" s="53"/>
      <c r="I223" s="53"/>
      <c r="J223" s="53"/>
      <c r="K223" s="61"/>
      <c r="L223" s="53"/>
      <c r="M223" s="53" t="str">
        <f>IFERROR(__xludf.DUMMYFUNCTION("""COMPUTED_VALUE"""),"")</f>
        <v/>
      </c>
      <c r="N223" s="53"/>
      <c r="O223" s="53"/>
      <c r="P223" s="53"/>
    </row>
    <row r="224">
      <c r="A224" s="60"/>
      <c r="B224" s="52"/>
      <c r="C224" s="53"/>
      <c r="D224" s="53"/>
      <c r="E224" s="53"/>
      <c r="F224" s="53"/>
      <c r="G224" s="53"/>
      <c r="H224" s="53"/>
      <c r="I224" s="53"/>
      <c r="J224" s="53"/>
      <c r="K224" s="61"/>
      <c r="L224" s="53"/>
      <c r="M224" s="53" t="str">
        <f>IFERROR(__xludf.DUMMYFUNCTION("""COMPUTED_VALUE"""),"")</f>
        <v/>
      </c>
      <c r="N224" s="53"/>
      <c r="O224" s="53"/>
      <c r="P224" s="53"/>
    </row>
    <row r="225">
      <c r="A225" s="60"/>
      <c r="B225" s="52"/>
      <c r="C225" s="53"/>
      <c r="D225" s="53"/>
      <c r="E225" s="53"/>
      <c r="F225" s="53"/>
      <c r="G225" s="53"/>
      <c r="H225" s="53"/>
      <c r="I225" s="53"/>
      <c r="J225" s="53"/>
      <c r="K225" s="61"/>
      <c r="L225" s="53"/>
      <c r="M225" s="53" t="str">
        <f>IFERROR(__xludf.DUMMYFUNCTION("""COMPUTED_VALUE"""),"")</f>
        <v/>
      </c>
      <c r="N225" s="53"/>
      <c r="O225" s="53"/>
      <c r="P225" s="53"/>
    </row>
    <row r="226">
      <c r="A226" s="60"/>
      <c r="B226" s="52"/>
      <c r="C226" s="53"/>
      <c r="D226" s="53"/>
      <c r="E226" s="53"/>
      <c r="F226" s="53"/>
      <c r="G226" s="53"/>
      <c r="H226" s="53"/>
      <c r="I226" s="53"/>
      <c r="J226" s="53"/>
      <c r="K226" s="61"/>
      <c r="L226" s="53"/>
      <c r="M226" s="53" t="str">
        <f>IFERROR(__xludf.DUMMYFUNCTION("""COMPUTED_VALUE"""),"")</f>
        <v/>
      </c>
      <c r="N226" s="53"/>
      <c r="O226" s="53"/>
      <c r="P226" s="53"/>
    </row>
    <row r="227">
      <c r="A227" s="60"/>
      <c r="B227" s="52"/>
      <c r="C227" s="53"/>
      <c r="D227" s="53"/>
      <c r="E227" s="53"/>
      <c r="F227" s="53"/>
      <c r="G227" s="53"/>
      <c r="H227" s="53"/>
      <c r="I227" s="53"/>
      <c r="J227" s="53"/>
      <c r="K227" s="61"/>
      <c r="L227" s="53"/>
      <c r="M227" s="53" t="str">
        <f>IFERROR(__xludf.DUMMYFUNCTION("""COMPUTED_VALUE"""),"")</f>
        <v/>
      </c>
      <c r="N227" s="53"/>
      <c r="O227" s="53"/>
      <c r="P227" s="53"/>
    </row>
    <row r="228">
      <c r="A228" s="60"/>
      <c r="B228" s="52"/>
      <c r="C228" s="53"/>
      <c r="D228" s="53"/>
      <c r="E228" s="53"/>
      <c r="F228" s="53"/>
      <c r="G228" s="53"/>
      <c r="H228" s="53"/>
      <c r="I228" s="53"/>
      <c r="J228" s="53"/>
      <c r="K228" s="61"/>
      <c r="L228" s="53"/>
      <c r="M228" s="53" t="str">
        <f>IFERROR(__xludf.DUMMYFUNCTION("""COMPUTED_VALUE"""),"")</f>
        <v/>
      </c>
      <c r="N228" s="53"/>
      <c r="O228" s="53"/>
      <c r="P228" s="53"/>
    </row>
    <row r="229">
      <c r="A229" s="60"/>
      <c r="B229" s="52"/>
      <c r="C229" s="53"/>
      <c r="D229" s="53"/>
      <c r="E229" s="53"/>
      <c r="F229" s="53"/>
      <c r="G229" s="53"/>
      <c r="H229" s="53"/>
      <c r="I229" s="53"/>
      <c r="J229" s="53"/>
      <c r="K229" s="61"/>
      <c r="L229" s="53"/>
      <c r="M229" s="53" t="str">
        <f>IFERROR(__xludf.DUMMYFUNCTION("""COMPUTED_VALUE"""),"")</f>
        <v/>
      </c>
      <c r="N229" s="53"/>
      <c r="O229" s="53"/>
      <c r="P229" s="53"/>
    </row>
    <row r="230">
      <c r="A230" s="60"/>
      <c r="B230" s="52"/>
      <c r="C230" s="53"/>
      <c r="D230" s="53"/>
      <c r="E230" s="53"/>
      <c r="F230" s="53"/>
      <c r="G230" s="53"/>
      <c r="H230" s="53"/>
      <c r="I230" s="53"/>
      <c r="J230" s="53"/>
      <c r="K230" s="61"/>
      <c r="L230" s="53"/>
      <c r="M230" s="53" t="str">
        <f>IFERROR(__xludf.DUMMYFUNCTION("""COMPUTED_VALUE"""),"")</f>
        <v/>
      </c>
      <c r="N230" s="53"/>
      <c r="O230" s="53"/>
      <c r="P230" s="53"/>
    </row>
    <row r="231">
      <c r="A231" s="60"/>
      <c r="B231" s="52"/>
      <c r="C231" s="53"/>
      <c r="D231" s="53"/>
      <c r="E231" s="53"/>
      <c r="F231" s="53"/>
      <c r="G231" s="53"/>
      <c r="H231" s="53"/>
      <c r="I231" s="53"/>
      <c r="J231" s="53"/>
      <c r="K231" s="61"/>
      <c r="L231" s="53"/>
      <c r="M231" s="53" t="str">
        <f>IFERROR(__xludf.DUMMYFUNCTION("""COMPUTED_VALUE"""),"")</f>
        <v/>
      </c>
      <c r="N231" s="53"/>
      <c r="O231" s="53"/>
      <c r="P231" s="53"/>
    </row>
    <row r="232">
      <c r="A232" s="60"/>
      <c r="B232" s="52"/>
      <c r="C232" s="53"/>
      <c r="D232" s="53"/>
      <c r="E232" s="53"/>
      <c r="F232" s="53"/>
      <c r="G232" s="53"/>
      <c r="H232" s="53"/>
      <c r="I232" s="53"/>
      <c r="J232" s="53"/>
      <c r="K232" s="61"/>
      <c r="L232" s="53"/>
      <c r="M232" s="53" t="str">
        <f>IFERROR(__xludf.DUMMYFUNCTION("""COMPUTED_VALUE"""),"")</f>
        <v/>
      </c>
      <c r="N232" s="53"/>
      <c r="O232" s="53"/>
      <c r="P232" s="53"/>
    </row>
    <row r="233">
      <c r="A233" s="60"/>
      <c r="B233" s="52"/>
      <c r="C233" s="53"/>
      <c r="D233" s="53"/>
      <c r="E233" s="53"/>
      <c r="F233" s="53"/>
      <c r="G233" s="53"/>
      <c r="H233" s="53"/>
      <c r="I233" s="53"/>
      <c r="J233" s="53"/>
      <c r="K233" s="61"/>
      <c r="L233" s="53"/>
      <c r="M233" s="53" t="str">
        <f>IFERROR(__xludf.DUMMYFUNCTION("""COMPUTED_VALUE"""),"")</f>
        <v/>
      </c>
      <c r="N233" s="53"/>
      <c r="O233" s="53"/>
      <c r="P233" s="53"/>
    </row>
    <row r="234">
      <c r="A234" s="60"/>
      <c r="B234" s="52"/>
      <c r="C234" s="53"/>
      <c r="D234" s="53"/>
      <c r="E234" s="53"/>
      <c r="F234" s="53"/>
      <c r="G234" s="53"/>
      <c r="H234" s="53"/>
      <c r="I234" s="53"/>
      <c r="J234" s="53"/>
      <c r="K234" s="61"/>
      <c r="L234" s="53"/>
      <c r="M234" s="53" t="str">
        <f>IFERROR(__xludf.DUMMYFUNCTION("""COMPUTED_VALUE"""),"")</f>
        <v/>
      </c>
      <c r="N234" s="53"/>
      <c r="O234" s="53"/>
      <c r="P234" s="53"/>
    </row>
    <row r="235">
      <c r="A235" s="60"/>
      <c r="B235" s="52"/>
      <c r="C235" s="53"/>
      <c r="D235" s="53"/>
      <c r="E235" s="53"/>
      <c r="F235" s="53"/>
      <c r="G235" s="53"/>
      <c r="H235" s="53"/>
      <c r="I235" s="53"/>
      <c r="J235" s="53"/>
      <c r="K235" s="61"/>
      <c r="L235" s="53"/>
      <c r="M235" s="53" t="str">
        <f>IFERROR(__xludf.DUMMYFUNCTION("""COMPUTED_VALUE"""),"")</f>
        <v/>
      </c>
      <c r="N235" s="53"/>
      <c r="O235" s="53"/>
      <c r="P235" s="53"/>
    </row>
    <row r="236">
      <c r="A236" s="60"/>
      <c r="B236" s="52"/>
      <c r="C236" s="53"/>
      <c r="D236" s="53"/>
      <c r="E236" s="53"/>
      <c r="F236" s="53"/>
      <c r="G236" s="53"/>
      <c r="H236" s="53"/>
      <c r="I236" s="53"/>
      <c r="J236" s="53"/>
      <c r="K236" s="61"/>
      <c r="L236" s="53"/>
      <c r="M236" s="53" t="str">
        <f>IFERROR(__xludf.DUMMYFUNCTION("""COMPUTED_VALUE"""),"")</f>
        <v/>
      </c>
      <c r="N236" s="53"/>
      <c r="O236" s="53"/>
      <c r="P236" s="53"/>
    </row>
    <row r="237">
      <c r="A237" s="60"/>
      <c r="B237" s="52"/>
      <c r="C237" s="53"/>
      <c r="D237" s="53"/>
      <c r="E237" s="53"/>
      <c r="F237" s="53"/>
      <c r="G237" s="53"/>
      <c r="H237" s="53"/>
      <c r="I237" s="53"/>
      <c r="J237" s="53"/>
      <c r="K237" s="61"/>
      <c r="L237" s="53"/>
      <c r="M237" s="53" t="str">
        <f>IFERROR(__xludf.DUMMYFUNCTION("""COMPUTED_VALUE"""),"")</f>
        <v/>
      </c>
      <c r="N237" s="53"/>
      <c r="O237" s="53"/>
      <c r="P237" s="53"/>
    </row>
    <row r="238">
      <c r="A238" s="60"/>
      <c r="B238" s="52"/>
      <c r="C238" s="53"/>
      <c r="D238" s="53"/>
      <c r="E238" s="53"/>
      <c r="F238" s="53"/>
      <c r="G238" s="53"/>
      <c r="H238" s="53"/>
      <c r="I238" s="53"/>
      <c r="J238" s="53"/>
      <c r="K238" s="61"/>
      <c r="L238" s="53"/>
      <c r="M238" s="53" t="str">
        <f>IFERROR(__xludf.DUMMYFUNCTION("""COMPUTED_VALUE"""),"")</f>
        <v/>
      </c>
      <c r="N238" s="53"/>
      <c r="O238" s="53"/>
      <c r="P238" s="53"/>
    </row>
    <row r="239">
      <c r="A239" s="60"/>
      <c r="B239" s="52"/>
      <c r="C239" s="53"/>
      <c r="D239" s="53"/>
      <c r="E239" s="53"/>
      <c r="F239" s="53"/>
      <c r="G239" s="53"/>
      <c r="H239" s="53"/>
      <c r="I239" s="53"/>
      <c r="J239" s="53"/>
      <c r="K239" s="61"/>
      <c r="L239" s="53"/>
      <c r="M239" s="53" t="str">
        <f>IFERROR(__xludf.DUMMYFUNCTION("""COMPUTED_VALUE"""),"")</f>
        <v/>
      </c>
      <c r="N239" s="53"/>
      <c r="O239" s="53"/>
      <c r="P239" s="53"/>
    </row>
    <row r="240">
      <c r="A240" s="60"/>
      <c r="B240" s="52"/>
      <c r="C240" s="53"/>
      <c r="D240" s="53"/>
      <c r="E240" s="53"/>
      <c r="F240" s="53"/>
      <c r="G240" s="53"/>
      <c r="H240" s="53"/>
      <c r="I240" s="53"/>
      <c r="J240" s="53"/>
      <c r="K240" s="61"/>
      <c r="L240" s="53"/>
      <c r="M240" s="53" t="str">
        <f>IFERROR(__xludf.DUMMYFUNCTION("""COMPUTED_VALUE"""),"")</f>
        <v/>
      </c>
      <c r="N240" s="53"/>
      <c r="O240" s="53"/>
      <c r="P240" s="53"/>
    </row>
    <row r="241">
      <c r="A241" s="60"/>
      <c r="B241" s="52"/>
      <c r="C241" s="53"/>
      <c r="D241" s="53"/>
      <c r="E241" s="53"/>
      <c r="F241" s="53"/>
      <c r="G241" s="53"/>
      <c r="H241" s="53"/>
      <c r="I241" s="53"/>
      <c r="J241" s="53"/>
      <c r="K241" s="61"/>
      <c r="L241" s="53"/>
      <c r="M241" s="53" t="str">
        <f>IFERROR(__xludf.DUMMYFUNCTION("""COMPUTED_VALUE"""),"")</f>
        <v/>
      </c>
      <c r="N241" s="53"/>
      <c r="O241" s="53"/>
      <c r="P241" s="53"/>
    </row>
    <row r="242">
      <c r="A242" s="60"/>
      <c r="B242" s="52"/>
      <c r="C242" s="53"/>
      <c r="D242" s="53"/>
      <c r="E242" s="53"/>
      <c r="F242" s="53"/>
      <c r="G242" s="53"/>
      <c r="H242" s="53"/>
      <c r="I242" s="53"/>
      <c r="J242" s="53"/>
      <c r="K242" s="61"/>
      <c r="L242" s="53"/>
      <c r="M242" s="53" t="str">
        <f>IFERROR(__xludf.DUMMYFUNCTION("""COMPUTED_VALUE"""),"")</f>
        <v/>
      </c>
      <c r="N242" s="53"/>
      <c r="O242" s="53"/>
      <c r="P242" s="53"/>
    </row>
    <row r="243">
      <c r="A243" s="60"/>
      <c r="B243" s="52"/>
      <c r="C243" s="53"/>
      <c r="D243" s="53"/>
      <c r="E243" s="53"/>
      <c r="F243" s="53"/>
      <c r="G243" s="53"/>
      <c r="H243" s="53"/>
      <c r="I243" s="53"/>
      <c r="J243" s="53"/>
      <c r="K243" s="61"/>
      <c r="L243" s="53"/>
      <c r="M243" s="53" t="str">
        <f>IFERROR(__xludf.DUMMYFUNCTION("""COMPUTED_VALUE"""),"")</f>
        <v/>
      </c>
      <c r="N243" s="53"/>
      <c r="O243" s="53"/>
      <c r="P243" s="53"/>
    </row>
    <row r="244">
      <c r="A244" s="60"/>
      <c r="B244" s="52"/>
      <c r="C244" s="53"/>
      <c r="D244" s="53"/>
      <c r="E244" s="53"/>
      <c r="F244" s="53"/>
      <c r="G244" s="53"/>
      <c r="H244" s="53"/>
      <c r="I244" s="53"/>
      <c r="J244" s="53"/>
      <c r="K244" s="61"/>
      <c r="L244" s="53"/>
      <c r="M244" s="53" t="str">
        <f>IFERROR(__xludf.DUMMYFUNCTION("""COMPUTED_VALUE"""),"")</f>
        <v/>
      </c>
      <c r="N244" s="53"/>
      <c r="O244" s="53"/>
      <c r="P244" s="53"/>
    </row>
    <row r="245">
      <c r="A245" s="60"/>
      <c r="B245" s="52"/>
      <c r="C245" s="53"/>
      <c r="D245" s="53"/>
      <c r="E245" s="53"/>
      <c r="F245" s="53"/>
      <c r="G245" s="53"/>
      <c r="H245" s="53"/>
      <c r="I245" s="53"/>
      <c r="J245" s="53"/>
      <c r="K245" s="61"/>
      <c r="L245" s="53"/>
      <c r="M245" s="53" t="str">
        <f>IFERROR(__xludf.DUMMYFUNCTION("""COMPUTED_VALUE"""),"")</f>
        <v/>
      </c>
      <c r="N245" s="53"/>
      <c r="O245" s="53"/>
      <c r="P245" s="53"/>
    </row>
    <row r="246">
      <c r="A246" s="60"/>
      <c r="B246" s="52"/>
      <c r="C246" s="53"/>
      <c r="D246" s="53"/>
      <c r="E246" s="53"/>
      <c r="F246" s="53"/>
      <c r="G246" s="53"/>
      <c r="H246" s="53"/>
      <c r="I246" s="53"/>
      <c r="J246" s="53"/>
      <c r="K246" s="61"/>
      <c r="L246" s="53"/>
      <c r="M246" s="53" t="str">
        <f>IFERROR(__xludf.DUMMYFUNCTION("""COMPUTED_VALUE"""),"")</f>
        <v/>
      </c>
      <c r="N246" s="53"/>
      <c r="O246" s="53"/>
      <c r="P246" s="53"/>
    </row>
    <row r="247">
      <c r="A247" s="60"/>
      <c r="B247" s="52"/>
      <c r="C247" s="53"/>
      <c r="D247" s="53"/>
      <c r="E247" s="53"/>
      <c r="F247" s="53"/>
      <c r="G247" s="53"/>
      <c r="H247" s="53"/>
      <c r="I247" s="53"/>
      <c r="J247" s="53"/>
      <c r="K247" s="61"/>
      <c r="L247" s="53"/>
      <c r="M247" s="53" t="str">
        <f>IFERROR(__xludf.DUMMYFUNCTION("""COMPUTED_VALUE"""),"")</f>
        <v/>
      </c>
      <c r="N247" s="53"/>
      <c r="O247" s="53"/>
      <c r="P247" s="53"/>
    </row>
    <row r="248">
      <c r="A248" s="60"/>
      <c r="B248" s="52"/>
      <c r="C248" s="53"/>
      <c r="D248" s="53"/>
      <c r="E248" s="53"/>
      <c r="F248" s="53"/>
      <c r="G248" s="53"/>
      <c r="H248" s="53"/>
      <c r="I248" s="53"/>
      <c r="J248" s="53"/>
      <c r="K248" s="61"/>
      <c r="L248" s="53"/>
      <c r="M248" s="53" t="str">
        <f>IFERROR(__xludf.DUMMYFUNCTION("""COMPUTED_VALUE"""),"")</f>
        <v/>
      </c>
      <c r="N248" s="53"/>
      <c r="O248" s="53"/>
      <c r="P248" s="53"/>
    </row>
    <row r="249">
      <c r="A249" s="60"/>
      <c r="B249" s="52"/>
      <c r="C249" s="53"/>
      <c r="D249" s="53"/>
      <c r="E249" s="53"/>
      <c r="F249" s="53"/>
      <c r="G249" s="53"/>
      <c r="H249" s="53"/>
      <c r="I249" s="53"/>
      <c r="J249" s="53"/>
      <c r="K249" s="61"/>
      <c r="L249" s="53"/>
      <c r="M249" s="53" t="str">
        <f>IFERROR(__xludf.DUMMYFUNCTION("""COMPUTED_VALUE"""),"")</f>
        <v/>
      </c>
      <c r="N249" s="53"/>
      <c r="O249" s="53"/>
      <c r="P249" s="53"/>
    </row>
    <row r="250">
      <c r="A250" s="60"/>
      <c r="B250" s="52"/>
      <c r="C250" s="53"/>
      <c r="D250" s="53"/>
      <c r="E250" s="53"/>
      <c r="F250" s="53"/>
      <c r="G250" s="53"/>
      <c r="H250" s="53"/>
      <c r="I250" s="53"/>
      <c r="J250" s="53"/>
      <c r="K250" s="61"/>
      <c r="L250" s="53"/>
      <c r="M250" s="53" t="str">
        <f>IFERROR(__xludf.DUMMYFUNCTION("""COMPUTED_VALUE"""),"")</f>
        <v/>
      </c>
      <c r="N250" s="53"/>
      <c r="O250" s="53"/>
      <c r="P250" s="53"/>
    </row>
    <row r="251">
      <c r="A251" s="60"/>
      <c r="B251" s="52"/>
      <c r="C251" s="53"/>
      <c r="D251" s="53"/>
      <c r="E251" s="53"/>
      <c r="F251" s="53"/>
      <c r="G251" s="53"/>
      <c r="H251" s="53"/>
      <c r="I251" s="53"/>
      <c r="J251" s="53"/>
      <c r="K251" s="61"/>
      <c r="L251" s="53"/>
      <c r="M251" s="53" t="str">
        <f>IFERROR(__xludf.DUMMYFUNCTION("""COMPUTED_VALUE"""),"")</f>
        <v/>
      </c>
      <c r="N251" s="53"/>
      <c r="O251" s="53"/>
      <c r="P251" s="53"/>
    </row>
    <row r="252">
      <c r="A252" s="60"/>
      <c r="B252" s="52"/>
      <c r="C252" s="53"/>
      <c r="D252" s="53"/>
      <c r="E252" s="53"/>
      <c r="F252" s="53"/>
      <c r="G252" s="53"/>
      <c r="H252" s="53"/>
      <c r="I252" s="53"/>
      <c r="J252" s="53"/>
      <c r="K252" s="61"/>
      <c r="L252" s="53"/>
      <c r="M252" s="53" t="str">
        <f>IFERROR(__xludf.DUMMYFUNCTION("""COMPUTED_VALUE"""),"")</f>
        <v/>
      </c>
      <c r="N252" s="53"/>
      <c r="O252" s="53"/>
      <c r="P252" s="53"/>
    </row>
    <row r="253">
      <c r="A253" s="60"/>
      <c r="B253" s="52"/>
      <c r="C253" s="53"/>
      <c r="D253" s="53"/>
      <c r="E253" s="53"/>
      <c r="F253" s="53"/>
      <c r="G253" s="53"/>
      <c r="H253" s="53"/>
      <c r="I253" s="53"/>
      <c r="J253" s="53"/>
      <c r="K253" s="61"/>
      <c r="L253" s="53"/>
      <c r="M253" s="53" t="str">
        <f>IFERROR(__xludf.DUMMYFUNCTION("""COMPUTED_VALUE"""),"")</f>
        <v/>
      </c>
      <c r="N253" s="53"/>
      <c r="O253" s="53"/>
      <c r="P253" s="53"/>
    </row>
    <row r="254">
      <c r="A254" s="60"/>
      <c r="B254" s="52"/>
      <c r="C254" s="53"/>
      <c r="D254" s="53"/>
      <c r="E254" s="53"/>
      <c r="F254" s="53"/>
      <c r="G254" s="53"/>
      <c r="H254" s="53"/>
      <c r="I254" s="53"/>
      <c r="J254" s="53"/>
      <c r="K254" s="61"/>
      <c r="L254" s="53"/>
      <c r="M254" s="53" t="str">
        <f>IFERROR(__xludf.DUMMYFUNCTION("""COMPUTED_VALUE"""),"")</f>
        <v/>
      </c>
      <c r="N254" s="53"/>
      <c r="O254" s="53"/>
      <c r="P254" s="53"/>
    </row>
    <row r="255">
      <c r="A255" s="60"/>
      <c r="B255" s="52"/>
      <c r="C255" s="53"/>
      <c r="D255" s="53"/>
      <c r="E255" s="53"/>
      <c r="F255" s="53"/>
      <c r="G255" s="53"/>
      <c r="H255" s="53"/>
      <c r="I255" s="53"/>
      <c r="J255" s="53"/>
      <c r="K255" s="61"/>
      <c r="L255" s="53"/>
      <c r="M255" s="53" t="str">
        <f>IFERROR(__xludf.DUMMYFUNCTION("""COMPUTED_VALUE"""),"")</f>
        <v/>
      </c>
      <c r="N255" s="53"/>
      <c r="O255" s="53"/>
      <c r="P255" s="53"/>
    </row>
    <row r="256">
      <c r="A256" s="60"/>
      <c r="B256" s="52"/>
      <c r="C256" s="53"/>
      <c r="D256" s="53"/>
      <c r="E256" s="53"/>
      <c r="F256" s="53"/>
      <c r="G256" s="53"/>
      <c r="H256" s="53"/>
      <c r="I256" s="53"/>
      <c r="J256" s="53"/>
      <c r="K256" s="61"/>
      <c r="L256" s="53"/>
      <c r="M256" s="53" t="str">
        <f>IFERROR(__xludf.DUMMYFUNCTION("""COMPUTED_VALUE"""),"")</f>
        <v/>
      </c>
      <c r="N256" s="53"/>
      <c r="O256" s="53"/>
      <c r="P256" s="53"/>
    </row>
    <row r="257">
      <c r="A257" s="60"/>
      <c r="B257" s="52"/>
      <c r="C257" s="53"/>
      <c r="D257" s="53"/>
      <c r="E257" s="53"/>
      <c r="F257" s="53"/>
      <c r="G257" s="53"/>
      <c r="H257" s="53"/>
      <c r="I257" s="53"/>
      <c r="J257" s="53"/>
      <c r="K257" s="61"/>
      <c r="L257" s="53"/>
      <c r="M257" s="53" t="str">
        <f>IFERROR(__xludf.DUMMYFUNCTION("""COMPUTED_VALUE"""),"")</f>
        <v/>
      </c>
      <c r="N257" s="53"/>
      <c r="O257" s="53"/>
      <c r="P257" s="53"/>
    </row>
    <row r="258">
      <c r="A258" s="60"/>
      <c r="B258" s="52"/>
      <c r="C258" s="53"/>
      <c r="D258" s="53"/>
      <c r="E258" s="53"/>
      <c r="F258" s="53"/>
      <c r="G258" s="53"/>
      <c r="H258" s="53"/>
      <c r="I258" s="53"/>
      <c r="J258" s="53"/>
      <c r="K258" s="61"/>
      <c r="L258" s="53"/>
      <c r="M258" s="53" t="str">
        <f>IFERROR(__xludf.DUMMYFUNCTION("""COMPUTED_VALUE"""),"")</f>
        <v/>
      </c>
      <c r="N258" s="53"/>
      <c r="O258" s="53"/>
      <c r="P258" s="53"/>
    </row>
    <row r="259">
      <c r="A259" s="60"/>
      <c r="B259" s="52"/>
      <c r="C259" s="53"/>
      <c r="D259" s="53"/>
      <c r="E259" s="53"/>
      <c r="F259" s="53"/>
      <c r="G259" s="53"/>
      <c r="H259" s="53"/>
      <c r="I259" s="53"/>
      <c r="J259" s="53"/>
      <c r="K259" s="61"/>
      <c r="L259" s="53"/>
      <c r="M259" s="53" t="str">
        <f>IFERROR(__xludf.DUMMYFUNCTION("""COMPUTED_VALUE"""),"")</f>
        <v/>
      </c>
      <c r="N259" s="53"/>
      <c r="O259" s="53"/>
      <c r="P259" s="53"/>
    </row>
    <row r="260">
      <c r="A260" s="60"/>
      <c r="B260" s="52"/>
      <c r="C260" s="53"/>
      <c r="D260" s="53"/>
      <c r="E260" s="53"/>
      <c r="F260" s="53"/>
      <c r="G260" s="53"/>
      <c r="H260" s="53"/>
      <c r="I260" s="53"/>
      <c r="J260" s="53"/>
      <c r="K260" s="61"/>
      <c r="L260" s="53"/>
      <c r="M260" s="53" t="str">
        <f>IFERROR(__xludf.DUMMYFUNCTION("""COMPUTED_VALUE"""),"")</f>
        <v/>
      </c>
      <c r="N260" s="53"/>
      <c r="O260" s="53"/>
      <c r="P260" s="53"/>
    </row>
    <row r="261">
      <c r="A261" s="60"/>
      <c r="B261" s="52"/>
      <c r="C261" s="53"/>
      <c r="D261" s="53"/>
      <c r="E261" s="53"/>
      <c r="F261" s="53"/>
      <c r="G261" s="53"/>
      <c r="H261" s="53"/>
      <c r="I261" s="53"/>
      <c r="J261" s="53"/>
      <c r="K261" s="61"/>
      <c r="L261" s="53"/>
      <c r="M261" s="53" t="str">
        <f>IFERROR(__xludf.DUMMYFUNCTION("""COMPUTED_VALUE"""),"")</f>
        <v/>
      </c>
      <c r="N261" s="53"/>
      <c r="O261" s="53"/>
      <c r="P261" s="53"/>
    </row>
    <row r="262">
      <c r="A262" s="60"/>
      <c r="B262" s="52"/>
      <c r="C262" s="53"/>
      <c r="D262" s="53"/>
      <c r="E262" s="53"/>
      <c r="F262" s="53"/>
      <c r="G262" s="53"/>
      <c r="H262" s="53"/>
      <c r="I262" s="53"/>
      <c r="J262" s="53"/>
      <c r="K262" s="61"/>
      <c r="L262" s="53"/>
      <c r="M262" s="53" t="str">
        <f>IFERROR(__xludf.DUMMYFUNCTION("""COMPUTED_VALUE"""),"")</f>
        <v/>
      </c>
      <c r="N262" s="53"/>
      <c r="O262" s="53"/>
      <c r="P262" s="53"/>
    </row>
    <row r="263">
      <c r="A263" s="60"/>
      <c r="B263" s="52"/>
      <c r="C263" s="53"/>
      <c r="D263" s="53"/>
      <c r="E263" s="53"/>
      <c r="F263" s="53"/>
      <c r="G263" s="53"/>
      <c r="H263" s="53"/>
      <c r="I263" s="53"/>
      <c r="J263" s="53"/>
      <c r="K263" s="61"/>
      <c r="L263" s="53"/>
      <c r="M263" s="53" t="str">
        <f>IFERROR(__xludf.DUMMYFUNCTION("""COMPUTED_VALUE"""),"")</f>
        <v/>
      </c>
      <c r="N263" s="53"/>
      <c r="O263" s="53"/>
      <c r="P263" s="53"/>
    </row>
    <row r="264">
      <c r="A264" s="60"/>
      <c r="B264" s="52"/>
      <c r="C264" s="53"/>
      <c r="D264" s="53"/>
      <c r="E264" s="53"/>
      <c r="F264" s="53"/>
      <c r="G264" s="53"/>
      <c r="H264" s="53"/>
      <c r="I264" s="53"/>
      <c r="J264" s="53"/>
      <c r="K264" s="61"/>
      <c r="L264" s="53"/>
      <c r="M264" s="53" t="str">
        <f>IFERROR(__xludf.DUMMYFUNCTION("""COMPUTED_VALUE"""),"")</f>
        <v/>
      </c>
      <c r="N264" s="53"/>
      <c r="O264" s="53"/>
      <c r="P264" s="53"/>
    </row>
    <row r="265">
      <c r="A265" s="60"/>
      <c r="B265" s="52"/>
      <c r="C265" s="53"/>
      <c r="D265" s="53"/>
      <c r="E265" s="53"/>
      <c r="F265" s="53"/>
      <c r="G265" s="53"/>
      <c r="H265" s="53"/>
      <c r="I265" s="53"/>
      <c r="J265" s="53"/>
      <c r="K265" s="61"/>
      <c r="L265" s="53"/>
      <c r="M265" s="53" t="str">
        <f>IFERROR(__xludf.DUMMYFUNCTION("""COMPUTED_VALUE"""),"")</f>
        <v/>
      </c>
      <c r="N265" s="53"/>
      <c r="O265" s="53"/>
      <c r="P265" s="53"/>
    </row>
    <row r="266">
      <c r="A266" s="60"/>
      <c r="B266" s="52"/>
      <c r="C266" s="53"/>
      <c r="D266" s="53"/>
      <c r="E266" s="53"/>
      <c r="F266" s="53"/>
      <c r="G266" s="53"/>
      <c r="H266" s="53"/>
      <c r="I266" s="53"/>
      <c r="J266" s="53"/>
      <c r="K266" s="61"/>
      <c r="L266" s="53"/>
      <c r="M266" s="53" t="str">
        <f>IFERROR(__xludf.DUMMYFUNCTION("""COMPUTED_VALUE"""),"")</f>
        <v/>
      </c>
      <c r="N266" s="53"/>
      <c r="O266" s="53"/>
      <c r="P266" s="53"/>
    </row>
    <row r="267">
      <c r="A267" s="60"/>
      <c r="B267" s="52"/>
      <c r="C267" s="53"/>
      <c r="D267" s="53"/>
      <c r="E267" s="53"/>
      <c r="F267" s="53"/>
      <c r="G267" s="53"/>
      <c r="H267" s="53"/>
      <c r="I267" s="53"/>
      <c r="J267" s="53"/>
      <c r="K267" s="61"/>
      <c r="L267" s="53"/>
      <c r="M267" s="53" t="str">
        <f>IFERROR(__xludf.DUMMYFUNCTION("""COMPUTED_VALUE"""),"")</f>
        <v/>
      </c>
      <c r="N267" s="53"/>
      <c r="O267" s="53"/>
      <c r="P267" s="53"/>
    </row>
    <row r="268">
      <c r="A268" s="60"/>
      <c r="B268" s="52"/>
      <c r="C268" s="53"/>
      <c r="D268" s="53"/>
      <c r="E268" s="53"/>
      <c r="F268" s="53"/>
      <c r="G268" s="53"/>
      <c r="H268" s="53"/>
      <c r="I268" s="53"/>
      <c r="J268" s="53"/>
      <c r="K268" s="61"/>
      <c r="L268" s="53"/>
      <c r="M268" s="53" t="str">
        <f>IFERROR(__xludf.DUMMYFUNCTION("""COMPUTED_VALUE"""),"")</f>
        <v/>
      </c>
      <c r="N268" s="53"/>
      <c r="O268" s="53"/>
      <c r="P268" s="53"/>
    </row>
    <row r="269">
      <c r="A269" s="60"/>
      <c r="B269" s="52"/>
      <c r="C269" s="53"/>
      <c r="D269" s="53"/>
      <c r="E269" s="53"/>
      <c r="F269" s="53"/>
      <c r="G269" s="53"/>
      <c r="H269" s="53"/>
      <c r="I269" s="53"/>
      <c r="J269" s="53"/>
      <c r="K269" s="61"/>
      <c r="L269" s="53"/>
      <c r="M269" s="53" t="str">
        <f>IFERROR(__xludf.DUMMYFUNCTION("""COMPUTED_VALUE"""),"")</f>
        <v/>
      </c>
      <c r="N269" s="53"/>
      <c r="O269" s="53"/>
      <c r="P269" s="53"/>
    </row>
    <row r="270">
      <c r="A270" s="60"/>
      <c r="B270" s="52"/>
      <c r="C270" s="53"/>
      <c r="D270" s="53"/>
      <c r="E270" s="53"/>
      <c r="F270" s="53"/>
      <c r="G270" s="53"/>
      <c r="H270" s="53"/>
      <c r="I270" s="53"/>
      <c r="J270" s="53"/>
      <c r="K270" s="61"/>
      <c r="L270" s="53"/>
      <c r="M270" s="53" t="str">
        <f>IFERROR(__xludf.DUMMYFUNCTION("""COMPUTED_VALUE"""),"")</f>
        <v/>
      </c>
      <c r="N270" s="53"/>
      <c r="O270" s="53"/>
      <c r="P270" s="53"/>
    </row>
    <row r="271">
      <c r="A271" s="60"/>
      <c r="B271" s="52"/>
      <c r="C271" s="53"/>
      <c r="D271" s="53"/>
      <c r="E271" s="53"/>
      <c r="F271" s="53"/>
      <c r="G271" s="53"/>
      <c r="H271" s="53"/>
      <c r="I271" s="53"/>
      <c r="J271" s="53"/>
      <c r="K271" s="61"/>
      <c r="L271" s="53"/>
      <c r="M271" s="53" t="str">
        <f>IFERROR(__xludf.DUMMYFUNCTION("""COMPUTED_VALUE"""),"")</f>
        <v/>
      </c>
      <c r="N271" s="53"/>
      <c r="O271" s="53"/>
      <c r="P271" s="53"/>
    </row>
    <row r="272">
      <c r="A272" s="60"/>
      <c r="B272" s="52"/>
      <c r="C272" s="53"/>
      <c r="D272" s="53"/>
      <c r="E272" s="53"/>
      <c r="F272" s="53"/>
      <c r="G272" s="53"/>
      <c r="H272" s="53"/>
      <c r="I272" s="53"/>
      <c r="J272" s="53"/>
      <c r="K272" s="61"/>
      <c r="L272" s="53"/>
      <c r="M272" s="53" t="str">
        <f>IFERROR(__xludf.DUMMYFUNCTION("""COMPUTED_VALUE"""),"")</f>
        <v/>
      </c>
      <c r="N272" s="53"/>
      <c r="O272" s="53"/>
      <c r="P272" s="53"/>
    </row>
    <row r="273">
      <c r="A273" s="60"/>
      <c r="B273" s="52"/>
      <c r="C273" s="53"/>
      <c r="D273" s="53"/>
      <c r="E273" s="53"/>
      <c r="F273" s="53"/>
      <c r="G273" s="53"/>
      <c r="H273" s="53"/>
      <c r="I273" s="53"/>
      <c r="J273" s="53"/>
      <c r="K273" s="61"/>
      <c r="L273" s="53"/>
      <c r="M273" s="53" t="str">
        <f>IFERROR(__xludf.DUMMYFUNCTION("""COMPUTED_VALUE"""),"")</f>
        <v/>
      </c>
      <c r="N273" s="53"/>
      <c r="O273" s="53"/>
      <c r="P273" s="53"/>
    </row>
    <row r="274">
      <c r="A274" s="60"/>
      <c r="B274" s="52"/>
      <c r="C274" s="53"/>
      <c r="D274" s="53"/>
      <c r="E274" s="53"/>
      <c r="F274" s="53"/>
      <c r="G274" s="53"/>
      <c r="H274" s="53"/>
      <c r="I274" s="53"/>
      <c r="J274" s="53"/>
      <c r="K274" s="61"/>
      <c r="L274" s="53"/>
      <c r="M274" s="53" t="str">
        <f>IFERROR(__xludf.DUMMYFUNCTION("""COMPUTED_VALUE"""),"")</f>
        <v/>
      </c>
      <c r="N274" s="53"/>
      <c r="O274" s="53"/>
      <c r="P274" s="53"/>
    </row>
    <row r="275">
      <c r="A275" s="60"/>
      <c r="B275" s="52"/>
      <c r="C275" s="53"/>
      <c r="D275" s="53"/>
      <c r="E275" s="53"/>
      <c r="F275" s="53"/>
      <c r="G275" s="53"/>
      <c r="H275" s="53"/>
      <c r="I275" s="53"/>
      <c r="J275" s="53"/>
      <c r="K275" s="61"/>
      <c r="L275" s="53"/>
      <c r="M275" s="53" t="str">
        <f>IFERROR(__xludf.DUMMYFUNCTION("""COMPUTED_VALUE"""),"")</f>
        <v/>
      </c>
      <c r="N275" s="53"/>
      <c r="O275" s="53"/>
      <c r="P275" s="53"/>
    </row>
    <row r="276">
      <c r="A276" s="60"/>
      <c r="B276" s="52"/>
      <c r="C276" s="53"/>
      <c r="D276" s="53"/>
      <c r="E276" s="53"/>
      <c r="F276" s="53"/>
      <c r="G276" s="53"/>
      <c r="H276" s="53"/>
      <c r="I276" s="53"/>
      <c r="J276" s="53"/>
      <c r="K276" s="61"/>
      <c r="L276" s="53"/>
      <c r="M276" s="53" t="str">
        <f>IFERROR(__xludf.DUMMYFUNCTION("""COMPUTED_VALUE"""),"")</f>
        <v/>
      </c>
      <c r="N276" s="53"/>
      <c r="O276" s="53"/>
      <c r="P276" s="53"/>
    </row>
    <row r="277">
      <c r="A277" s="60"/>
      <c r="B277" s="52"/>
      <c r="C277" s="53"/>
      <c r="D277" s="53"/>
      <c r="E277" s="53"/>
      <c r="F277" s="53"/>
      <c r="G277" s="53"/>
      <c r="H277" s="53"/>
      <c r="I277" s="53"/>
      <c r="J277" s="53"/>
      <c r="K277" s="61"/>
      <c r="L277" s="53"/>
      <c r="M277" s="53" t="str">
        <f>IFERROR(__xludf.DUMMYFUNCTION("""COMPUTED_VALUE"""),"")</f>
        <v/>
      </c>
      <c r="N277" s="53"/>
      <c r="O277" s="53"/>
      <c r="P277" s="53"/>
    </row>
    <row r="278">
      <c r="A278" s="60"/>
      <c r="B278" s="52"/>
      <c r="C278" s="53"/>
      <c r="D278" s="53"/>
      <c r="E278" s="53"/>
      <c r="F278" s="53"/>
      <c r="G278" s="53"/>
      <c r="H278" s="53"/>
      <c r="I278" s="53"/>
      <c r="J278" s="53"/>
      <c r="K278" s="61"/>
      <c r="L278" s="53"/>
      <c r="M278" s="53" t="str">
        <f>IFERROR(__xludf.DUMMYFUNCTION("""COMPUTED_VALUE"""),"")</f>
        <v/>
      </c>
      <c r="N278" s="53"/>
      <c r="O278" s="53"/>
      <c r="P278" s="53"/>
    </row>
    <row r="279">
      <c r="A279" s="60"/>
      <c r="B279" s="52"/>
      <c r="C279" s="53"/>
      <c r="D279" s="53"/>
      <c r="E279" s="53"/>
      <c r="F279" s="53"/>
      <c r="G279" s="53"/>
      <c r="H279" s="53"/>
      <c r="I279" s="53"/>
      <c r="J279" s="53"/>
      <c r="K279" s="61"/>
      <c r="L279" s="53"/>
      <c r="M279" s="53" t="str">
        <f>IFERROR(__xludf.DUMMYFUNCTION("""COMPUTED_VALUE"""),"")</f>
        <v/>
      </c>
      <c r="N279" s="53"/>
      <c r="O279" s="53"/>
      <c r="P279" s="53"/>
    </row>
    <row r="280">
      <c r="A280" s="60"/>
      <c r="B280" s="52"/>
      <c r="C280" s="53"/>
      <c r="D280" s="53"/>
      <c r="E280" s="53"/>
      <c r="F280" s="53"/>
      <c r="G280" s="53"/>
      <c r="H280" s="53"/>
      <c r="I280" s="53"/>
      <c r="J280" s="53"/>
      <c r="K280" s="61"/>
      <c r="L280" s="53"/>
      <c r="M280" s="53" t="str">
        <f>IFERROR(__xludf.DUMMYFUNCTION("""COMPUTED_VALUE"""),"")</f>
        <v/>
      </c>
      <c r="N280" s="53"/>
      <c r="O280" s="53"/>
      <c r="P280" s="53"/>
    </row>
    <row r="281">
      <c r="A281" s="60"/>
      <c r="B281" s="52"/>
      <c r="C281" s="53"/>
      <c r="D281" s="53"/>
      <c r="E281" s="53"/>
      <c r="F281" s="53"/>
      <c r="G281" s="53"/>
      <c r="H281" s="53"/>
      <c r="I281" s="53"/>
      <c r="J281" s="53"/>
      <c r="K281" s="61"/>
      <c r="L281" s="53"/>
      <c r="M281" s="53" t="str">
        <f>IFERROR(__xludf.DUMMYFUNCTION("""COMPUTED_VALUE"""),"")</f>
        <v/>
      </c>
      <c r="N281" s="53"/>
      <c r="O281" s="53"/>
      <c r="P281" s="53"/>
    </row>
    <row r="282">
      <c r="A282" s="60"/>
      <c r="B282" s="52"/>
      <c r="C282" s="53"/>
      <c r="D282" s="53"/>
      <c r="E282" s="53"/>
      <c r="F282" s="53"/>
      <c r="G282" s="53"/>
      <c r="H282" s="53"/>
      <c r="I282" s="53"/>
      <c r="J282" s="53"/>
      <c r="K282" s="61"/>
      <c r="L282" s="53"/>
      <c r="M282" s="53" t="str">
        <f>IFERROR(__xludf.DUMMYFUNCTION("""COMPUTED_VALUE"""),"")</f>
        <v/>
      </c>
      <c r="N282" s="53"/>
      <c r="O282" s="53"/>
      <c r="P282" s="53"/>
    </row>
    <row r="283">
      <c r="A283" s="60"/>
      <c r="B283" s="52"/>
      <c r="C283" s="53"/>
      <c r="D283" s="53"/>
      <c r="E283" s="53"/>
      <c r="F283" s="53"/>
      <c r="G283" s="53"/>
      <c r="H283" s="53"/>
      <c r="I283" s="53"/>
      <c r="J283" s="53"/>
      <c r="K283" s="61"/>
      <c r="L283" s="53"/>
      <c r="M283" s="53" t="str">
        <f>IFERROR(__xludf.DUMMYFUNCTION("""COMPUTED_VALUE"""),"")</f>
        <v/>
      </c>
      <c r="N283" s="53"/>
      <c r="O283" s="53"/>
      <c r="P283" s="53"/>
    </row>
    <row r="284">
      <c r="A284" s="60"/>
      <c r="B284" s="52"/>
      <c r="C284" s="53"/>
      <c r="D284" s="53"/>
      <c r="E284" s="53"/>
      <c r="F284" s="53"/>
      <c r="G284" s="53"/>
      <c r="H284" s="53"/>
      <c r="I284" s="53"/>
      <c r="J284" s="53"/>
      <c r="K284" s="61"/>
      <c r="L284" s="53"/>
      <c r="M284" s="53" t="str">
        <f>IFERROR(__xludf.DUMMYFUNCTION("""COMPUTED_VALUE"""),"")</f>
        <v/>
      </c>
      <c r="N284" s="53"/>
      <c r="O284" s="53"/>
      <c r="P284" s="53"/>
    </row>
    <row r="285">
      <c r="A285" s="60"/>
      <c r="B285" s="52"/>
      <c r="C285" s="53"/>
      <c r="D285" s="53"/>
      <c r="E285" s="53"/>
      <c r="F285" s="53"/>
      <c r="G285" s="53"/>
      <c r="H285" s="53"/>
      <c r="I285" s="53"/>
      <c r="J285" s="53"/>
      <c r="K285" s="61"/>
      <c r="L285" s="53"/>
      <c r="M285" s="53" t="str">
        <f>IFERROR(__xludf.DUMMYFUNCTION("""COMPUTED_VALUE"""),"")</f>
        <v/>
      </c>
      <c r="N285" s="53"/>
      <c r="O285" s="53"/>
      <c r="P285" s="53"/>
    </row>
    <row r="286">
      <c r="A286" s="60"/>
      <c r="B286" s="52"/>
      <c r="C286" s="53"/>
      <c r="D286" s="53"/>
      <c r="E286" s="53"/>
      <c r="F286" s="53"/>
      <c r="G286" s="53"/>
      <c r="H286" s="53"/>
      <c r="I286" s="53"/>
      <c r="J286" s="53"/>
      <c r="K286" s="61"/>
      <c r="L286" s="53"/>
      <c r="M286" s="53" t="str">
        <f>IFERROR(__xludf.DUMMYFUNCTION("""COMPUTED_VALUE"""),"")</f>
        <v/>
      </c>
      <c r="N286" s="53"/>
      <c r="O286" s="53"/>
      <c r="P286" s="53"/>
    </row>
    <row r="287">
      <c r="A287" s="60"/>
      <c r="B287" s="52"/>
      <c r="C287" s="53"/>
      <c r="D287" s="53"/>
      <c r="E287" s="53"/>
      <c r="F287" s="53"/>
      <c r="G287" s="53"/>
      <c r="H287" s="53"/>
      <c r="I287" s="53"/>
      <c r="J287" s="53"/>
      <c r="K287" s="61"/>
      <c r="L287" s="53"/>
      <c r="M287" s="53" t="str">
        <f>IFERROR(__xludf.DUMMYFUNCTION("""COMPUTED_VALUE"""),"")</f>
        <v/>
      </c>
      <c r="N287" s="53"/>
      <c r="O287" s="53"/>
      <c r="P287" s="53"/>
    </row>
    <row r="288">
      <c r="A288" s="60"/>
      <c r="B288" s="52"/>
      <c r="C288" s="53"/>
      <c r="D288" s="53"/>
      <c r="E288" s="53"/>
      <c r="F288" s="53"/>
      <c r="G288" s="53"/>
      <c r="H288" s="53"/>
      <c r="I288" s="53"/>
      <c r="J288" s="53"/>
      <c r="K288" s="61"/>
      <c r="L288" s="53"/>
      <c r="M288" s="53" t="str">
        <f>IFERROR(__xludf.DUMMYFUNCTION("""COMPUTED_VALUE"""),"")</f>
        <v/>
      </c>
      <c r="N288" s="53"/>
      <c r="O288" s="53"/>
      <c r="P288" s="53"/>
    </row>
    <row r="289">
      <c r="A289" s="60"/>
      <c r="B289" s="52"/>
      <c r="C289" s="53"/>
      <c r="D289" s="53"/>
      <c r="E289" s="53"/>
      <c r="F289" s="53"/>
      <c r="G289" s="53"/>
      <c r="H289" s="53"/>
      <c r="I289" s="53"/>
      <c r="J289" s="53"/>
      <c r="K289" s="61"/>
      <c r="L289" s="53"/>
      <c r="M289" s="53" t="str">
        <f>IFERROR(__xludf.DUMMYFUNCTION("""COMPUTED_VALUE"""),"")</f>
        <v/>
      </c>
      <c r="N289" s="53"/>
      <c r="O289" s="53"/>
      <c r="P289" s="53"/>
    </row>
    <row r="290">
      <c r="A290" s="60"/>
      <c r="B290" s="52"/>
      <c r="C290" s="53"/>
      <c r="D290" s="53"/>
      <c r="E290" s="53"/>
      <c r="F290" s="53"/>
      <c r="G290" s="53"/>
      <c r="H290" s="53"/>
      <c r="I290" s="53"/>
      <c r="J290" s="53"/>
      <c r="K290" s="61"/>
      <c r="L290" s="53"/>
      <c r="M290" s="53" t="str">
        <f>IFERROR(__xludf.DUMMYFUNCTION("""COMPUTED_VALUE"""),"")</f>
        <v/>
      </c>
      <c r="N290" s="53"/>
      <c r="O290" s="53"/>
      <c r="P290" s="53"/>
    </row>
    <row r="291">
      <c r="A291" s="60"/>
      <c r="B291" s="52"/>
      <c r="C291" s="53"/>
      <c r="D291" s="53"/>
      <c r="E291" s="53"/>
      <c r="F291" s="53"/>
      <c r="G291" s="53"/>
      <c r="H291" s="53"/>
      <c r="I291" s="53"/>
      <c r="J291" s="53"/>
      <c r="K291" s="61"/>
      <c r="L291" s="53"/>
      <c r="M291" s="53" t="str">
        <f>IFERROR(__xludf.DUMMYFUNCTION("""COMPUTED_VALUE"""),"")</f>
        <v/>
      </c>
      <c r="N291" s="53"/>
      <c r="O291" s="53"/>
      <c r="P291" s="53"/>
    </row>
    <row r="292">
      <c r="A292" s="60"/>
      <c r="B292" s="52"/>
      <c r="C292" s="53"/>
      <c r="D292" s="53"/>
      <c r="E292" s="53"/>
      <c r="F292" s="53"/>
      <c r="G292" s="53"/>
      <c r="H292" s="53"/>
      <c r="I292" s="53"/>
      <c r="J292" s="53"/>
      <c r="K292" s="61"/>
      <c r="L292" s="53"/>
      <c r="M292" s="53" t="str">
        <f>IFERROR(__xludf.DUMMYFUNCTION("""COMPUTED_VALUE"""),"")</f>
        <v/>
      </c>
      <c r="N292" s="53"/>
      <c r="O292" s="53"/>
      <c r="P292" s="53"/>
    </row>
    <row r="293">
      <c r="A293" s="60"/>
      <c r="B293" s="52"/>
      <c r="C293" s="53"/>
      <c r="D293" s="53"/>
      <c r="E293" s="53"/>
      <c r="F293" s="53"/>
      <c r="G293" s="53"/>
      <c r="H293" s="53"/>
      <c r="I293" s="53"/>
      <c r="J293" s="53"/>
      <c r="K293" s="61"/>
      <c r="L293" s="53"/>
      <c r="M293" s="53" t="str">
        <f>IFERROR(__xludf.DUMMYFUNCTION("""COMPUTED_VALUE"""),"")</f>
        <v/>
      </c>
      <c r="N293" s="53"/>
      <c r="O293" s="53"/>
      <c r="P293" s="53"/>
    </row>
    <row r="294">
      <c r="A294" s="60"/>
      <c r="B294" s="52"/>
      <c r="C294" s="53"/>
      <c r="D294" s="53"/>
      <c r="E294" s="53"/>
      <c r="F294" s="53"/>
      <c r="G294" s="53"/>
      <c r="H294" s="53"/>
      <c r="I294" s="53"/>
      <c r="J294" s="53"/>
      <c r="K294" s="61"/>
      <c r="L294" s="53"/>
      <c r="M294" s="53" t="str">
        <f>IFERROR(__xludf.DUMMYFUNCTION("""COMPUTED_VALUE"""),"")</f>
        <v/>
      </c>
      <c r="N294" s="53"/>
      <c r="O294" s="53"/>
      <c r="P294" s="53"/>
    </row>
    <row r="295">
      <c r="A295" s="60"/>
      <c r="B295" s="52"/>
      <c r="C295" s="53"/>
      <c r="D295" s="53"/>
      <c r="E295" s="53"/>
      <c r="F295" s="53"/>
      <c r="G295" s="53"/>
      <c r="H295" s="53"/>
      <c r="I295" s="53"/>
      <c r="J295" s="53"/>
      <c r="K295" s="61"/>
      <c r="L295" s="53"/>
      <c r="M295" s="53" t="str">
        <f>IFERROR(__xludf.DUMMYFUNCTION("""COMPUTED_VALUE"""),"")</f>
        <v/>
      </c>
      <c r="N295" s="53"/>
      <c r="O295" s="53"/>
      <c r="P295" s="53"/>
    </row>
    <row r="296">
      <c r="A296" s="60"/>
      <c r="B296" s="52"/>
      <c r="C296" s="53"/>
      <c r="D296" s="53"/>
      <c r="E296" s="53"/>
      <c r="F296" s="53"/>
      <c r="G296" s="53"/>
      <c r="H296" s="53"/>
      <c r="I296" s="53"/>
      <c r="J296" s="53"/>
      <c r="K296" s="61"/>
      <c r="L296" s="53"/>
      <c r="M296" s="53" t="str">
        <f>IFERROR(__xludf.DUMMYFUNCTION("""COMPUTED_VALUE"""),"")</f>
        <v/>
      </c>
      <c r="N296" s="53"/>
      <c r="O296" s="53"/>
      <c r="P296" s="53"/>
    </row>
    <row r="297">
      <c r="A297" s="60"/>
      <c r="B297" s="52"/>
      <c r="C297" s="53"/>
      <c r="D297" s="53"/>
      <c r="E297" s="53"/>
      <c r="F297" s="53"/>
      <c r="G297" s="53"/>
      <c r="H297" s="53"/>
      <c r="I297" s="53"/>
      <c r="J297" s="53"/>
      <c r="K297" s="61"/>
      <c r="L297" s="53"/>
      <c r="M297" s="53" t="str">
        <f>IFERROR(__xludf.DUMMYFUNCTION("""COMPUTED_VALUE"""),"")</f>
        <v/>
      </c>
      <c r="N297" s="53"/>
      <c r="O297" s="53"/>
      <c r="P297" s="53"/>
    </row>
    <row r="298">
      <c r="A298" s="60"/>
      <c r="B298" s="52"/>
      <c r="C298" s="53"/>
      <c r="D298" s="53"/>
      <c r="E298" s="53"/>
      <c r="F298" s="53"/>
      <c r="G298" s="53"/>
      <c r="H298" s="53"/>
      <c r="I298" s="53"/>
      <c r="J298" s="53"/>
      <c r="K298" s="61"/>
      <c r="L298" s="53"/>
      <c r="M298" s="53" t="str">
        <f>IFERROR(__xludf.DUMMYFUNCTION("""COMPUTED_VALUE"""),"")</f>
        <v/>
      </c>
      <c r="N298" s="53"/>
      <c r="O298" s="53"/>
      <c r="P298" s="53"/>
    </row>
    <row r="299">
      <c r="A299" s="60"/>
      <c r="B299" s="52"/>
      <c r="C299" s="53"/>
      <c r="D299" s="53"/>
      <c r="E299" s="53"/>
      <c r="F299" s="53"/>
      <c r="G299" s="53"/>
      <c r="H299" s="53"/>
      <c r="I299" s="53"/>
      <c r="J299" s="53"/>
      <c r="K299" s="61"/>
      <c r="L299" s="53"/>
      <c r="M299" s="53" t="str">
        <f>IFERROR(__xludf.DUMMYFUNCTION("""COMPUTED_VALUE"""),"")</f>
        <v/>
      </c>
      <c r="N299" s="53"/>
      <c r="O299" s="53"/>
      <c r="P299" s="53"/>
    </row>
    <row r="300">
      <c r="A300" s="60"/>
      <c r="B300" s="52"/>
      <c r="C300" s="53"/>
      <c r="D300" s="53"/>
      <c r="E300" s="53"/>
      <c r="F300" s="53"/>
      <c r="G300" s="53"/>
      <c r="H300" s="53"/>
      <c r="I300" s="53"/>
      <c r="J300" s="53"/>
      <c r="K300" s="61"/>
      <c r="L300" s="53"/>
      <c r="M300" s="53" t="str">
        <f>IFERROR(__xludf.DUMMYFUNCTION("""COMPUTED_VALUE"""),"")</f>
        <v/>
      </c>
      <c r="N300" s="53"/>
      <c r="O300" s="53"/>
      <c r="P300" s="53"/>
    </row>
    <row r="301">
      <c r="A301" s="60"/>
      <c r="B301" s="52"/>
      <c r="C301" s="53"/>
      <c r="D301" s="53"/>
      <c r="E301" s="53"/>
      <c r="F301" s="53"/>
      <c r="G301" s="53"/>
      <c r="H301" s="53"/>
      <c r="I301" s="53"/>
      <c r="J301" s="53"/>
      <c r="K301" s="61"/>
      <c r="L301" s="53"/>
      <c r="M301" s="53" t="str">
        <f>IFERROR(__xludf.DUMMYFUNCTION("""COMPUTED_VALUE"""),"")</f>
        <v/>
      </c>
      <c r="N301" s="53"/>
      <c r="O301" s="53"/>
      <c r="P301" s="53"/>
    </row>
    <row r="302">
      <c r="A302" s="60"/>
      <c r="B302" s="52"/>
      <c r="C302" s="53"/>
      <c r="D302" s="53"/>
      <c r="E302" s="53"/>
      <c r="F302" s="53"/>
      <c r="G302" s="53"/>
      <c r="H302" s="53"/>
      <c r="I302" s="53"/>
      <c r="J302" s="53"/>
      <c r="K302" s="61"/>
      <c r="L302" s="53"/>
      <c r="M302" s="53" t="str">
        <f>IFERROR(__xludf.DUMMYFUNCTION("""COMPUTED_VALUE"""),"")</f>
        <v/>
      </c>
      <c r="N302" s="53"/>
      <c r="O302" s="53"/>
      <c r="P302" s="53"/>
    </row>
    <row r="303">
      <c r="A303" s="60"/>
      <c r="B303" s="52"/>
      <c r="C303" s="53"/>
      <c r="D303" s="53"/>
      <c r="E303" s="53"/>
      <c r="F303" s="53"/>
      <c r="G303" s="53"/>
      <c r="H303" s="53"/>
      <c r="I303" s="53"/>
      <c r="J303" s="53"/>
      <c r="K303" s="61"/>
      <c r="L303" s="53"/>
      <c r="M303" s="53" t="str">
        <f>IFERROR(__xludf.DUMMYFUNCTION("""COMPUTED_VALUE"""),"")</f>
        <v/>
      </c>
      <c r="N303" s="53"/>
      <c r="O303" s="53"/>
      <c r="P303" s="53"/>
    </row>
    <row r="304">
      <c r="A304" s="60"/>
      <c r="B304" s="52"/>
      <c r="C304" s="53"/>
      <c r="D304" s="53"/>
      <c r="E304" s="53"/>
      <c r="F304" s="53"/>
      <c r="G304" s="53"/>
      <c r="H304" s="53"/>
      <c r="I304" s="53"/>
      <c r="J304" s="53"/>
      <c r="K304" s="61"/>
      <c r="L304" s="53"/>
      <c r="M304" s="53" t="str">
        <f>IFERROR(__xludf.DUMMYFUNCTION("""COMPUTED_VALUE"""),"")</f>
        <v/>
      </c>
      <c r="N304" s="53"/>
      <c r="O304" s="53"/>
      <c r="P304" s="53"/>
    </row>
    <row r="305">
      <c r="A305" s="60"/>
      <c r="B305" s="52"/>
      <c r="C305" s="53"/>
      <c r="D305" s="53"/>
      <c r="E305" s="53"/>
      <c r="F305" s="53"/>
      <c r="G305" s="53"/>
      <c r="H305" s="53"/>
      <c r="I305" s="53"/>
      <c r="J305" s="53"/>
      <c r="K305" s="61"/>
      <c r="L305" s="53"/>
      <c r="M305" s="53" t="str">
        <f>IFERROR(__xludf.DUMMYFUNCTION("""COMPUTED_VALUE"""),"")</f>
        <v/>
      </c>
      <c r="N305" s="53"/>
      <c r="O305" s="53"/>
      <c r="P305" s="53"/>
    </row>
    <row r="306">
      <c r="A306" s="60"/>
      <c r="B306" s="52"/>
      <c r="C306" s="53"/>
      <c r="D306" s="53"/>
      <c r="E306" s="53"/>
      <c r="F306" s="53"/>
      <c r="G306" s="53"/>
      <c r="H306" s="53"/>
      <c r="I306" s="53"/>
      <c r="J306" s="53"/>
      <c r="K306" s="61"/>
      <c r="L306" s="53"/>
      <c r="M306" s="53" t="str">
        <f>IFERROR(__xludf.DUMMYFUNCTION("""COMPUTED_VALUE"""),"")</f>
        <v/>
      </c>
      <c r="N306" s="53"/>
      <c r="O306" s="53"/>
      <c r="P306" s="53"/>
    </row>
    <row r="307">
      <c r="A307" s="60"/>
      <c r="B307" s="52"/>
      <c r="C307" s="53"/>
      <c r="D307" s="53"/>
      <c r="E307" s="53"/>
      <c r="F307" s="53"/>
      <c r="G307" s="53"/>
      <c r="H307" s="53"/>
      <c r="I307" s="53"/>
      <c r="J307" s="53"/>
      <c r="K307" s="61"/>
      <c r="L307" s="53"/>
      <c r="M307" s="53" t="str">
        <f>IFERROR(__xludf.DUMMYFUNCTION("""COMPUTED_VALUE"""),"")</f>
        <v/>
      </c>
      <c r="N307" s="53"/>
      <c r="O307" s="53"/>
      <c r="P307" s="53"/>
    </row>
    <row r="308">
      <c r="A308" s="60"/>
      <c r="B308" s="52"/>
      <c r="C308" s="53"/>
      <c r="D308" s="53"/>
      <c r="E308" s="53"/>
      <c r="F308" s="53"/>
      <c r="G308" s="53"/>
      <c r="H308" s="53"/>
      <c r="I308" s="53"/>
      <c r="J308" s="53"/>
      <c r="K308" s="61"/>
      <c r="L308" s="53"/>
      <c r="M308" s="53" t="str">
        <f>IFERROR(__xludf.DUMMYFUNCTION("""COMPUTED_VALUE"""),"")</f>
        <v/>
      </c>
      <c r="N308" s="53"/>
      <c r="O308" s="53"/>
      <c r="P308" s="53"/>
    </row>
    <row r="309">
      <c r="A309" s="60"/>
      <c r="B309" s="52"/>
      <c r="C309" s="53"/>
      <c r="D309" s="53"/>
      <c r="E309" s="53"/>
      <c r="F309" s="53"/>
      <c r="G309" s="53"/>
      <c r="H309" s="53"/>
      <c r="I309" s="53"/>
      <c r="J309" s="53"/>
      <c r="K309" s="61"/>
      <c r="L309" s="53"/>
      <c r="M309" s="53" t="str">
        <f>IFERROR(__xludf.DUMMYFUNCTION("""COMPUTED_VALUE"""),"")</f>
        <v/>
      </c>
      <c r="N309" s="53"/>
      <c r="O309" s="53"/>
      <c r="P309" s="53"/>
    </row>
    <row r="310">
      <c r="A310" s="60"/>
      <c r="B310" s="52"/>
      <c r="C310" s="53"/>
      <c r="D310" s="53"/>
      <c r="E310" s="53"/>
      <c r="F310" s="53"/>
      <c r="G310" s="53"/>
      <c r="H310" s="53"/>
      <c r="I310" s="53"/>
      <c r="J310" s="53"/>
      <c r="K310" s="61"/>
      <c r="L310" s="53"/>
      <c r="M310" s="53" t="str">
        <f>IFERROR(__xludf.DUMMYFUNCTION("""COMPUTED_VALUE"""),"")</f>
        <v/>
      </c>
      <c r="N310" s="53"/>
      <c r="O310" s="53"/>
      <c r="P310" s="53"/>
    </row>
    <row r="311">
      <c r="A311" s="60"/>
      <c r="B311" s="52"/>
      <c r="C311" s="53"/>
      <c r="D311" s="53"/>
      <c r="E311" s="53"/>
      <c r="F311" s="53"/>
      <c r="G311" s="53"/>
      <c r="H311" s="53"/>
      <c r="I311" s="53"/>
      <c r="J311" s="53"/>
      <c r="K311" s="61"/>
      <c r="L311" s="53"/>
      <c r="M311" s="53" t="str">
        <f>IFERROR(__xludf.DUMMYFUNCTION("""COMPUTED_VALUE"""),"")</f>
        <v/>
      </c>
      <c r="N311" s="53"/>
      <c r="O311" s="53"/>
      <c r="P311" s="53"/>
    </row>
    <row r="312">
      <c r="A312" s="60"/>
      <c r="B312" s="52"/>
      <c r="C312" s="53"/>
      <c r="D312" s="53"/>
      <c r="E312" s="53"/>
      <c r="F312" s="53"/>
      <c r="G312" s="53"/>
      <c r="H312" s="53"/>
      <c r="I312" s="53"/>
      <c r="J312" s="53"/>
      <c r="K312" s="61"/>
      <c r="L312" s="53"/>
      <c r="M312" s="53" t="str">
        <f>IFERROR(__xludf.DUMMYFUNCTION("""COMPUTED_VALUE"""),"")</f>
        <v/>
      </c>
      <c r="N312" s="53"/>
      <c r="O312" s="53"/>
      <c r="P312" s="53"/>
    </row>
    <row r="313">
      <c r="A313" s="60"/>
      <c r="B313" s="52"/>
      <c r="C313" s="53"/>
      <c r="D313" s="53"/>
      <c r="E313" s="53"/>
      <c r="F313" s="53"/>
      <c r="G313" s="53"/>
      <c r="H313" s="53"/>
      <c r="I313" s="53"/>
      <c r="J313" s="53"/>
      <c r="K313" s="61"/>
      <c r="L313" s="53"/>
      <c r="M313" s="53" t="str">
        <f>IFERROR(__xludf.DUMMYFUNCTION("""COMPUTED_VALUE"""),"")</f>
        <v/>
      </c>
      <c r="N313" s="53"/>
      <c r="O313" s="53"/>
      <c r="P313" s="53"/>
    </row>
    <row r="314">
      <c r="A314" s="60"/>
      <c r="B314" s="52"/>
      <c r="C314" s="53"/>
      <c r="D314" s="53"/>
      <c r="E314" s="53"/>
      <c r="F314" s="53"/>
      <c r="G314" s="53"/>
      <c r="H314" s="53"/>
      <c r="I314" s="53"/>
      <c r="J314" s="53"/>
      <c r="K314" s="61"/>
      <c r="L314" s="53"/>
      <c r="M314" s="53" t="str">
        <f>IFERROR(__xludf.DUMMYFUNCTION("""COMPUTED_VALUE"""),"")</f>
        <v/>
      </c>
      <c r="N314" s="53"/>
      <c r="O314" s="53"/>
      <c r="P314" s="53"/>
    </row>
    <row r="315">
      <c r="A315" s="60"/>
      <c r="B315" s="52"/>
      <c r="C315" s="53"/>
      <c r="D315" s="53"/>
      <c r="E315" s="53"/>
      <c r="F315" s="53"/>
      <c r="G315" s="53"/>
      <c r="H315" s="53"/>
      <c r="I315" s="53"/>
      <c r="J315" s="53"/>
      <c r="K315" s="61"/>
      <c r="L315" s="53"/>
      <c r="M315" s="53" t="str">
        <f>IFERROR(__xludf.DUMMYFUNCTION("""COMPUTED_VALUE"""),"")</f>
        <v/>
      </c>
      <c r="N315" s="53"/>
      <c r="O315" s="53"/>
      <c r="P315" s="53"/>
    </row>
    <row r="316">
      <c r="A316" s="60"/>
      <c r="B316" s="52"/>
      <c r="C316" s="53"/>
      <c r="D316" s="53"/>
      <c r="E316" s="53"/>
      <c r="F316" s="53"/>
      <c r="G316" s="53"/>
      <c r="H316" s="53"/>
      <c r="I316" s="53"/>
      <c r="J316" s="53"/>
      <c r="K316" s="61"/>
      <c r="L316" s="53"/>
      <c r="M316" s="53" t="str">
        <f>IFERROR(__xludf.DUMMYFUNCTION("""COMPUTED_VALUE"""),"")</f>
        <v/>
      </c>
      <c r="N316" s="53"/>
      <c r="O316" s="53"/>
      <c r="P316" s="53"/>
    </row>
    <row r="317">
      <c r="A317" s="60"/>
      <c r="B317" s="52"/>
      <c r="C317" s="53"/>
      <c r="D317" s="53"/>
      <c r="E317" s="53"/>
      <c r="F317" s="53"/>
      <c r="G317" s="53"/>
      <c r="H317" s="53"/>
      <c r="I317" s="53"/>
      <c r="J317" s="53"/>
      <c r="K317" s="61"/>
      <c r="L317" s="53"/>
      <c r="M317" s="53" t="str">
        <f>IFERROR(__xludf.DUMMYFUNCTION("""COMPUTED_VALUE"""),"")</f>
        <v/>
      </c>
      <c r="N317" s="53"/>
      <c r="O317" s="53"/>
      <c r="P317" s="53"/>
    </row>
    <row r="318">
      <c r="A318" s="60"/>
      <c r="B318" s="52"/>
      <c r="C318" s="53"/>
      <c r="D318" s="53"/>
      <c r="E318" s="53"/>
      <c r="F318" s="53"/>
      <c r="G318" s="53"/>
      <c r="H318" s="53"/>
      <c r="I318" s="53"/>
      <c r="J318" s="53"/>
      <c r="K318" s="61"/>
      <c r="L318" s="53"/>
      <c r="M318" s="53" t="str">
        <f>IFERROR(__xludf.DUMMYFUNCTION("""COMPUTED_VALUE"""),"")</f>
        <v/>
      </c>
      <c r="N318" s="53"/>
      <c r="O318" s="53"/>
      <c r="P318" s="53"/>
    </row>
    <row r="319">
      <c r="A319" s="60"/>
      <c r="B319" s="52"/>
      <c r="C319" s="53"/>
      <c r="D319" s="53"/>
      <c r="E319" s="53"/>
      <c r="F319" s="53"/>
      <c r="G319" s="53"/>
      <c r="H319" s="53"/>
      <c r="I319" s="53"/>
      <c r="J319" s="53"/>
      <c r="K319" s="61"/>
      <c r="L319" s="53"/>
      <c r="M319" s="53" t="str">
        <f>IFERROR(__xludf.DUMMYFUNCTION("""COMPUTED_VALUE"""),"")</f>
        <v/>
      </c>
      <c r="N319" s="53"/>
      <c r="O319" s="53"/>
      <c r="P319" s="53"/>
    </row>
    <row r="320">
      <c r="A320" s="60"/>
      <c r="B320" s="52"/>
      <c r="C320" s="53"/>
      <c r="D320" s="53"/>
      <c r="E320" s="53"/>
      <c r="F320" s="53"/>
      <c r="G320" s="53"/>
      <c r="H320" s="53"/>
      <c r="I320" s="53"/>
      <c r="J320" s="53"/>
      <c r="K320" s="61"/>
      <c r="L320" s="53"/>
      <c r="M320" s="53" t="str">
        <f>IFERROR(__xludf.DUMMYFUNCTION("""COMPUTED_VALUE"""),"")</f>
        <v/>
      </c>
      <c r="N320" s="53"/>
      <c r="O320" s="53"/>
      <c r="P320" s="53"/>
    </row>
    <row r="321">
      <c r="A321" s="60"/>
      <c r="B321" s="52"/>
      <c r="C321" s="53"/>
      <c r="D321" s="53"/>
      <c r="E321" s="53"/>
      <c r="F321" s="53"/>
      <c r="G321" s="53"/>
      <c r="H321" s="53"/>
      <c r="I321" s="53"/>
      <c r="J321" s="53"/>
      <c r="K321" s="61"/>
      <c r="L321" s="53"/>
      <c r="M321" s="53" t="str">
        <f>IFERROR(__xludf.DUMMYFUNCTION("""COMPUTED_VALUE"""),"")</f>
        <v/>
      </c>
      <c r="N321" s="53"/>
      <c r="O321" s="53"/>
      <c r="P321" s="53"/>
    </row>
    <row r="322">
      <c r="A322" s="60"/>
      <c r="B322" s="52"/>
      <c r="C322" s="53"/>
      <c r="D322" s="53"/>
      <c r="E322" s="53"/>
      <c r="F322" s="53"/>
      <c r="G322" s="53"/>
      <c r="H322" s="53"/>
      <c r="I322" s="53"/>
      <c r="J322" s="53"/>
      <c r="K322" s="61"/>
      <c r="L322" s="53"/>
      <c r="M322" s="53" t="str">
        <f>IFERROR(__xludf.DUMMYFUNCTION("""COMPUTED_VALUE"""),"")</f>
        <v/>
      </c>
      <c r="N322" s="53"/>
      <c r="O322" s="53"/>
      <c r="P322" s="53"/>
    </row>
    <row r="323">
      <c r="A323" s="60"/>
      <c r="B323" s="52"/>
      <c r="C323" s="53"/>
      <c r="D323" s="53"/>
      <c r="E323" s="53"/>
      <c r="F323" s="53"/>
      <c r="G323" s="53"/>
      <c r="H323" s="53"/>
      <c r="I323" s="53"/>
      <c r="J323" s="53"/>
      <c r="K323" s="61"/>
      <c r="L323" s="53"/>
      <c r="M323" s="53" t="str">
        <f>IFERROR(__xludf.DUMMYFUNCTION("""COMPUTED_VALUE"""),"")</f>
        <v/>
      </c>
      <c r="N323" s="53"/>
      <c r="O323" s="53"/>
      <c r="P323" s="53"/>
    </row>
    <row r="324">
      <c r="A324" s="60"/>
      <c r="B324" s="52"/>
      <c r="C324" s="53"/>
      <c r="D324" s="53"/>
      <c r="E324" s="53"/>
      <c r="F324" s="53"/>
      <c r="G324" s="53"/>
      <c r="H324" s="53"/>
      <c r="I324" s="53"/>
      <c r="J324" s="53"/>
      <c r="K324" s="61"/>
      <c r="L324" s="53"/>
      <c r="M324" s="53" t="str">
        <f>IFERROR(__xludf.DUMMYFUNCTION("""COMPUTED_VALUE"""),"")</f>
        <v/>
      </c>
      <c r="N324" s="53"/>
      <c r="O324" s="53"/>
      <c r="P324" s="53"/>
    </row>
    <row r="325">
      <c r="A325" s="60"/>
      <c r="B325" s="52"/>
      <c r="C325" s="53"/>
      <c r="D325" s="53"/>
      <c r="E325" s="53"/>
      <c r="F325" s="53"/>
      <c r="G325" s="53"/>
      <c r="H325" s="53"/>
      <c r="I325" s="53"/>
      <c r="J325" s="53"/>
      <c r="K325" s="61"/>
      <c r="L325" s="53"/>
      <c r="M325" s="53" t="str">
        <f>IFERROR(__xludf.DUMMYFUNCTION("""COMPUTED_VALUE"""),"")</f>
        <v/>
      </c>
      <c r="N325" s="53"/>
      <c r="O325" s="53"/>
      <c r="P325" s="53"/>
    </row>
    <row r="326">
      <c r="A326" s="60"/>
      <c r="B326" s="52"/>
      <c r="C326" s="53"/>
      <c r="D326" s="53"/>
      <c r="E326" s="53"/>
      <c r="F326" s="53"/>
      <c r="G326" s="53"/>
      <c r="H326" s="53"/>
      <c r="I326" s="53"/>
      <c r="J326" s="53"/>
      <c r="K326" s="61"/>
      <c r="L326" s="53"/>
      <c r="M326" s="53" t="str">
        <f>IFERROR(__xludf.DUMMYFUNCTION("""COMPUTED_VALUE"""),"")</f>
        <v/>
      </c>
      <c r="N326" s="53"/>
      <c r="O326" s="53"/>
      <c r="P326" s="53"/>
    </row>
    <row r="327">
      <c r="A327" s="60"/>
      <c r="B327" s="52"/>
      <c r="C327" s="53"/>
      <c r="D327" s="53"/>
      <c r="E327" s="53"/>
      <c r="F327" s="53"/>
      <c r="G327" s="53"/>
      <c r="H327" s="53"/>
      <c r="I327" s="53"/>
      <c r="J327" s="53"/>
      <c r="K327" s="61"/>
      <c r="L327" s="53"/>
      <c r="M327" s="53" t="str">
        <f>IFERROR(__xludf.DUMMYFUNCTION("""COMPUTED_VALUE"""),"")</f>
        <v/>
      </c>
      <c r="N327" s="53"/>
      <c r="O327" s="53"/>
      <c r="P327" s="53"/>
    </row>
    <row r="328">
      <c r="A328" s="60"/>
      <c r="B328" s="52"/>
      <c r="C328" s="53"/>
      <c r="D328" s="53"/>
      <c r="E328" s="53"/>
      <c r="F328" s="53"/>
      <c r="G328" s="53"/>
      <c r="H328" s="53"/>
      <c r="I328" s="53"/>
      <c r="J328" s="53"/>
      <c r="K328" s="61"/>
      <c r="L328" s="53"/>
      <c r="M328" s="53" t="str">
        <f>IFERROR(__xludf.DUMMYFUNCTION("""COMPUTED_VALUE"""),"")</f>
        <v/>
      </c>
      <c r="N328" s="53"/>
      <c r="O328" s="53"/>
      <c r="P328" s="53"/>
    </row>
    <row r="329">
      <c r="A329" s="60"/>
      <c r="B329" s="52"/>
      <c r="C329" s="53"/>
      <c r="D329" s="53"/>
      <c r="E329" s="53"/>
      <c r="F329" s="53"/>
      <c r="G329" s="53"/>
      <c r="H329" s="53"/>
      <c r="I329" s="53"/>
      <c r="J329" s="53"/>
      <c r="K329" s="61"/>
      <c r="L329" s="53"/>
      <c r="M329" s="53" t="str">
        <f>IFERROR(__xludf.DUMMYFUNCTION("""COMPUTED_VALUE"""),"")</f>
        <v/>
      </c>
      <c r="N329" s="53"/>
      <c r="O329" s="53"/>
      <c r="P329" s="53"/>
    </row>
    <row r="330">
      <c r="A330" s="60"/>
      <c r="B330" s="52"/>
      <c r="C330" s="53"/>
      <c r="D330" s="53"/>
      <c r="E330" s="53"/>
      <c r="F330" s="53"/>
      <c r="G330" s="53"/>
      <c r="H330" s="53"/>
      <c r="I330" s="53"/>
      <c r="J330" s="53"/>
      <c r="K330" s="61"/>
      <c r="L330" s="53"/>
      <c r="M330" s="53" t="str">
        <f>IFERROR(__xludf.DUMMYFUNCTION("""COMPUTED_VALUE"""),"")</f>
        <v/>
      </c>
      <c r="N330" s="53"/>
      <c r="O330" s="53"/>
      <c r="P330" s="53"/>
    </row>
    <row r="331">
      <c r="A331" s="60"/>
      <c r="B331" s="52"/>
      <c r="C331" s="53"/>
      <c r="D331" s="53"/>
      <c r="E331" s="53"/>
      <c r="F331" s="53"/>
      <c r="G331" s="53"/>
      <c r="H331" s="53"/>
      <c r="I331" s="53"/>
      <c r="J331" s="53"/>
      <c r="K331" s="61"/>
      <c r="L331" s="53"/>
      <c r="M331" s="53" t="str">
        <f>IFERROR(__xludf.DUMMYFUNCTION("""COMPUTED_VALUE"""),"")</f>
        <v/>
      </c>
      <c r="N331" s="53"/>
      <c r="O331" s="53"/>
      <c r="P331" s="53"/>
    </row>
    <row r="332">
      <c r="A332" s="60"/>
      <c r="B332" s="52"/>
      <c r="C332" s="53"/>
      <c r="D332" s="53"/>
      <c r="E332" s="53"/>
      <c r="F332" s="53"/>
      <c r="G332" s="53"/>
      <c r="H332" s="53"/>
      <c r="I332" s="53"/>
      <c r="J332" s="53"/>
      <c r="K332" s="61"/>
      <c r="L332" s="53"/>
      <c r="M332" s="53" t="str">
        <f>IFERROR(__xludf.DUMMYFUNCTION("""COMPUTED_VALUE"""),"")</f>
        <v/>
      </c>
      <c r="N332" s="53"/>
      <c r="O332" s="53"/>
      <c r="P332" s="53"/>
    </row>
    <row r="333">
      <c r="A333" s="60"/>
      <c r="B333" s="52"/>
      <c r="C333" s="53"/>
      <c r="D333" s="53"/>
      <c r="E333" s="53"/>
      <c r="F333" s="53"/>
      <c r="G333" s="53"/>
      <c r="H333" s="53"/>
      <c r="I333" s="53"/>
      <c r="J333" s="53"/>
      <c r="K333" s="61"/>
      <c r="L333" s="53"/>
      <c r="M333" s="53" t="str">
        <f>IFERROR(__xludf.DUMMYFUNCTION("""COMPUTED_VALUE"""),"")</f>
        <v/>
      </c>
      <c r="N333" s="53"/>
      <c r="O333" s="53"/>
      <c r="P333" s="53"/>
    </row>
    <row r="334">
      <c r="A334" s="60"/>
      <c r="B334" s="52"/>
      <c r="C334" s="53"/>
      <c r="D334" s="53"/>
      <c r="E334" s="53"/>
      <c r="F334" s="53"/>
      <c r="G334" s="53"/>
      <c r="H334" s="53"/>
      <c r="I334" s="53"/>
      <c r="J334" s="53"/>
      <c r="K334" s="61"/>
      <c r="L334" s="53"/>
      <c r="M334" s="53" t="str">
        <f>IFERROR(__xludf.DUMMYFUNCTION("""COMPUTED_VALUE"""),"")</f>
        <v/>
      </c>
      <c r="N334" s="53"/>
      <c r="O334" s="53"/>
      <c r="P334" s="53"/>
    </row>
    <row r="335">
      <c r="A335" s="60"/>
      <c r="B335" s="52"/>
      <c r="C335" s="53"/>
      <c r="D335" s="53"/>
      <c r="E335" s="53"/>
      <c r="F335" s="53"/>
      <c r="G335" s="53"/>
      <c r="H335" s="53"/>
      <c r="I335" s="53"/>
      <c r="J335" s="53"/>
      <c r="K335" s="61"/>
      <c r="L335" s="53"/>
      <c r="M335" s="53" t="str">
        <f>IFERROR(__xludf.DUMMYFUNCTION("""COMPUTED_VALUE"""),"")</f>
        <v/>
      </c>
      <c r="N335" s="53"/>
      <c r="O335" s="53"/>
      <c r="P335" s="53"/>
    </row>
    <row r="336">
      <c r="A336" s="60"/>
      <c r="B336" s="52"/>
      <c r="C336" s="53"/>
      <c r="D336" s="53"/>
      <c r="E336" s="53"/>
      <c r="F336" s="53"/>
      <c r="G336" s="53"/>
      <c r="H336" s="53"/>
      <c r="I336" s="53"/>
      <c r="J336" s="53"/>
      <c r="K336" s="61"/>
      <c r="L336" s="53"/>
      <c r="M336" s="53" t="str">
        <f>IFERROR(__xludf.DUMMYFUNCTION("""COMPUTED_VALUE"""),"")</f>
        <v/>
      </c>
      <c r="N336" s="53"/>
      <c r="O336" s="53"/>
      <c r="P336" s="53"/>
    </row>
    <row r="337">
      <c r="A337" s="60"/>
      <c r="B337" s="52"/>
      <c r="C337" s="53"/>
      <c r="D337" s="53"/>
      <c r="E337" s="53"/>
      <c r="F337" s="53"/>
      <c r="G337" s="53"/>
      <c r="H337" s="53"/>
      <c r="I337" s="53"/>
      <c r="J337" s="53"/>
      <c r="K337" s="61"/>
      <c r="L337" s="53"/>
      <c r="M337" s="53" t="str">
        <f>IFERROR(__xludf.DUMMYFUNCTION("""COMPUTED_VALUE"""),"")</f>
        <v/>
      </c>
      <c r="N337" s="53"/>
      <c r="O337" s="53"/>
      <c r="P337" s="53"/>
    </row>
    <row r="338">
      <c r="A338" s="60"/>
      <c r="B338" s="52"/>
      <c r="C338" s="53"/>
      <c r="D338" s="53"/>
      <c r="E338" s="53"/>
      <c r="F338" s="53"/>
      <c r="G338" s="53"/>
      <c r="H338" s="53"/>
      <c r="I338" s="53"/>
      <c r="J338" s="53"/>
      <c r="K338" s="61"/>
      <c r="L338" s="53"/>
      <c r="M338" s="53" t="str">
        <f>IFERROR(__xludf.DUMMYFUNCTION("""COMPUTED_VALUE"""),"")</f>
        <v/>
      </c>
      <c r="N338" s="53"/>
      <c r="O338" s="53"/>
      <c r="P338" s="53"/>
    </row>
    <row r="339">
      <c r="A339" s="60"/>
      <c r="B339" s="52"/>
      <c r="C339" s="53"/>
      <c r="D339" s="53"/>
      <c r="E339" s="53"/>
      <c r="F339" s="53"/>
      <c r="G339" s="53"/>
      <c r="H339" s="53"/>
      <c r="I339" s="53"/>
      <c r="J339" s="53"/>
      <c r="K339" s="61"/>
      <c r="L339" s="53"/>
      <c r="M339" s="53" t="str">
        <f>IFERROR(__xludf.DUMMYFUNCTION("""COMPUTED_VALUE"""),"")</f>
        <v/>
      </c>
      <c r="N339" s="53"/>
      <c r="O339" s="53"/>
      <c r="P339" s="53"/>
    </row>
    <row r="340">
      <c r="A340" s="60"/>
      <c r="B340" s="52"/>
      <c r="C340" s="53"/>
      <c r="D340" s="53"/>
      <c r="E340" s="53"/>
      <c r="F340" s="53"/>
      <c r="G340" s="53"/>
      <c r="H340" s="53"/>
      <c r="I340" s="53"/>
      <c r="J340" s="53"/>
      <c r="K340" s="61"/>
      <c r="L340" s="53"/>
      <c r="M340" s="53" t="str">
        <f>IFERROR(__xludf.DUMMYFUNCTION("""COMPUTED_VALUE"""),"")</f>
        <v/>
      </c>
      <c r="N340" s="53"/>
      <c r="O340" s="53"/>
      <c r="P340" s="53"/>
    </row>
    <row r="341">
      <c r="A341" s="60"/>
      <c r="B341" s="52"/>
      <c r="C341" s="53"/>
      <c r="D341" s="53"/>
      <c r="E341" s="53"/>
      <c r="F341" s="53"/>
      <c r="G341" s="53"/>
      <c r="H341" s="53"/>
      <c r="I341" s="53"/>
      <c r="J341" s="53"/>
      <c r="K341" s="61"/>
      <c r="L341" s="53"/>
      <c r="M341" s="53" t="str">
        <f>IFERROR(__xludf.DUMMYFUNCTION("""COMPUTED_VALUE"""),"")</f>
        <v/>
      </c>
      <c r="N341" s="53"/>
      <c r="O341" s="53"/>
      <c r="P341" s="53"/>
    </row>
    <row r="342">
      <c r="A342" s="60"/>
      <c r="B342" s="52"/>
      <c r="C342" s="53"/>
      <c r="D342" s="53"/>
      <c r="E342" s="53"/>
      <c r="F342" s="53"/>
      <c r="G342" s="53"/>
      <c r="H342" s="53"/>
      <c r="I342" s="53"/>
      <c r="J342" s="53"/>
      <c r="K342" s="61"/>
      <c r="L342" s="53"/>
      <c r="M342" s="53" t="str">
        <f>IFERROR(__xludf.DUMMYFUNCTION("""COMPUTED_VALUE"""),"")</f>
        <v/>
      </c>
      <c r="N342" s="53"/>
      <c r="O342" s="53"/>
      <c r="P342" s="53"/>
    </row>
    <row r="343">
      <c r="A343" s="60"/>
      <c r="B343" s="52"/>
      <c r="C343" s="53"/>
      <c r="D343" s="53"/>
      <c r="E343" s="53"/>
      <c r="F343" s="53"/>
      <c r="G343" s="53"/>
      <c r="H343" s="53"/>
      <c r="I343" s="53"/>
      <c r="J343" s="53"/>
      <c r="K343" s="61"/>
      <c r="L343" s="53"/>
      <c r="M343" s="53" t="str">
        <f>IFERROR(__xludf.DUMMYFUNCTION("""COMPUTED_VALUE"""),"")</f>
        <v/>
      </c>
      <c r="N343" s="53"/>
      <c r="O343" s="53"/>
      <c r="P343" s="53"/>
    </row>
    <row r="344">
      <c r="A344" s="60"/>
      <c r="B344" s="52"/>
      <c r="C344" s="53"/>
      <c r="D344" s="53"/>
      <c r="E344" s="53"/>
      <c r="F344" s="53"/>
      <c r="G344" s="53"/>
      <c r="H344" s="53"/>
      <c r="I344" s="53"/>
      <c r="J344" s="53"/>
      <c r="K344" s="61"/>
      <c r="L344" s="53"/>
      <c r="M344" s="53" t="str">
        <f>IFERROR(__xludf.DUMMYFUNCTION("""COMPUTED_VALUE"""),"")</f>
        <v/>
      </c>
      <c r="N344" s="53"/>
      <c r="O344" s="53"/>
      <c r="P344" s="53"/>
    </row>
    <row r="345">
      <c r="A345" s="60"/>
      <c r="B345" s="52"/>
      <c r="C345" s="53"/>
      <c r="D345" s="53"/>
      <c r="E345" s="53"/>
      <c r="F345" s="53"/>
      <c r="G345" s="53"/>
      <c r="H345" s="53"/>
      <c r="I345" s="53"/>
      <c r="J345" s="53"/>
      <c r="K345" s="61"/>
      <c r="L345" s="53"/>
      <c r="M345" s="53" t="str">
        <f>IFERROR(__xludf.DUMMYFUNCTION("""COMPUTED_VALUE"""),"")</f>
        <v/>
      </c>
      <c r="N345" s="53"/>
      <c r="O345" s="53"/>
      <c r="P345" s="53"/>
    </row>
    <row r="346">
      <c r="A346" s="60"/>
      <c r="B346" s="52"/>
      <c r="C346" s="53"/>
      <c r="D346" s="53"/>
      <c r="E346" s="53"/>
      <c r="F346" s="53"/>
      <c r="G346" s="53"/>
      <c r="H346" s="53"/>
      <c r="I346" s="53"/>
      <c r="J346" s="53"/>
      <c r="K346" s="61"/>
      <c r="L346" s="53"/>
      <c r="M346" s="53" t="str">
        <f>IFERROR(__xludf.DUMMYFUNCTION("""COMPUTED_VALUE"""),"")</f>
        <v/>
      </c>
      <c r="N346" s="53"/>
      <c r="O346" s="53"/>
      <c r="P346" s="53"/>
    </row>
    <row r="347">
      <c r="A347" s="60"/>
      <c r="B347" s="52"/>
      <c r="C347" s="53"/>
      <c r="D347" s="53"/>
      <c r="E347" s="53"/>
      <c r="F347" s="53"/>
      <c r="G347" s="53"/>
      <c r="H347" s="53"/>
      <c r="I347" s="53"/>
      <c r="J347" s="53"/>
      <c r="K347" s="61"/>
      <c r="L347" s="53"/>
      <c r="M347" s="53" t="str">
        <f>IFERROR(__xludf.DUMMYFUNCTION("""COMPUTED_VALUE"""),"")</f>
        <v/>
      </c>
      <c r="N347" s="53"/>
      <c r="O347" s="53"/>
      <c r="P347" s="53"/>
    </row>
    <row r="348">
      <c r="A348" s="60"/>
      <c r="B348" s="52"/>
      <c r="C348" s="53"/>
      <c r="D348" s="53"/>
      <c r="E348" s="53"/>
      <c r="F348" s="53"/>
      <c r="G348" s="53"/>
      <c r="H348" s="53"/>
      <c r="I348" s="53"/>
      <c r="J348" s="53"/>
      <c r="K348" s="61"/>
      <c r="L348" s="53"/>
      <c r="M348" s="53" t="str">
        <f>IFERROR(__xludf.DUMMYFUNCTION("""COMPUTED_VALUE"""),"")</f>
        <v/>
      </c>
      <c r="N348" s="53"/>
      <c r="O348" s="53"/>
      <c r="P348" s="53"/>
    </row>
    <row r="349">
      <c r="A349" s="60"/>
      <c r="B349" s="52"/>
      <c r="C349" s="53"/>
      <c r="D349" s="53"/>
      <c r="E349" s="53"/>
      <c r="F349" s="53"/>
      <c r="G349" s="53"/>
      <c r="H349" s="53"/>
      <c r="I349" s="53"/>
      <c r="J349" s="53"/>
      <c r="K349" s="61"/>
      <c r="L349" s="53"/>
      <c r="M349" s="53" t="str">
        <f>IFERROR(__xludf.DUMMYFUNCTION("""COMPUTED_VALUE"""),"")</f>
        <v/>
      </c>
      <c r="N349" s="53"/>
      <c r="O349" s="53"/>
      <c r="P349" s="53"/>
    </row>
    <row r="350">
      <c r="A350" s="60"/>
      <c r="B350" s="52"/>
      <c r="C350" s="53"/>
      <c r="D350" s="53"/>
      <c r="E350" s="53"/>
      <c r="F350" s="53"/>
      <c r="G350" s="53"/>
      <c r="H350" s="53"/>
      <c r="I350" s="53"/>
      <c r="J350" s="53"/>
      <c r="K350" s="61"/>
      <c r="L350" s="53"/>
      <c r="M350" s="53" t="str">
        <f>IFERROR(__xludf.DUMMYFUNCTION("""COMPUTED_VALUE"""),"")</f>
        <v/>
      </c>
      <c r="N350" s="53"/>
      <c r="O350" s="53"/>
      <c r="P350" s="53"/>
    </row>
    <row r="351">
      <c r="A351" s="60"/>
      <c r="B351" s="52"/>
      <c r="C351" s="53"/>
      <c r="D351" s="53"/>
      <c r="E351" s="53"/>
      <c r="F351" s="53"/>
      <c r="G351" s="53"/>
      <c r="H351" s="53"/>
      <c r="I351" s="53"/>
      <c r="J351" s="53"/>
      <c r="K351" s="61"/>
      <c r="L351" s="53"/>
      <c r="M351" s="53" t="str">
        <f>IFERROR(__xludf.DUMMYFUNCTION("""COMPUTED_VALUE"""),"")</f>
        <v/>
      </c>
      <c r="N351" s="53"/>
      <c r="O351" s="53"/>
      <c r="P351" s="53"/>
    </row>
    <row r="352">
      <c r="A352" s="60"/>
      <c r="B352" s="52"/>
      <c r="C352" s="53"/>
      <c r="D352" s="53"/>
      <c r="E352" s="53"/>
      <c r="F352" s="53"/>
      <c r="G352" s="53"/>
      <c r="H352" s="53"/>
      <c r="I352" s="53"/>
      <c r="J352" s="53"/>
      <c r="K352" s="61"/>
      <c r="L352" s="53"/>
      <c r="M352" s="53" t="str">
        <f>IFERROR(__xludf.DUMMYFUNCTION("""COMPUTED_VALUE"""),"")</f>
        <v/>
      </c>
      <c r="N352" s="53"/>
      <c r="O352" s="53"/>
      <c r="P352" s="53"/>
    </row>
    <row r="353">
      <c r="A353" s="60"/>
      <c r="B353" s="52"/>
      <c r="C353" s="53"/>
      <c r="D353" s="53"/>
      <c r="E353" s="53"/>
      <c r="F353" s="53"/>
      <c r="G353" s="53"/>
      <c r="H353" s="53"/>
      <c r="I353" s="53"/>
      <c r="J353" s="53"/>
      <c r="K353" s="61"/>
      <c r="L353" s="53"/>
      <c r="M353" s="53" t="str">
        <f>IFERROR(__xludf.DUMMYFUNCTION("""COMPUTED_VALUE"""),"")</f>
        <v/>
      </c>
      <c r="N353" s="53"/>
      <c r="O353" s="53"/>
      <c r="P353" s="53"/>
    </row>
    <row r="354">
      <c r="A354" s="60"/>
      <c r="B354" s="52"/>
      <c r="C354" s="53"/>
      <c r="D354" s="53"/>
      <c r="E354" s="53"/>
      <c r="F354" s="53"/>
      <c r="G354" s="53"/>
      <c r="H354" s="53"/>
      <c r="I354" s="53"/>
      <c r="J354" s="53"/>
      <c r="K354" s="61"/>
      <c r="L354" s="53"/>
      <c r="M354" s="53" t="str">
        <f>IFERROR(__xludf.DUMMYFUNCTION("""COMPUTED_VALUE"""),"")</f>
        <v/>
      </c>
      <c r="N354" s="53"/>
      <c r="O354" s="53"/>
      <c r="P354" s="53"/>
    </row>
    <row r="355">
      <c r="A355" s="60"/>
      <c r="B355" s="52"/>
      <c r="C355" s="53"/>
      <c r="D355" s="53"/>
      <c r="E355" s="53"/>
      <c r="F355" s="53"/>
      <c r="G355" s="53"/>
      <c r="H355" s="53"/>
      <c r="I355" s="53"/>
      <c r="J355" s="53"/>
      <c r="K355" s="61"/>
      <c r="L355" s="53"/>
      <c r="M355" s="53" t="str">
        <f>IFERROR(__xludf.DUMMYFUNCTION("""COMPUTED_VALUE"""),"")</f>
        <v/>
      </c>
      <c r="N355" s="53"/>
      <c r="O355" s="53"/>
      <c r="P355" s="53"/>
    </row>
    <row r="356">
      <c r="A356" s="60"/>
      <c r="B356" s="52"/>
      <c r="C356" s="53"/>
      <c r="D356" s="53"/>
      <c r="E356" s="53"/>
      <c r="F356" s="53"/>
      <c r="G356" s="53"/>
      <c r="H356" s="53"/>
      <c r="I356" s="53"/>
      <c r="J356" s="53"/>
      <c r="K356" s="61"/>
      <c r="L356" s="53"/>
      <c r="M356" s="53" t="str">
        <f>IFERROR(__xludf.DUMMYFUNCTION("""COMPUTED_VALUE"""),"")</f>
        <v/>
      </c>
      <c r="N356" s="53"/>
      <c r="O356" s="53"/>
      <c r="P356" s="53"/>
    </row>
    <row r="357">
      <c r="A357" s="60"/>
      <c r="B357" s="52"/>
      <c r="C357" s="53"/>
      <c r="D357" s="53"/>
      <c r="E357" s="53"/>
      <c r="F357" s="53"/>
      <c r="G357" s="53"/>
      <c r="H357" s="53"/>
      <c r="I357" s="53"/>
      <c r="J357" s="53"/>
      <c r="K357" s="61"/>
      <c r="L357" s="53"/>
      <c r="M357" s="53" t="str">
        <f>IFERROR(__xludf.DUMMYFUNCTION("""COMPUTED_VALUE"""),"")</f>
        <v/>
      </c>
      <c r="N357" s="53"/>
      <c r="O357" s="53"/>
      <c r="P357" s="53"/>
    </row>
    <row r="358">
      <c r="A358" s="60"/>
      <c r="B358" s="52"/>
      <c r="C358" s="53"/>
      <c r="D358" s="53"/>
      <c r="E358" s="53"/>
      <c r="F358" s="53"/>
      <c r="G358" s="53"/>
      <c r="H358" s="53"/>
      <c r="I358" s="53"/>
      <c r="J358" s="53"/>
      <c r="K358" s="61"/>
      <c r="L358" s="53"/>
      <c r="M358" s="53" t="str">
        <f>IFERROR(__xludf.DUMMYFUNCTION("""COMPUTED_VALUE"""),"")</f>
        <v/>
      </c>
      <c r="N358" s="53"/>
      <c r="O358" s="53"/>
      <c r="P358" s="53"/>
    </row>
    <row r="359">
      <c r="A359" s="60"/>
      <c r="B359" s="52"/>
      <c r="C359" s="53"/>
      <c r="D359" s="53"/>
      <c r="E359" s="53"/>
      <c r="F359" s="53"/>
      <c r="G359" s="53"/>
      <c r="H359" s="53"/>
      <c r="I359" s="53"/>
      <c r="J359" s="53"/>
      <c r="K359" s="61"/>
      <c r="L359" s="53"/>
      <c r="M359" s="53" t="str">
        <f>IFERROR(__xludf.DUMMYFUNCTION("""COMPUTED_VALUE"""),"")</f>
        <v/>
      </c>
      <c r="N359" s="53"/>
      <c r="O359" s="53"/>
      <c r="P359" s="53"/>
    </row>
    <row r="360">
      <c r="A360" s="60"/>
      <c r="B360" s="52"/>
      <c r="C360" s="53"/>
      <c r="D360" s="53"/>
      <c r="E360" s="53"/>
      <c r="F360" s="53"/>
      <c r="G360" s="53"/>
      <c r="H360" s="53"/>
      <c r="I360" s="53"/>
      <c r="J360" s="53"/>
      <c r="K360" s="61"/>
      <c r="L360" s="53"/>
      <c r="M360" s="53" t="str">
        <f>IFERROR(__xludf.DUMMYFUNCTION("""COMPUTED_VALUE"""),"")</f>
        <v/>
      </c>
      <c r="N360" s="53"/>
      <c r="O360" s="53"/>
      <c r="P360" s="53"/>
    </row>
    <row r="361">
      <c r="A361" s="60"/>
      <c r="B361" s="52"/>
      <c r="C361" s="53"/>
      <c r="D361" s="53"/>
      <c r="E361" s="53"/>
      <c r="F361" s="53"/>
      <c r="G361" s="53"/>
      <c r="H361" s="53"/>
      <c r="I361" s="53"/>
      <c r="J361" s="53"/>
      <c r="K361" s="61"/>
      <c r="L361" s="53"/>
      <c r="M361" s="53" t="str">
        <f>IFERROR(__xludf.DUMMYFUNCTION("""COMPUTED_VALUE"""),"")</f>
        <v/>
      </c>
      <c r="N361" s="53"/>
      <c r="O361" s="53"/>
      <c r="P361" s="53"/>
    </row>
    <row r="362">
      <c r="A362" s="60"/>
      <c r="B362" s="52"/>
      <c r="C362" s="53"/>
      <c r="D362" s="53"/>
      <c r="E362" s="53"/>
      <c r="F362" s="53"/>
      <c r="G362" s="53"/>
      <c r="H362" s="53"/>
      <c r="I362" s="53"/>
      <c r="J362" s="53"/>
      <c r="K362" s="61"/>
      <c r="L362" s="53"/>
      <c r="M362" s="53" t="str">
        <f>IFERROR(__xludf.DUMMYFUNCTION("""COMPUTED_VALUE"""),"")</f>
        <v/>
      </c>
      <c r="N362" s="53"/>
      <c r="O362" s="53"/>
      <c r="P362" s="53"/>
    </row>
    <row r="363">
      <c r="A363" s="60"/>
      <c r="B363" s="52"/>
      <c r="C363" s="53"/>
      <c r="D363" s="53"/>
      <c r="E363" s="53"/>
      <c r="F363" s="53"/>
      <c r="G363" s="53"/>
      <c r="H363" s="53"/>
      <c r="I363" s="53"/>
      <c r="J363" s="53"/>
      <c r="K363" s="61"/>
      <c r="L363" s="53"/>
      <c r="M363" s="53" t="str">
        <f>IFERROR(__xludf.DUMMYFUNCTION("""COMPUTED_VALUE"""),"")</f>
        <v/>
      </c>
      <c r="N363" s="53"/>
      <c r="O363" s="53"/>
      <c r="P363" s="53"/>
    </row>
    <row r="364">
      <c r="A364" s="60"/>
      <c r="B364" s="52"/>
      <c r="C364" s="53"/>
      <c r="D364" s="53"/>
      <c r="E364" s="53"/>
      <c r="F364" s="53"/>
      <c r="G364" s="53"/>
      <c r="H364" s="53"/>
      <c r="I364" s="53"/>
      <c r="J364" s="53"/>
      <c r="K364" s="61"/>
      <c r="L364" s="53"/>
      <c r="M364" s="53" t="str">
        <f>IFERROR(__xludf.DUMMYFUNCTION("""COMPUTED_VALUE"""),"")</f>
        <v/>
      </c>
      <c r="N364" s="53"/>
      <c r="O364" s="53"/>
      <c r="P364" s="53"/>
    </row>
    <row r="365">
      <c r="A365" s="60"/>
      <c r="B365" s="52"/>
      <c r="C365" s="53"/>
      <c r="D365" s="53"/>
      <c r="E365" s="53"/>
      <c r="F365" s="53"/>
      <c r="G365" s="53"/>
      <c r="H365" s="53"/>
      <c r="I365" s="53"/>
      <c r="J365" s="53"/>
      <c r="K365" s="61"/>
      <c r="L365" s="53"/>
      <c r="M365" s="53" t="str">
        <f>IFERROR(__xludf.DUMMYFUNCTION("""COMPUTED_VALUE"""),"")</f>
        <v/>
      </c>
      <c r="N365" s="53"/>
      <c r="O365" s="53"/>
      <c r="P365" s="53"/>
    </row>
    <row r="366">
      <c r="A366" s="60"/>
      <c r="B366" s="52"/>
      <c r="C366" s="53"/>
      <c r="D366" s="53"/>
      <c r="E366" s="53"/>
      <c r="F366" s="53"/>
      <c r="G366" s="53"/>
      <c r="H366" s="53"/>
      <c r="I366" s="53"/>
      <c r="J366" s="53"/>
      <c r="K366" s="61"/>
      <c r="L366" s="53"/>
      <c r="M366" s="53" t="str">
        <f>IFERROR(__xludf.DUMMYFUNCTION("""COMPUTED_VALUE"""),"")</f>
        <v/>
      </c>
      <c r="N366" s="53"/>
      <c r="O366" s="53"/>
      <c r="P366" s="53"/>
    </row>
    <row r="367">
      <c r="A367" s="60"/>
      <c r="B367" s="52"/>
      <c r="C367" s="53"/>
      <c r="D367" s="53"/>
      <c r="E367" s="53"/>
      <c r="F367" s="53"/>
      <c r="G367" s="53"/>
      <c r="H367" s="53"/>
      <c r="I367" s="53"/>
      <c r="J367" s="53"/>
      <c r="K367" s="61"/>
      <c r="L367" s="53"/>
      <c r="M367" s="53" t="str">
        <f>IFERROR(__xludf.DUMMYFUNCTION("""COMPUTED_VALUE"""),"")</f>
        <v/>
      </c>
      <c r="N367" s="53"/>
      <c r="O367" s="53"/>
      <c r="P367" s="53"/>
    </row>
    <row r="368">
      <c r="A368" s="60"/>
      <c r="B368" s="52"/>
      <c r="C368" s="53"/>
      <c r="D368" s="53"/>
      <c r="E368" s="53"/>
      <c r="F368" s="53"/>
      <c r="G368" s="53"/>
      <c r="H368" s="53"/>
      <c r="I368" s="53"/>
      <c r="J368" s="53"/>
      <c r="K368" s="61"/>
      <c r="L368" s="53"/>
      <c r="M368" s="53" t="str">
        <f>IFERROR(__xludf.DUMMYFUNCTION("""COMPUTED_VALUE"""),"")</f>
        <v/>
      </c>
      <c r="N368" s="53"/>
      <c r="O368" s="53"/>
      <c r="P368" s="53"/>
    </row>
    <row r="369">
      <c r="A369" s="60"/>
      <c r="B369" s="52"/>
      <c r="C369" s="53"/>
      <c r="D369" s="53"/>
      <c r="E369" s="53"/>
      <c r="F369" s="53"/>
      <c r="G369" s="53"/>
      <c r="H369" s="53"/>
      <c r="I369" s="53"/>
      <c r="J369" s="53"/>
      <c r="K369" s="61"/>
      <c r="L369" s="53"/>
      <c r="M369" s="53" t="str">
        <f>IFERROR(__xludf.DUMMYFUNCTION("""COMPUTED_VALUE"""),"")</f>
        <v/>
      </c>
      <c r="N369" s="53"/>
      <c r="O369" s="53"/>
      <c r="P369" s="53"/>
    </row>
    <row r="370">
      <c r="A370" s="60"/>
      <c r="B370" s="52"/>
      <c r="C370" s="53"/>
      <c r="D370" s="53"/>
      <c r="E370" s="53"/>
      <c r="F370" s="53"/>
      <c r="G370" s="53"/>
      <c r="H370" s="53"/>
      <c r="I370" s="53"/>
      <c r="J370" s="53"/>
      <c r="K370" s="61"/>
      <c r="L370" s="53"/>
      <c r="M370" s="53" t="str">
        <f>IFERROR(__xludf.DUMMYFUNCTION("""COMPUTED_VALUE"""),"")</f>
        <v/>
      </c>
      <c r="N370" s="53"/>
      <c r="O370" s="53"/>
      <c r="P370" s="53"/>
    </row>
    <row r="371">
      <c r="A371" s="60"/>
      <c r="B371" s="52"/>
      <c r="C371" s="53"/>
      <c r="D371" s="53"/>
      <c r="E371" s="53"/>
      <c r="F371" s="53"/>
      <c r="G371" s="53"/>
      <c r="H371" s="53"/>
      <c r="I371" s="53"/>
      <c r="J371" s="53"/>
      <c r="K371" s="61"/>
      <c r="L371" s="53"/>
      <c r="M371" s="53" t="str">
        <f>IFERROR(__xludf.DUMMYFUNCTION("""COMPUTED_VALUE"""),"")</f>
        <v/>
      </c>
      <c r="N371" s="53"/>
      <c r="O371" s="53"/>
      <c r="P371" s="53"/>
    </row>
    <row r="372">
      <c r="A372" s="60"/>
      <c r="B372" s="52"/>
      <c r="C372" s="53"/>
      <c r="D372" s="53"/>
      <c r="E372" s="53"/>
      <c r="F372" s="53"/>
      <c r="G372" s="53"/>
      <c r="H372" s="53"/>
      <c r="I372" s="53"/>
      <c r="J372" s="53"/>
      <c r="K372" s="61"/>
      <c r="L372" s="53"/>
      <c r="M372" s="53" t="str">
        <f>IFERROR(__xludf.DUMMYFUNCTION("""COMPUTED_VALUE"""),"")</f>
        <v/>
      </c>
      <c r="N372" s="53"/>
      <c r="O372" s="53"/>
      <c r="P372" s="53"/>
    </row>
    <row r="373">
      <c r="A373" s="60"/>
      <c r="B373" s="52"/>
      <c r="C373" s="53"/>
      <c r="D373" s="53"/>
      <c r="E373" s="53"/>
      <c r="F373" s="53"/>
      <c r="G373" s="53"/>
      <c r="H373" s="53"/>
      <c r="I373" s="53"/>
      <c r="J373" s="53"/>
      <c r="K373" s="61"/>
      <c r="L373" s="53"/>
      <c r="M373" s="53" t="str">
        <f>IFERROR(__xludf.DUMMYFUNCTION("""COMPUTED_VALUE"""),"")</f>
        <v/>
      </c>
      <c r="N373" s="53"/>
      <c r="O373" s="53"/>
      <c r="P373" s="53"/>
    </row>
    <row r="374">
      <c r="A374" s="60"/>
      <c r="B374" s="52"/>
      <c r="C374" s="53"/>
      <c r="D374" s="53"/>
      <c r="E374" s="53"/>
      <c r="F374" s="53"/>
      <c r="G374" s="53"/>
      <c r="H374" s="53"/>
      <c r="I374" s="53"/>
      <c r="J374" s="53"/>
      <c r="K374" s="61"/>
      <c r="L374" s="53"/>
      <c r="M374" s="53" t="str">
        <f>IFERROR(__xludf.DUMMYFUNCTION("""COMPUTED_VALUE"""),"")</f>
        <v/>
      </c>
      <c r="N374" s="53"/>
      <c r="O374" s="53"/>
      <c r="P374" s="53"/>
    </row>
    <row r="375">
      <c r="A375" s="60"/>
      <c r="B375" s="52"/>
      <c r="C375" s="53"/>
      <c r="D375" s="53"/>
      <c r="E375" s="53"/>
      <c r="F375" s="53"/>
      <c r="G375" s="53"/>
      <c r="H375" s="53"/>
      <c r="I375" s="53"/>
      <c r="J375" s="53"/>
      <c r="K375" s="61"/>
      <c r="L375" s="53"/>
      <c r="M375" s="53" t="str">
        <f>IFERROR(__xludf.DUMMYFUNCTION("""COMPUTED_VALUE"""),"")</f>
        <v/>
      </c>
      <c r="N375" s="53"/>
      <c r="O375" s="53"/>
      <c r="P375" s="53"/>
    </row>
    <row r="376">
      <c r="A376" s="60"/>
      <c r="B376" s="52"/>
      <c r="C376" s="53"/>
      <c r="D376" s="53"/>
      <c r="E376" s="53"/>
      <c r="F376" s="53"/>
      <c r="G376" s="53"/>
      <c r="H376" s="53"/>
      <c r="I376" s="53"/>
      <c r="J376" s="53"/>
      <c r="K376" s="61"/>
      <c r="L376" s="53"/>
      <c r="M376" s="53" t="str">
        <f>IFERROR(__xludf.DUMMYFUNCTION("""COMPUTED_VALUE"""),"")</f>
        <v/>
      </c>
      <c r="N376" s="53"/>
      <c r="O376" s="53"/>
      <c r="P376" s="53"/>
    </row>
    <row r="377">
      <c r="A377" s="60"/>
      <c r="B377" s="52"/>
      <c r="C377" s="53"/>
      <c r="D377" s="53"/>
      <c r="E377" s="53"/>
      <c r="F377" s="53"/>
      <c r="G377" s="53"/>
      <c r="H377" s="53"/>
      <c r="I377" s="53"/>
      <c r="J377" s="53"/>
      <c r="K377" s="61"/>
      <c r="L377" s="53"/>
      <c r="M377" s="53" t="str">
        <f>IFERROR(__xludf.DUMMYFUNCTION("""COMPUTED_VALUE"""),"")</f>
        <v/>
      </c>
      <c r="N377" s="53"/>
      <c r="O377" s="53"/>
      <c r="P377" s="53"/>
    </row>
    <row r="378">
      <c r="A378" s="60"/>
      <c r="B378" s="52"/>
      <c r="C378" s="53"/>
      <c r="D378" s="53"/>
      <c r="E378" s="53"/>
      <c r="F378" s="53"/>
      <c r="G378" s="53"/>
      <c r="H378" s="53"/>
      <c r="I378" s="53"/>
      <c r="J378" s="53"/>
      <c r="K378" s="61"/>
      <c r="L378" s="53"/>
      <c r="M378" s="53" t="str">
        <f>IFERROR(__xludf.DUMMYFUNCTION("""COMPUTED_VALUE"""),"")</f>
        <v/>
      </c>
      <c r="N378" s="53"/>
      <c r="O378" s="53"/>
      <c r="P378" s="53"/>
    </row>
    <row r="379">
      <c r="A379" s="60"/>
      <c r="B379" s="52"/>
      <c r="C379" s="53"/>
      <c r="D379" s="53"/>
      <c r="E379" s="53"/>
      <c r="F379" s="53"/>
      <c r="G379" s="53"/>
      <c r="H379" s="53"/>
      <c r="I379" s="53"/>
      <c r="J379" s="53"/>
      <c r="K379" s="61"/>
      <c r="L379" s="53"/>
      <c r="M379" s="53" t="str">
        <f>IFERROR(__xludf.DUMMYFUNCTION("""COMPUTED_VALUE"""),"")</f>
        <v/>
      </c>
      <c r="N379" s="53"/>
      <c r="O379" s="53"/>
      <c r="P379" s="53"/>
    </row>
    <row r="380">
      <c r="A380" s="60"/>
      <c r="B380" s="52"/>
      <c r="C380" s="53"/>
      <c r="D380" s="53"/>
      <c r="E380" s="53"/>
      <c r="F380" s="53"/>
      <c r="G380" s="53"/>
      <c r="H380" s="53"/>
      <c r="I380" s="53"/>
      <c r="J380" s="53"/>
      <c r="K380" s="61"/>
      <c r="L380" s="53"/>
      <c r="M380" s="53" t="str">
        <f>IFERROR(__xludf.DUMMYFUNCTION("""COMPUTED_VALUE"""),"")</f>
        <v/>
      </c>
      <c r="N380" s="53"/>
      <c r="O380" s="53"/>
      <c r="P380" s="53"/>
    </row>
    <row r="381">
      <c r="A381" s="60"/>
      <c r="B381" s="52"/>
      <c r="C381" s="53"/>
      <c r="D381" s="53"/>
      <c r="E381" s="53"/>
      <c r="F381" s="53"/>
      <c r="G381" s="53"/>
      <c r="H381" s="53"/>
      <c r="I381" s="53"/>
      <c r="J381" s="53"/>
      <c r="K381" s="61"/>
      <c r="L381" s="53"/>
      <c r="M381" s="53" t="str">
        <f>IFERROR(__xludf.DUMMYFUNCTION("""COMPUTED_VALUE"""),"")</f>
        <v/>
      </c>
      <c r="N381" s="53"/>
      <c r="O381" s="53"/>
      <c r="P381" s="53"/>
    </row>
    <row r="382">
      <c r="A382" s="60"/>
      <c r="B382" s="52"/>
      <c r="C382" s="53"/>
      <c r="D382" s="53"/>
      <c r="E382" s="53"/>
      <c r="F382" s="53"/>
      <c r="G382" s="53"/>
      <c r="H382" s="53"/>
      <c r="I382" s="53"/>
      <c r="J382" s="53"/>
      <c r="K382" s="61"/>
      <c r="L382" s="53"/>
      <c r="M382" s="53" t="str">
        <f>IFERROR(__xludf.DUMMYFUNCTION("""COMPUTED_VALUE"""),"")</f>
        <v/>
      </c>
      <c r="N382" s="53"/>
      <c r="O382" s="53"/>
      <c r="P382" s="53"/>
    </row>
    <row r="383">
      <c r="A383" s="60"/>
      <c r="B383" s="52"/>
      <c r="C383" s="53"/>
      <c r="D383" s="53"/>
      <c r="E383" s="53"/>
      <c r="F383" s="53"/>
      <c r="G383" s="53"/>
      <c r="H383" s="53"/>
      <c r="I383" s="53"/>
      <c r="J383" s="53"/>
      <c r="K383" s="61"/>
      <c r="L383" s="53"/>
      <c r="M383" s="53" t="str">
        <f>IFERROR(__xludf.DUMMYFUNCTION("""COMPUTED_VALUE"""),"")</f>
        <v/>
      </c>
      <c r="N383" s="53"/>
      <c r="O383" s="53"/>
      <c r="P383" s="53"/>
    </row>
    <row r="384">
      <c r="A384" s="60"/>
      <c r="B384" s="52"/>
      <c r="C384" s="53"/>
      <c r="D384" s="53"/>
      <c r="E384" s="53"/>
      <c r="F384" s="53"/>
      <c r="G384" s="53"/>
      <c r="H384" s="53"/>
      <c r="I384" s="53"/>
      <c r="J384" s="53"/>
      <c r="K384" s="61"/>
      <c r="L384" s="53"/>
      <c r="M384" s="53" t="str">
        <f>IFERROR(__xludf.DUMMYFUNCTION("""COMPUTED_VALUE"""),"")</f>
        <v/>
      </c>
      <c r="N384" s="53"/>
      <c r="O384" s="53"/>
      <c r="P384" s="53"/>
    </row>
    <row r="385">
      <c r="A385" s="60"/>
      <c r="B385" s="52"/>
      <c r="C385" s="53"/>
      <c r="D385" s="53"/>
      <c r="E385" s="53"/>
      <c r="F385" s="53"/>
      <c r="G385" s="53"/>
      <c r="H385" s="53"/>
      <c r="I385" s="53"/>
      <c r="J385" s="53"/>
      <c r="K385" s="61"/>
      <c r="L385" s="53"/>
      <c r="M385" s="53" t="str">
        <f>IFERROR(__xludf.DUMMYFUNCTION("""COMPUTED_VALUE"""),"")</f>
        <v/>
      </c>
      <c r="N385" s="53"/>
      <c r="O385" s="53"/>
      <c r="P385" s="53"/>
    </row>
    <row r="386">
      <c r="A386" s="60"/>
      <c r="B386" s="52"/>
      <c r="C386" s="53"/>
      <c r="D386" s="53"/>
      <c r="E386" s="53"/>
      <c r="F386" s="53"/>
      <c r="G386" s="53"/>
      <c r="H386" s="53"/>
      <c r="I386" s="53"/>
      <c r="J386" s="53"/>
      <c r="K386" s="61"/>
      <c r="L386" s="53"/>
      <c r="M386" s="53" t="str">
        <f>IFERROR(__xludf.DUMMYFUNCTION("""COMPUTED_VALUE"""),"")</f>
        <v/>
      </c>
      <c r="N386" s="53"/>
      <c r="O386" s="53"/>
      <c r="P386" s="53"/>
    </row>
    <row r="387">
      <c r="A387" s="60"/>
      <c r="B387" s="52"/>
      <c r="C387" s="53"/>
      <c r="D387" s="53"/>
      <c r="E387" s="53"/>
      <c r="F387" s="53"/>
      <c r="G387" s="53"/>
      <c r="H387" s="53"/>
      <c r="I387" s="53"/>
      <c r="J387" s="53"/>
      <c r="K387" s="61"/>
      <c r="L387" s="53"/>
      <c r="M387" s="53" t="str">
        <f>IFERROR(__xludf.DUMMYFUNCTION("""COMPUTED_VALUE"""),"")</f>
        <v/>
      </c>
      <c r="N387" s="53"/>
      <c r="O387" s="53"/>
      <c r="P387" s="53"/>
    </row>
    <row r="388">
      <c r="A388" s="60"/>
      <c r="B388" s="52"/>
      <c r="C388" s="53"/>
      <c r="D388" s="53"/>
      <c r="E388" s="53"/>
      <c r="F388" s="53"/>
      <c r="G388" s="53"/>
      <c r="H388" s="53"/>
      <c r="I388" s="53"/>
      <c r="J388" s="53"/>
      <c r="K388" s="61"/>
      <c r="L388" s="53"/>
      <c r="M388" s="53" t="str">
        <f>IFERROR(__xludf.DUMMYFUNCTION("""COMPUTED_VALUE"""),"")</f>
        <v/>
      </c>
      <c r="N388" s="53"/>
      <c r="O388" s="53"/>
      <c r="P388" s="53"/>
    </row>
    <row r="389">
      <c r="A389" s="60"/>
      <c r="B389" s="52"/>
      <c r="C389" s="53"/>
      <c r="D389" s="53"/>
      <c r="E389" s="53"/>
      <c r="F389" s="53"/>
      <c r="G389" s="53"/>
      <c r="H389" s="53"/>
      <c r="I389" s="53"/>
      <c r="J389" s="53"/>
      <c r="K389" s="61"/>
      <c r="L389" s="53"/>
      <c r="M389" s="53" t="str">
        <f>IFERROR(__xludf.DUMMYFUNCTION("""COMPUTED_VALUE"""),"")</f>
        <v/>
      </c>
      <c r="N389" s="53"/>
      <c r="O389" s="53"/>
      <c r="P389" s="53"/>
    </row>
    <row r="390">
      <c r="A390" s="60"/>
      <c r="B390" s="52"/>
      <c r="C390" s="53"/>
      <c r="D390" s="53"/>
      <c r="E390" s="53"/>
      <c r="F390" s="53"/>
      <c r="G390" s="53"/>
      <c r="H390" s="53"/>
      <c r="I390" s="53"/>
      <c r="J390" s="53"/>
      <c r="K390" s="61"/>
      <c r="L390" s="53"/>
      <c r="M390" s="53" t="str">
        <f>IFERROR(__xludf.DUMMYFUNCTION("""COMPUTED_VALUE"""),"")</f>
        <v/>
      </c>
      <c r="N390" s="53"/>
      <c r="O390" s="53"/>
      <c r="P390" s="53"/>
    </row>
    <row r="391">
      <c r="A391" s="60"/>
      <c r="B391" s="52"/>
      <c r="C391" s="53"/>
      <c r="D391" s="53"/>
      <c r="E391" s="53"/>
      <c r="F391" s="53"/>
      <c r="G391" s="53"/>
      <c r="H391" s="53"/>
      <c r="I391" s="53"/>
      <c r="J391" s="53"/>
      <c r="K391" s="61"/>
      <c r="L391" s="53"/>
      <c r="M391" s="53" t="str">
        <f>IFERROR(__xludf.DUMMYFUNCTION("""COMPUTED_VALUE"""),"")</f>
        <v/>
      </c>
      <c r="N391" s="53"/>
      <c r="O391" s="53"/>
      <c r="P391" s="53"/>
    </row>
    <row r="392">
      <c r="A392" s="60"/>
      <c r="B392" s="52"/>
      <c r="C392" s="53"/>
      <c r="D392" s="53"/>
      <c r="E392" s="53"/>
      <c r="F392" s="53"/>
      <c r="G392" s="53"/>
      <c r="H392" s="53"/>
      <c r="I392" s="53"/>
      <c r="J392" s="53"/>
      <c r="K392" s="61"/>
      <c r="L392" s="53"/>
      <c r="M392" s="53" t="str">
        <f>IFERROR(__xludf.DUMMYFUNCTION("""COMPUTED_VALUE"""),"")</f>
        <v/>
      </c>
      <c r="N392" s="53"/>
      <c r="O392" s="53"/>
      <c r="P392" s="53"/>
    </row>
    <row r="393">
      <c r="A393" s="60"/>
      <c r="B393" s="52"/>
      <c r="C393" s="53"/>
      <c r="D393" s="53"/>
      <c r="E393" s="53"/>
      <c r="F393" s="53"/>
      <c r="G393" s="53"/>
      <c r="H393" s="53"/>
      <c r="I393" s="53"/>
      <c r="J393" s="53"/>
      <c r="K393" s="61"/>
      <c r="L393" s="53"/>
      <c r="M393" s="53" t="str">
        <f>IFERROR(__xludf.DUMMYFUNCTION("""COMPUTED_VALUE"""),"")</f>
        <v/>
      </c>
      <c r="N393" s="53"/>
      <c r="O393" s="53"/>
      <c r="P393" s="53"/>
    </row>
    <row r="394">
      <c r="A394" s="60"/>
      <c r="B394" s="52"/>
      <c r="C394" s="53"/>
      <c r="D394" s="53"/>
      <c r="E394" s="53"/>
      <c r="F394" s="53"/>
      <c r="G394" s="53"/>
      <c r="H394" s="53"/>
      <c r="I394" s="53"/>
      <c r="J394" s="53"/>
      <c r="K394" s="61"/>
      <c r="L394" s="53"/>
      <c r="M394" s="53" t="str">
        <f>IFERROR(__xludf.DUMMYFUNCTION("""COMPUTED_VALUE"""),"")</f>
        <v/>
      </c>
      <c r="N394" s="53"/>
      <c r="O394" s="53"/>
      <c r="P394" s="53"/>
    </row>
    <row r="395">
      <c r="A395" s="60"/>
      <c r="B395" s="52"/>
      <c r="C395" s="53"/>
      <c r="D395" s="53"/>
      <c r="E395" s="53"/>
      <c r="F395" s="53"/>
      <c r="G395" s="53"/>
      <c r="H395" s="53"/>
      <c r="I395" s="53"/>
      <c r="J395" s="53"/>
      <c r="K395" s="61"/>
      <c r="L395" s="53"/>
      <c r="M395" s="53" t="str">
        <f>IFERROR(__xludf.DUMMYFUNCTION("""COMPUTED_VALUE"""),"")</f>
        <v/>
      </c>
      <c r="N395" s="53"/>
      <c r="O395" s="53"/>
      <c r="P395" s="53"/>
    </row>
    <row r="396">
      <c r="A396" s="60"/>
      <c r="B396" s="52"/>
      <c r="C396" s="53"/>
      <c r="D396" s="53"/>
      <c r="E396" s="53"/>
      <c r="F396" s="53"/>
      <c r="G396" s="53"/>
      <c r="H396" s="53"/>
      <c r="I396" s="53"/>
      <c r="J396" s="53"/>
      <c r="K396" s="61"/>
      <c r="L396" s="53"/>
      <c r="M396" s="53" t="str">
        <f>IFERROR(__xludf.DUMMYFUNCTION("""COMPUTED_VALUE"""),"")</f>
        <v/>
      </c>
      <c r="N396" s="53"/>
      <c r="O396" s="53"/>
      <c r="P396" s="53"/>
    </row>
    <row r="397">
      <c r="A397" s="60"/>
      <c r="B397" s="52"/>
      <c r="C397" s="53"/>
      <c r="D397" s="53"/>
      <c r="E397" s="53"/>
      <c r="F397" s="53"/>
      <c r="G397" s="53"/>
      <c r="H397" s="53"/>
      <c r="I397" s="53"/>
      <c r="J397" s="53"/>
      <c r="K397" s="61"/>
      <c r="L397" s="53"/>
      <c r="M397" s="53" t="str">
        <f>IFERROR(__xludf.DUMMYFUNCTION("""COMPUTED_VALUE"""),"")</f>
        <v/>
      </c>
      <c r="N397" s="53"/>
      <c r="O397" s="53"/>
      <c r="P397" s="53"/>
    </row>
    <row r="398">
      <c r="A398" s="60"/>
      <c r="B398" s="52"/>
      <c r="C398" s="53"/>
      <c r="D398" s="53"/>
      <c r="E398" s="53"/>
      <c r="F398" s="53"/>
      <c r="G398" s="53"/>
      <c r="H398" s="53"/>
      <c r="I398" s="53"/>
      <c r="J398" s="53"/>
      <c r="K398" s="61"/>
      <c r="L398" s="53"/>
      <c r="M398" s="53" t="str">
        <f>IFERROR(__xludf.DUMMYFUNCTION("""COMPUTED_VALUE"""),"")</f>
        <v/>
      </c>
      <c r="N398" s="53"/>
      <c r="O398" s="53"/>
      <c r="P398" s="53"/>
    </row>
    <row r="399">
      <c r="A399" s="60"/>
      <c r="B399" s="52"/>
      <c r="C399" s="53"/>
      <c r="D399" s="53"/>
      <c r="E399" s="53"/>
      <c r="F399" s="53"/>
      <c r="G399" s="53"/>
      <c r="H399" s="53"/>
      <c r="I399" s="53"/>
      <c r="J399" s="53"/>
      <c r="K399" s="61"/>
      <c r="L399" s="53"/>
      <c r="M399" s="53" t="str">
        <f>IFERROR(__xludf.DUMMYFUNCTION("""COMPUTED_VALUE"""),"")</f>
        <v/>
      </c>
      <c r="N399" s="53"/>
      <c r="O399" s="53"/>
      <c r="P399" s="53"/>
    </row>
    <row r="400">
      <c r="A400" s="60"/>
      <c r="B400" s="52"/>
      <c r="C400" s="53"/>
      <c r="D400" s="53"/>
      <c r="E400" s="53"/>
      <c r="F400" s="53"/>
      <c r="G400" s="53"/>
      <c r="H400" s="53"/>
      <c r="I400" s="53"/>
      <c r="J400" s="53"/>
      <c r="K400" s="61"/>
      <c r="L400" s="53"/>
      <c r="M400" s="53" t="str">
        <f>IFERROR(__xludf.DUMMYFUNCTION("""COMPUTED_VALUE"""),"")</f>
        <v/>
      </c>
      <c r="N400" s="53"/>
      <c r="O400" s="53"/>
      <c r="P400" s="53"/>
    </row>
    <row r="401">
      <c r="A401" s="60"/>
      <c r="B401" s="52"/>
      <c r="C401" s="53"/>
      <c r="D401" s="53"/>
      <c r="E401" s="53"/>
      <c r="F401" s="53"/>
      <c r="G401" s="53"/>
      <c r="H401" s="53"/>
      <c r="I401" s="53"/>
      <c r="J401" s="53"/>
      <c r="K401" s="61"/>
      <c r="L401" s="53"/>
      <c r="M401" s="53" t="str">
        <f>IFERROR(__xludf.DUMMYFUNCTION("""COMPUTED_VALUE"""),"")</f>
        <v/>
      </c>
      <c r="N401" s="53"/>
      <c r="O401" s="53"/>
      <c r="P401" s="53"/>
    </row>
    <row r="402">
      <c r="A402" s="60"/>
      <c r="B402" s="52"/>
      <c r="C402" s="53"/>
      <c r="D402" s="53"/>
      <c r="E402" s="53"/>
      <c r="F402" s="53"/>
      <c r="G402" s="53"/>
      <c r="H402" s="53"/>
      <c r="I402" s="53"/>
      <c r="J402" s="53"/>
      <c r="K402" s="61"/>
      <c r="L402" s="53"/>
      <c r="M402" s="53" t="str">
        <f>IFERROR(__xludf.DUMMYFUNCTION("""COMPUTED_VALUE"""),"")</f>
        <v/>
      </c>
      <c r="N402" s="53"/>
      <c r="O402" s="53"/>
      <c r="P402" s="53"/>
    </row>
    <row r="403">
      <c r="A403" s="60"/>
      <c r="B403" s="52"/>
      <c r="C403" s="53"/>
      <c r="D403" s="53"/>
      <c r="E403" s="53"/>
      <c r="F403" s="53"/>
      <c r="G403" s="53"/>
      <c r="H403" s="53"/>
      <c r="I403" s="53"/>
      <c r="J403" s="53"/>
      <c r="K403" s="61"/>
      <c r="L403" s="53"/>
      <c r="M403" s="53" t="str">
        <f>IFERROR(__xludf.DUMMYFUNCTION("""COMPUTED_VALUE"""),"")</f>
        <v/>
      </c>
      <c r="N403" s="53"/>
      <c r="O403" s="53"/>
      <c r="P403" s="53"/>
    </row>
    <row r="404">
      <c r="A404" s="60"/>
      <c r="B404" s="52"/>
      <c r="C404" s="53"/>
      <c r="D404" s="53"/>
      <c r="E404" s="53"/>
      <c r="F404" s="53"/>
      <c r="G404" s="53"/>
      <c r="H404" s="53"/>
      <c r="I404" s="53"/>
      <c r="J404" s="53"/>
      <c r="K404" s="61"/>
      <c r="L404" s="53"/>
      <c r="M404" s="53" t="str">
        <f>IFERROR(__xludf.DUMMYFUNCTION("""COMPUTED_VALUE"""),"")</f>
        <v/>
      </c>
      <c r="N404" s="53"/>
      <c r="O404" s="53"/>
      <c r="P404" s="53"/>
    </row>
    <row r="405">
      <c r="A405" s="60"/>
      <c r="B405" s="52"/>
      <c r="C405" s="53"/>
      <c r="D405" s="53"/>
      <c r="E405" s="53"/>
      <c r="F405" s="53"/>
      <c r="G405" s="53"/>
      <c r="H405" s="53"/>
      <c r="I405" s="53"/>
      <c r="J405" s="53"/>
      <c r="K405" s="61"/>
      <c r="L405" s="53"/>
      <c r="M405" s="53" t="str">
        <f>IFERROR(__xludf.DUMMYFUNCTION("""COMPUTED_VALUE"""),"")</f>
        <v/>
      </c>
      <c r="N405" s="53"/>
      <c r="O405" s="53"/>
      <c r="P405" s="53"/>
    </row>
    <row r="406">
      <c r="A406" s="60"/>
      <c r="B406" s="52"/>
      <c r="C406" s="53"/>
      <c r="D406" s="53"/>
      <c r="E406" s="53"/>
      <c r="F406" s="53"/>
      <c r="G406" s="53"/>
      <c r="H406" s="53"/>
      <c r="I406" s="53"/>
      <c r="J406" s="53"/>
      <c r="K406" s="61"/>
      <c r="L406" s="53"/>
      <c r="M406" s="53" t="str">
        <f>IFERROR(__xludf.DUMMYFUNCTION("""COMPUTED_VALUE"""),"")</f>
        <v/>
      </c>
      <c r="N406" s="53"/>
      <c r="O406" s="53"/>
      <c r="P406" s="53"/>
    </row>
    <row r="407">
      <c r="A407" s="60"/>
      <c r="B407" s="52"/>
      <c r="C407" s="53"/>
      <c r="D407" s="53"/>
      <c r="E407" s="53"/>
      <c r="F407" s="53"/>
      <c r="G407" s="53"/>
      <c r="H407" s="53"/>
      <c r="I407" s="53"/>
      <c r="J407" s="53"/>
      <c r="K407" s="61"/>
      <c r="L407" s="53"/>
      <c r="M407" s="53" t="str">
        <f>IFERROR(__xludf.DUMMYFUNCTION("""COMPUTED_VALUE"""),"")</f>
        <v/>
      </c>
      <c r="N407" s="53"/>
      <c r="O407" s="53"/>
      <c r="P407" s="53"/>
    </row>
    <row r="408">
      <c r="A408" s="60"/>
      <c r="B408" s="52"/>
      <c r="C408" s="53"/>
      <c r="D408" s="53"/>
      <c r="E408" s="53"/>
      <c r="F408" s="53"/>
      <c r="G408" s="53"/>
      <c r="H408" s="53"/>
      <c r="I408" s="53"/>
      <c r="J408" s="53"/>
      <c r="K408" s="61"/>
      <c r="L408" s="53"/>
      <c r="M408" s="53" t="str">
        <f>IFERROR(__xludf.DUMMYFUNCTION("""COMPUTED_VALUE"""),"")</f>
        <v/>
      </c>
      <c r="N408" s="53"/>
      <c r="O408" s="53"/>
      <c r="P408" s="53"/>
    </row>
    <row r="409">
      <c r="A409" s="60"/>
      <c r="B409" s="52"/>
      <c r="C409" s="53"/>
      <c r="D409" s="53"/>
      <c r="E409" s="53"/>
      <c r="F409" s="53"/>
      <c r="G409" s="53"/>
      <c r="H409" s="53"/>
      <c r="I409" s="53"/>
      <c r="J409" s="53"/>
      <c r="K409" s="61"/>
      <c r="L409" s="53"/>
      <c r="M409" s="53" t="str">
        <f>IFERROR(__xludf.DUMMYFUNCTION("""COMPUTED_VALUE"""),"")</f>
        <v/>
      </c>
      <c r="N409" s="53"/>
      <c r="O409" s="53"/>
      <c r="P409" s="53"/>
    </row>
    <row r="410">
      <c r="A410" s="60"/>
      <c r="B410" s="52"/>
      <c r="C410" s="53"/>
      <c r="D410" s="53"/>
      <c r="E410" s="53"/>
      <c r="F410" s="53"/>
      <c r="G410" s="53"/>
      <c r="H410" s="53"/>
      <c r="I410" s="53"/>
      <c r="J410" s="53"/>
      <c r="K410" s="61"/>
      <c r="L410" s="53"/>
      <c r="M410" s="53" t="str">
        <f>IFERROR(__xludf.DUMMYFUNCTION("""COMPUTED_VALUE"""),"")</f>
        <v/>
      </c>
      <c r="N410" s="53"/>
      <c r="O410" s="53"/>
      <c r="P410" s="53"/>
    </row>
    <row r="411">
      <c r="A411" s="60"/>
      <c r="B411" s="52"/>
      <c r="C411" s="53"/>
      <c r="D411" s="53"/>
      <c r="E411" s="53"/>
      <c r="F411" s="53"/>
      <c r="G411" s="53"/>
      <c r="H411" s="53"/>
      <c r="I411" s="53"/>
      <c r="J411" s="53"/>
      <c r="K411" s="61"/>
      <c r="L411" s="53"/>
      <c r="M411" s="53" t="str">
        <f>IFERROR(__xludf.DUMMYFUNCTION("""COMPUTED_VALUE"""),"")</f>
        <v/>
      </c>
      <c r="N411" s="53"/>
      <c r="O411" s="53"/>
      <c r="P411" s="53"/>
    </row>
    <row r="412">
      <c r="A412" s="60"/>
      <c r="B412" s="52"/>
      <c r="C412" s="53"/>
      <c r="D412" s="53"/>
      <c r="E412" s="53"/>
      <c r="F412" s="53"/>
      <c r="G412" s="53"/>
      <c r="H412" s="53"/>
      <c r="I412" s="53"/>
      <c r="J412" s="53"/>
      <c r="K412" s="61"/>
      <c r="L412" s="53"/>
      <c r="M412" s="53" t="str">
        <f>IFERROR(__xludf.DUMMYFUNCTION("""COMPUTED_VALUE"""),"")</f>
        <v/>
      </c>
      <c r="N412" s="53"/>
      <c r="O412" s="53"/>
      <c r="P412" s="53"/>
    </row>
    <row r="413">
      <c r="A413" s="60"/>
      <c r="B413" s="52"/>
      <c r="C413" s="53"/>
      <c r="D413" s="53"/>
      <c r="E413" s="53"/>
      <c r="F413" s="53"/>
      <c r="G413" s="53"/>
      <c r="H413" s="53"/>
      <c r="I413" s="53"/>
      <c r="J413" s="53"/>
      <c r="K413" s="61"/>
      <c r="L413" s="53"/>
      <c r="M413" s="53" t="str">
        <f>IFERROR(__xludf.DUMMYFUNCTION("""COMPUTED_VALUE"""),"")</f>
        <v/>
      </c>
      <c r="N413" s="53"/>
      <c r="O413" s="53"/>
      <c r="P413" s="53"/>
    </row>
    <row r="414">
      <c r="A414" s="60"/>
      <c r="B414" s="52"/>
      <c r="C414" s="53"/>
      <c r="D414" s="53"/>
      <c r="E414" s="53"/>
      <c r="F414" s="53"/>
      <c r="G414" s="53"/>
      <c r="H414" s="53"/>
      <c r="I414" s="53"/>
      <c r="J414" s="53"/>
      <c r="K414" s="61"/>
      <c r="L414" s="53"/>
      <c r="M414" s="53" t="str">
        <f>IFERROR(__xludf.DUMMYFUNCTION("""COMPUTED_VALUE"""),"")</f>
        <v/>
      </c>
      <c r="N414" s="53"/>
      <c r="O414" s="53"/>
      <c r="P414" s="53"/>
    </row>
    <row r="415">
      <c r="A415" s="60"/>
      <c r="B415" s="52"/>
      <c r="C415" s="53"/>
      <c r="D415" s="53"/>
      <c r="E415" s="53"/>
      <c r="F415" s="53"/>
      <c r="G415" s="53"/>
      <c r="H415" s="53"/>
      <c r="I415" s="53"/>
      <c r="J415" s="53"/>
      <c r="K415" s="61"/>
      <c r="L415" s="53"/>
      <c r="M415" s="53" t="str">
        <f>IFERROR(__xludf.DUMMYFUNCTION("""COMPUTED_VALUE"""),"")</f>
        <v/>
      </c>
      <c r="N415" s="53"/>
      <c r="O415" s="53"/>
      <c r="P415" s="53"/>
    </row>
    <row r="416">
      <c r="A416" s="60"/>
      <c r="B416" s="52"/>
      <c r="C416" s="53"/>
      <c r="D416" s="53"/>
      <c r="E416" s="53"/>
      <c r="F416" s="53"/>
      <c r="G416" s="53"/>
      <c r="H416" s="53"/>
      <c r="I416" s="53"/>
      <c r="J416" s="53"/>
      <c r="K416" s="61"/>
      <c r="L416" s="53"/>
      <c r="M416" s="53" t="str">
        <f>IFERROR(__xludf.DUMMYFUNCTION("""COMPUTED_VALUE"""),"")</f>
        <v/>
      </c>
      <c r="N416" s="53"/>
      <c r="O416" s="53"/>
      <c r="P416" s="53"/>
    </row>
    <row r="417">
      <c r="A417" s="60"/>
      <c r="B417" s="52"/>
      <c r="C417" s="53"/>
      <c r="D417" s="53"/>
      <c r="E417" s="53"/>
      <c r="F417" s="53"/>
      <c r="G417" s="53"/>
      <c r="H417" s="53"/>
      <c r="I417" s="53"/>
      <c r="J417" s="53"/>
      <c r="K417" s="61"/>
      <c r="L417" s="53"/>
      <c r="M417" s="53" t="str">
        <f>IFERROR(__xludf.DUMMYFUNCTION("""COMPUTED_VALUE"""),"")</f>
        <v/>
      </c>
      <c r="N417" s="53"/>
      <c r="O417" s="53"/>
      <c r="P417" s="53"/>
    </row>
    <row r="418">
      <c r="A418" s="60"/>
      <c r="B418" s="52"/>
      <c r="C418" s="53"/>
      <c r="D418" s="53"/>
      <c r="E418" s="53"/>
      <c r="F418" s="53"/>
      <c r="G418" s="53"/>
      <c r="H418" s="53"/>
      <c r="I418" s="53"/>
      <c r="J418" s="53"/>
      <c r="K418" s="61"/>
      <c r="L418" s="53"/>
      <c r="M418" s="53" t="str">
        <f>IFERROR(__xludf.DUMMYFUNCTION("""COMPUTED_VALUE"""),"")</f>
        <v/>
      </c>
      <c r="N418" s="53"/>
      <c r="O418" s="53"/>
      <c r="P418" s="53"/>
    </row>
    <row r="419">
      <c r="A419" s="60"/>
      <c r="B419" s="52"/>
      <c r="C419" s="53"/>
      <c r="D419" s="53"/>
      <c r="E419" s="53"/>
      <c r="F419" s="53"/>
      <c r="G419" s="53"/>
      <c r="H419" s="53"/>
      <c r="I419" s="53"/>
      <c r="J419" s="53"/>
      <c r="K419" s="61"/>
      <c r="L419" s="53"/>
      <c r="M419" s="53" t="str">
        <f>IFERROR(__xludf.DUMMYFUNCTION("""COMPUTED_VALUE"""),"")</f>
        <v/>
      </c>
      <c r="N419" s="53"/>
      <c r="O419" s="53"/>
      <c r="P419" s="53"/>
    </row>
    <row r="420">
      <c r="A420" s="60"/>
      <c r="B420" s="52"/>
      <c r="C420" s="53"/>
      <c r="D420" s="53"/>
      <c r="E420" s="53"/>
      <c r="F420" s="53"/>
      <c r="G420" s="53"/>
      <c r="H420" s="53"/>
      <c r="I420" s="53"/>
      <c r="J420" s="53"/>
      <c r="K420" s="61"/>
      <c r="L420" s="53"/>
      <c r="M420" s="53" t="str">
        <f>IFERROR(__xludf.DUMMYFUNCTION("""COMPUTED_VALUE"""),"")</f>
        <v/>
      </c>
      <c r="N420" s="53"/>
      <c r="O420" s="53"/>
      <c r="P420" s="53"/>
    </row>
    <row r="421">
      <c r="A421" s="60"/>
      <c r="B421" s="52"/>
      <c r="C421" s="53"/>
      <c r="D421" s="53"/>
      <c r="E421" s="53"/>
      <c r="F421" s="53"/>
      <c r="G421" s="53"/>
      <c r="H421" s="53"/>
      <c r="I421" s="53"/>
      <c r="J421" s="53"/>
      <c r="K421" s="61"/>
      <c r="L421" s="53"/>
      <c r="M421" s="53" t="str">
        <f>IFERROR(__xludf.DUMMYFUNCTION("""COMPUTED_VALUE"""),"")</f>
        <v/>
      </c>
      <c r="N421" s="53"/>
      <c r="O421" s="53"/>
      <c r="P421" s="53"/>
    </row>
    <row r="422">
      <c r="A422" s="60"/>
      <c r="B422" s="52"/>
      <c r="C422" s="53"/>
      <c r="D422" s="53"/>
      <c r="E422" s="53"/>
      <c r="F422" s="53"/>
      <c r="G422" s="53"/>
      <c r="H422" s="53"/>
      <c r="I422" s="53"/>
      <c r="J422" s="53"/>
      <c r="K422" s="61"/>
      <c r="L422" s="53"/>
      <c r="M422" s="53" t="str">
        <f>IFERROR(__xludf.DUMMYFUNCTION("""COMPUTED_VALUE"""),"")</f>
        <v/>
      </c>
      <c r="N422" s="53"/>
      <c r="O422" s="53"/>
      <c r="P422" s="53"/>
    </row>
    <row r="423">
      <c r="A423" s="60"/>
      <c r="B423" s="52"/>
      <c r="C423" s="53"/>
      <c r="D423" s="53"/>
      <c r="E423" s="53"/>
      <c r="F423" s="53"/>
      <c r="G423" s="53"/>
      <c r="H423" s="53"/>
      <c r="I423" s="53"/>
      <c r="J423" s="53"/>
      <c r="K423" s="61"/>
      <c r="L423" s="53"/>
      <c r="M423" s="53" t="str">
        <f>IFERROR(__xludf.DUMMYFUNCTION("""COMPUTED_VALUE"""),"")</f>
        <v/>
      </c>
      <c r="N423" s="53"/>
      <c r="O423" s="53"/>
      <c r="P423" s="53"/>
    </row>
    <row r="424">
      <c r="A424" s="60"/>
      <c r="B424" s="52"/>
      <c r="C424" s="53"/>
      <c r="D424" s="53"/>
      <c r="E424" s="53"/>
      <c r="F424" s="53"/>
      <c r="G424" s="53"/>
      <c r="H424" s="53"/>
      <c r="I424" s="53"/>
      <c r="J424" s="53"/>
      <c r="K424" s="61"/>
      <c r="L424" s="53"/>
      <c r="M424" s="53" t="str">
        <f>IFERROR(__xludf.DUMMYFUNCTION("""COMPUTED_VALUE"""),"")</f>
        <v/>
      </c>
      <c r="N424" s="53"/>
      <c r="O424" s="53"/>
      <c r="P424" s="53"/>
    </row>
    <row r="425">
      <c r="A425" s="60"/>
      <c r="B425" s="52"/>
      <c r="C425" s="53"/>
      <c r="D425" s="53"/>
      <c r="E425" s="53"/>
      <c r="F425" s="53"/>
      <c r="G425" s="53"/>
      <c r="H425" s="53"/>
      <c r="I425" s="53"/>
      <c r="J425" s="53"/>
      <c r="K425" s="61"/>
      <c r="L425" s="53"/>
      <c r="M425" s="53" t="str">
        <f>IFERROR(__xludf.DUMMYFUNCTION("""COMPUTED_VALUE"""),"")</f>
        <v/>
      </c>
      <c r="N425" s="53"/>
      <c r="O425" s="53"/>
      <c r="P425" s="53"/>
    </row>
    <row r="426">
      <c r="A426" s="60"/>
      <c r="B426" s="52"/>
      <c r="C426" s="53"/>
      <c r="D426" s="53"/>
      <c r="E426" s="53"/>
      <c r="F426" s="53"/>
      <c r="G426" s="53"/>
      <c r="H426" s="53"/>
      <c r="I426" s="53"/>
      <c r="J426" s="53"/>
      <c r="K426" s="61"/>
      <c r="L426" s="53"/>
      <c r="M426" s="53" t="str">
        <f>IFERROR(__xludf.DUMMYFUNCTION("""COMPUTED_VALUE"""),"")</f>
        <v/>
      </c>
      <c r="N426" s="53"/>
      <c r="O426" s="53"/>
      <c r="P426" s="53"/>
    </row>
    <row r="427">
      <c r="A427" s="60"/>
      <c r="B427" s="52"/>
      <c r="C427" s="53"/>
      <c r="D427" s="53"/>
      <c r="E427" s="53"/>
      <c r="F427" s="53"/>
      <c r="G427" s="53"/>
      <c r="H427" s="53"/>
      <c r="I427" s="53"/>
      <c r="J427" s="53"/>
      <c r="K427" s="61"/>
      <c r="L427" s="53"/>
      <c r="M427" s="53" t="str">
        <f>IFERROR(__xludf.DUMMYFUNCTION("""COMPUTED_VALUE"""),"")</f>
        <v/>
      </c>
      <c r="N427" s="53"/>
      <c r="O427" s="53"/>
      <c r="P427" s="53"/>
    </row>
    <row r="428">
      <c r="A428" s="60"/>
      <c r="B428" s="52"/>
      <c r="C428" s="53"/>
      <c r="D428" s="53"/>
      <c r="E428" s="53"/>
      <c r="F428" s="53"/>
      <c r="G428" s="53"/>
      <c r="H428" s="53"/>
      <c r="I428" s="53"/>
      <c r="J428" s="53"/>
      <c r="K428" s="61"/>
      <c r="L428" s="53"/>
      <c r="M428" s="53" t="str">
        <f>IFERROR(__xludf.DUMMYFUNCTION("""COMPUTED_VALUE"""),"")</f>
        <v/>
      </c>
      <c r="N428" s="53"/>
      <c r="O428" s="53"/>
      <c r="P428" s="53"/>
    </row>
    <row r="429">
      <c r="A429" s="60"/>
      <c r="B429" s="52"/>
      <c r="C429" s="53"/>
      <c r="D429" s="53"/>
      <c r="E429" s="53"/>
      <c r="F429" s="53"/>
      <c r="G429" s="53"/>
      <c r="H429" s="53"/>
      <c r="I429" s="53"/>
      <c r="J429" s="53"/>
      <c r="K429" s="61"/>
      <c r="L429" s="53"/>
      <c r="M429" s="53" t="str">
        <f>IFERROR(__xludf.DUMMYFUNCTION("""COMPUTED_VALUE"""),"")</f>
        <v/>
      </c>
      <c r="N429" s="53"/>
      <c r="O429" s="53"/>
      <c r="P429" s="53"/>
    </row>
    <row r="430">
      <c r="A430" s="60"/>
      <c r="B430" s="52"/>
      <c r="C430" s="53"/>
      <c r="D430" s="53"/>
      <c r="E430" s="53"/>
      <c r="F430" s="53"/>
      <c r="G430" s="53"/>
      <c r="H430" s="53"/>
      <c r="I430" s="53"/>
      <c r="J430" s="53"/>
      <c r="K430" s="61"/>
      <c r="L430" s="53"/>
      <c r="M430" s="53" t="str">
        <f>IFERROR(__xludf.DUMMYFUNCTION("""COMPUTED_VALUE"""),"")</f>
        <v/>
      </c>
      <c r="N430" s="53"/>
      <c r="O430" s="53"/>
      <c r="P430" s="53"/>
    </row>
    <row r="431">
      <c r="A431" s="60"/>
      <c r="B431" s="52"/>
      <c r="C431" s="53"/>
      <c r="D431" s="53"/>
      <c r="E431" s="53"/>
      <c r="F431" s="53"/>
      <c r="G431" s="53"/>
      <c r="H431" s="53"/>
      <c r="I431" s="53"/>
      <c r="J431" s="53"/>
      <c r="K431" s="61"/>
      <c r="L431" s="53"/>
      <c r="M431" s="53" t="str">
        <f>IFERROR(__xludf.DUMMYFUNCTION("""COMPUTED_VALUE"""),"")</f>
        <v/>
      </c>
      <c r="N431" s="53"/>
      <c r="O431" s="53"/>
      <c r="P431" s="53"/>
    </row>
    <row r="432">
      <c r="A432" s="60"/>
      <c r="B432" s="52"/>
      <c r="C432" s="53"/>
      <c r="D432" s="53"/>
      <c r="E432" s="53"/>
      <c r="F432" s="53"/>
      <c r="G432" s="53"/>
      <c r="H432" s="53"/>
      <c r="I432" s="53"/>
      <c r="J432" s="53"/>
      <c r="K432" s="61"/>
      <c r="L432" s="53"/>
      <c r="M432" s="53" t="str">
        <f>IFERROR(__xludf.DUMMYFUNCTION("""COMPUTED_VALUE"""),"")</f>
        <v/>
      </c>
      <c r="N432" s="53"/>
      <c r="O432" s="53"/>
      <c r="P432" s="53"/>
    </row>
    <row r="433">
      <c r="A433" s="60"/>
      <c r="B433" s="52"/>
      <c r="C433" s="53"/>
      <c r="D433" s="53"/>
      <c r="E433" s="53"/>
      <c r="F433" s="53"/>
      <c r="G433" s="53"/>
      <c r="H433" s="53"/>
      <c r="I433" s="53"/>
      <c r="J433" s="53"/>
      <c r="K433" s="61"/>
      <c r="L433" s="53"/>
      <c r="M433" s="53" t="str">
        <f>IFERROR(__xludf.DUMMYFUNCTION("""COMPUTED_VALUE"""),"")</f>
        <v/>
      </c>
      <c r="N433" s="53"/>
      <c r="O433" s="53"/>
      <c r="P433" s="53"/>
    </row>
    <row r="434">
      <c r="A434" s="60"/>
      <c r="B434" s="52"/>
      <c r="C434" s="53"/>
      <c r="D434" s="53"/>
      <c r="E434" s="53"/>
      <c r="F434" s="53"/>
      <c r="G434" s="53"/>
      <c r="H434" s="53"/>
      <c r="I434" s="53"/>
      <c r="J434" s="53"/>
      <c r="K434" s="61"/>
      <c r="L434" s="53"/>
      <c r="M434" s="53" t="str">
        <f>IFERROR(__xludf.DUMMYFUNCTION("""COMPUTED_VALUE"""),"")</f>
        <v/>
      </c>
      <c r="N434" s="53"/>
      <c r="O434" s="53"/>
      <c r="P434" s="53"/>
    </row>
    <row r="435">
      <c r="A435" s="60"/>
      <c r="B435" s="52"/>
      <c r="C435" s="53"/>
      <c r="D435" s="53"/>
      <c r="E435" s="53"/>
      <c r="F435" s="53"/>
      <c r="G435" s="53"/>
      <c r="H435" s="53"/>
      <c r="I435" s="53"/>
      <c r="J435" s="53"/>
      <c r="K435" s="61"/>
      <c r="L435" s="53"/>
      <c r="M435" s="53" t="str">
        <f>IFERROR(__xludf.DUMMYFUNCTION("""COMPUTED_VALUE"""),"")</f>
        <v/>
      </c>
      <c r="N435" s="53"/>
      <c r="O435" s="53"/>
      <c r="P435" s="53"/>
    </row>
    <row r="436">
      <c r="A436" s="60"/>
      <c r="B436" s="52"/>
      <c r="C436" s="53"/>
      <c r="D436" s="53"/>
      <c r="E436" s="53"/>
      <c r="F436" s="53"/>
      <c r="G436" s="53"/>
      <c r="H436" s="53"/>
      <c r="I436" s="53"/>
      <c r="J436" s="53"/>
      <c r="K436" s="61"/>
      <c r="L436" s="53"/>
      <c r="M436" s="53" t="str">
        <f>IFERROR(__xludf.DUMMYFUNCTION("""COMPUTED_VALUE"""),"")</f>
        <v/>
      </c>
      <c r="N436" s="53"/>
      <c r="O436" s="53"/>
      <c r="P436" s="53"/>
    </row>
    <row r="437">
      <c r="A437" s="60"/>
      <c r="B437" s="52"/>
      <c r="C437" s="53"/>
      <c r="D437" s="53"/>
      <c r="E437" s="53"/>
      <c r="F437" s="53"/>
      <c r="G437" s="53"/>
      <c r="H437" s="53"/>
      <c r="I437" s="53"/>
      <c r="J437" s="53"/>
      <c r="K437" s="61"/>
      <c r="L437" s="53"/>
      <c r="M437" s="53" t="str">
        <f>IFERROR(__xludf.DUMMYFUNCTION("""COMPUTED_VALUE"""),"")</f>
        <v/>
      </c>
      <c r="N437" s="53"/>
      <c r="O437" s="53"/>
      <c r="P437" s="53"/>
    </row>
    <row r="438">
      <c r="A438" s="60"/>
      <c r="B438" s="52"/>
      <c r="C438" s="53"/>
      <c r="D438" s="53"/>
      <c r="E438" s="53"/>
      <c r="F438" s="53"/>
      <c r="G438" s="53"/>
      <c r="H438" s="53"/>
      <c r="I438" s="53"/>
      <c r="J438" s="53"/>
      <c r="K438" s="61"/>
      <c r="L438" s="53"/>
      <c r="M438" s="53" t="str">
        <f>IFERROR(__xludf.DUMMYFUNCTION("""COMPUTED_VALUE"""),"")</f>
        <v/>
      </c>
      <c r="N438" s="53"/>
      <c r="O438" s="53"/>
      <c r="P438" s="53"/>
    </row>
    <row r="439">
      <c r="A439" s="60"/>
      <c r="B439" s="52"/>
      <c r="C439" s="53"/>
      <c r="D439" s="53"/>
      <c r="E439" s="53"/>
      <c r="F439" s="53"/>
      <c r="G439" s="53"/>
      <c r="H439" s="53"/>
      <c r="I439" s="53"/>
      <c r="J439" s="53"/>
      <c r="K439" s="61"/>
      <c r="L439" s="53"/>
      <c r="M439" s="53" t="str">
        <f>IFERROR(__xludf.DUMMYFUNCTION("""COMPUTED_VALUE"""),"")</f>
        <v/>
      </c>
      <c r="N439" s="53"/>
      <c r="O439" s="53"/>
      <c r="P439" s="53"/>
    </row>
    <row r="440">
      <c r="A440" s="60"/>
      <c r="B440" s="52"/>
      <c r="C440" s="53"/>
      <c r="D440" s="53"/>
      <c r="E440" s="53"/>
      <c r="F440" s="53"/>
      <c r="G440" s="53"/>
      <c r="H440" s="53"/>
      <c r="I440" s="53"/>
      <c r="J440" s="53"/>
      <c r="K440" s="61"/>
      <c r="L440" s="53"/>
      <c r="M440" s="53" t="str">
        <f>IFERROR(__xludf.DUMMYFUNCTION("""COMPUTED_VALUE"""),"")</f>
        <v/>
      </c>
      <c r="N440" s="53"/>
      <c r="O440" s="53"/>
      <c r="P440" s="53"/>
    </row>
    <row r="441">
      <c r="A441" s="60"/>
      <c r="B441" s="52"/>
      <c r="C441" s="53"/>
      <c r="D441" s="53"/>
      <c r="E441" s="53"/>
      <c r="F441" s="53"/>
      <c r="G441" s="53"/>
      <c r="H441" s="53"/>
      <c r="I441" s="53"/>
      <c r="J441" s="53"/>
      <c r="K441" s="61"/>
      <c r="L441" s="53"/>
      <c r="M441" s="53" t="str">
        <f>IFERROR(__xludf.DUMMYFUNCTION("""COMPUTED_VALUE"""),"")</f>
        <v/>
      </c>
      <c r="N441" s="53"/>
      <c r="O441" s="53"/>
      <c r="P441" s="53"/>
    </row>
    <row r="442">
      <c r="A442" s="60"/>
      <c r="B442" s="52"/>
      <c r="C442" s="53"/>
      <c r="D442" s="53"/>
      <c r="E442" s="53"/>
      <c r="F442" s="53"/>
      <c r="G442" s="53"/>
      <c r="H442" s="53"/>
      <c r="I442" s="53"/>
      <c r="J442" s="53"/>
      <c r="K442" s="61"/>
      <c r="L442" s="53"/>
      <c r="M442" s="53" t="str">
        <f>IFERROR(__xludf.DUMMYFUNCTION("""COMPUTED_VALUE"""),"")</f>
        <v/>
      </c>
      <c r="N442" s="53"/>
      <c r="O442" s="53"/>
      <c r="P442" s="53"/>
    </row>
    <row r="443">
      <c r="A443" s="60"/>
      <c r="B443" s="52"/>
      <c r="C443" s="53"/>
      <c r="D443" s="53"/>
      <c r="E443" s="53"/>
      <c r="F443" s="53"/>
      <c r="G443" s="53"/>
      <c r="H443" s="53"/>
      <c r="I443" s="53"/>
      <c r="J443" s="53"/>
      <c r="K443" s="61"/>
      <c r="L443" s="53"/>
      <c r="M443" s="53" t="str">
        <f>IFERROR(__xludf.DUMMYFUNCTION("""COMPUTED_VALUE"""),"")</f>
        <v/>
      </c>
      <c r="N443" s="53"/>
      <c r="O443" s="53"/>
      <c r="P443" s="53"/>
    </row>
    <row r="444">
      <c r="A444" s="60"/>
      <c r="B444" s="52"/>
      <c r="C444" s="53"/>
      <c r="D444" s="53"/>
      <c r="E444" s="53"/>
      <c r="F444" s="53"/>
      <c r="G444" s="53"/>
      <c r="H444" s="53"/>
      <c r="I444" s="53"/>
      <c r="J444" s="53"/>
      <c r="K444" s="61"/>
      <c r="L444" s="53"/>
      <c r="M444" s="53" t="str">
        <f>IFERROR(__xludf.DUMMYFUNCTION("""COMPUTED_VALUE"""),"")</f>
        <v/>
      </c>
      <c r="N444" s="53"/>
      <c r="O444" s="53"/>
      <c r="P444" s="53"/>
    </row>
    <row r="445">
      <c r="A445" s="60"/>
      <c r="B445" s="52"/>
      <c r="C445" s="53"/>
      <c r="D445" s="53"/>
      <c r="E445" s="53"/>
      <c r="F445" s="53"/>
      <c r="G445" s="53"/>
      <c r="H445" s="53"/>
      <c r="I445" s="53"/>
      <c r="J445" s="53"/>
      <c r="K445" s="61"/>
      <c r="L445" s="53"/>
      <c r="M445" s="53" t="str">
        <f>IFERROR(__xludf.DUMMYFUNCTION("""COMPUTED_VALUE"""),"")</f>
        <v/>
      </c>
      <c r="N445" s="53"/>
      <c r="O445" s="53"/>
      <c r="P445" s="53"/>
    </row>
    <row r="446">
      <c r="A446" s="60"/>
      <c r="B446" s="52"/>
      <c r="C446" s="53"/>
      <c r="D446" s="53"/>
      <c r="E446" s="53"/>
      <c r="F446" s="53"/>
      <c r="G446" s="53"/>
      <c r="H446" s="53"/>
      <c r="I446" s="53"/>
      <c r="J446" s="53"/>
      <c r="K446" s="61"/>
      <c r="L446" s="53"/>
      <c r="M446" s="53" t="str">
        <f>IFERROR(__xludf.DUMMYFUNCTION("""COMPUTED_VALUE"""),"")</f>
        <v/>
      </c>
      <c r="N446" s="53"/>
      <c r="O446" s="53"/>
      <c r="P446" s="53"/>
    </row>
    <row r="447">
      <c r="A447" s="60"/>
      <c r="B447" s="52"/>
      <c r="C447" s="53"/>
      <c r="D447" s="53"/>
      <c r="E447" s="53"/>
      <c r="F447" s="53"/>
      <c r="G447" s="53"/>
      <c r="H447" s="53"/>
      <c r="I447" s="53"/>
      <c r="J447" s="53"/>
      <c r="K447" s="61"/>
      <c r="L447" s="53"/>
      <c r="M447" s="53" t="str">
        <f>IFERROR(__xludf.DUMMYFUNCTION("""COMPUTED_VALUE"""),"")</f>
        <v/>
      </c>
      <c r="N447" s="53"/>
      <c r="O447" s="53"/>
      <c r="P447" s="53"/>
    </row>
    <row r="448">
      <c r="A448" s="60"/>
      <c r="B448" s="52"/>
      <c r="C448" s="53"/>
      <c r="D448" s="53"/>
      <c r="E448" s="53"/>
      <c r="F448" s="53"/>
      <c r="G448" s="53"/>
      <c r="H448" s="53"/>
      <c r="I448" s="53"/>
      <c r="J448" s="53"/>
      <c r="K448" s="61"/>
      <c r="L448" s="53"/>
      <c r="M448" s="53" t="str">
        <f>IFERROR(__xludf.DUMMYFUNCTION("""COMPUTED_VALUE"""),"")</f>
        <v/>
      </c>
      <c r="N448" s="53"/>
      <c r="O448" s="53"/>
      <c r="P448" s="53"/>
    </row>
    <row r="449">
      <c r="A449" s="60"/>
      <c r="B449" s="52"/>
      <c r="C449" s="53"/>
      <c r="D449" s="53"/>
      <c r="E449" s="53"/>
      <c r="F449" s="53"/>
      <c r="G449" s="53"/>
      <c r="H449" s="53"/>
      <c r="I449" s="53"/>
      <c r="J449" s="53"/>
      <c r="K449" s="61"/>
      <c r="L449" s="53"/>
      <c r="M449" s="53" t="str">
        <f>IFERROR(__xludf.DUMMYFUNCTION("""COMPUTED_VALUE"""),"")</f>
        <v/>
      </c>
      <c r="N449" s="53"/>
      <c r="O449" s="53"/>
      <c r="P449" s="53"/>
    </row>
    <row r="450">
      <c r="A450" s="60"/>
      <c r="B450" s="52"/>
      <c r="C450" s="53"/>
      <c r="D450" s="53"/>
      <c r="E450" s="53"/>
      <c r="F450" s="53"/>
      <c r="G450" s="53"/>
      <c r="H450" s="53"/>
      <c r="I450" s="53"/>
      <c r="J450" s="53"/>
      <c r="K450" s="61"/>
      <c r="L450" s="53"/>
      <c r="M450" s="53" t="str">
        <f>IFERROR(__xludf.DUMMYFUNCTION("""COMPUTED_VALUE"""),"")</f>
        <v/>
      </c>
      <c r="N450" s="53"/>
      <c r="O450" s="53"/>
      <c r="P450" s="53"/>
    </row>
    <row r="451">
      <c r="A451" s="60"/>
      <c r="B451" s="52"/>
      <c r="C451" s="53"/>
      <c r="D451" s="53"/>
      <c r="E451" s="53"/>
      <c r="F451" s="53"/>
      <c r="G451" s="53"/>
      <c r="H451" s="53"/>
      <c r="I451" s="53"/>
      <c r="J451" s="53"/>
      <c r="K451" s="61"/>
      <c r="L451" s="53"/>
      <c r="M451" s="53" t="str">
        <f>IFERROR(__xludf.DUMMYFUNCTION("""COMPUTED_VALUE"""),"")</f>
        <v/>
      </c>
      <c r="N451" s="53"/>
      <c r="O451" s="53"/>
      <c r="P451" s="53"/>
    </row>
    <row r="452">
      <c r="A452" s="60"/>
      <c r="B452" s="52"/>
      <c r="C452" s="53"/>
      <c r="D452" s="53"/>
      <c r="E452" s="53"/>
      <c r="F452" s="53"/>
      <c r="G452" s="53"/>
      <c r="H452" s="53"/>
      <c r="I452" s="53"/>
      <c r="J452" s="53"/>
      <c r="K452" s="61"/>
      <c r="L452" s="53"/>
      <c r="M452" s="53" t="str">
        <f>IFERROR(__xludf.DUMMYFUNCTION("""COMPUTED_VALUE"""),"")</f>
        <v/>
      </c>
      <c r="N452" s="53"/>
      <c r="O452" s="53"/>
      <c r="P452" s="53"/>
    </row>
    <row r="453">
      <c r="A453" s="60"/>
      <c r="B453" s="52"/>
      <c r="C453" s="53"/>
      <c r="D453" s="53"/>
      <c r="E453" s="53"/>
      <c r="F453" s="53"/>
      <c r="G453" s="53"/>
      <c r="H453" s="53"/>
      <c r="I453" s="53"/>
      <c r="J453" s="53"/>
      <c r="K453" s="61"/>
      <c r="L453" s="53"/>
      <c r="M453" s="53" t="str">
        <f>IFERROR(__xludf.DUMMYFUNCTION("""COMPUTED_VALUE"""),"")</f>
        <v/>
      </c>
      <c r="N453" s="53"/>
      <c r="O453" s="53"/>
      <c r="P453" s="53"/>
    </row>
    <row r="454">
      <c r="A454" s="60"/>
      <c r="B454" s="52"/>
      <c r="C454" s="53"/>
      <c r="D454" s="53"/>
      <c r="E454" s="53"/>
      <c r="F454" s="53"/>
      <c r="G454" s="53"/>
      <c r="H454" s="53"/>
      <c r="I454" s="53"/>
      <c r="J454" s="53"/>
      <c r="K454" s="61"/>
      <c r="L454" s="53"/>
      <c r="M454" s="53" t="str">
        <f>IFERROR(__xludf.DUMMYFUNCTION("""COMPUTED_VALUE"""),"")</f>
        <v/>
      </c>
      <c r="N454" s="53"/>
      <c r="O454" s="53"/>
      <c r="P454" s="53"/>
    </row>
    <row r="455">
      <c r="A455" s="60"/>
      <c r="B455" s="52"/>
      <c r="C455" s="53"/>
      <c r="D455" s="53"/>
      <c r="E455" s="53"/>
      <c r="F455" s="53"/>
      <c r="G455" s="53"/>
      <c r="H455" s="53"/>
      <c r="I455" s="53"/>
      <c r="J455" s="53"/>
      <c r="K455" s="61"/>
      <c r="L455" s="53"/>
      <c r="M455" s="53" t="str">
        <f>IFERROR(__xludf.DUMMYFUNCTION("""COMPUTED_VALUE"""),"")</f>
        <v/>
      </c>
      <c r="N455" s="53"/>
      <c r="O455" s="53"/>
      <c r="P455" s="53"/>
    </row>
    <row r="456">
      <c r="A456" s="60"/>
      <c r="B456" s="52"/>
      <c r="C456" s="53"/>
      <c r="D456" s="53"/>
      <c r="E456" s="53"/>
      <c r="F456" s="53"/>
      <c r="G456" s="53"/>
      <c r="H456" s="53"/>
      <c r="I456" s="53"/>
      <c r="J456" s="53"/>
      <c r="K456" s="61"/>
      <c r="L456" s="53"/>
      <c r="M456" s="53" t="str">
        <f>IFERROR(__xludf.DUMMYFUNCTION("""COMPUTED_VALUE"""),"")</f>
        <v/>
      </c>
      <c r="N456" s="53"/>
      <c r="O456" s="53"/>
      <c r="P456" s="53"/>
    </row>
    <row r="457">
      <c r="A457" s="60"/>
      <c r="B457" s="52"/>
      <c r="C457" s="53"/>
      <c r="D457" s="53"/>
      <c r="E457" s="53"/>
      <c r="F457" s="53"/>
      <c r="G457" s="53"/>
      <c r="H457" s="53"/>
      <c r="I457" s="53"/>
      <c r="J457" s="53"/>
      <c r="K457" s="61"/>
      <c r="L457" s="53"/>
      <c r="M457" s="53" t="str">
        <f>IFERROR(__xludf.DUMMYFUNCTION("""COMPUTED_VALUE"""),"")</f>
        <v/>
      </c>
      <c r="N457" s="53"/>
      <c r="O457" s="53"/>
      <c r="P457" s="53"/>
    </row>
    <row r="458">
      <c r="A458" s="60"/>
      <c r="B458" s="52"/>
      <c r="C458" s="53"/>
      <c r="D458" s="53"/>
      <c r="E458" s="53"/>
      <c r="F458" s="53"/>
      <c r="G458" s="53"/>
      <c r="H458" s="53"/>
      <c r="I458" s="53"/>
      <c r="J458" s="53"/>
      <c r="K458" s="61"/>
      <c r="L458" s="53"/>
      <c r="M458" s="53" t="str">
        <f>IFERROR(__xludf.DUMMYFUNCTION("""COMPUTED_VALUE"""),"")</f>
        <v/>
      </c>
      <c r="N458" s="53"/>
      <c r="O458" s="53"/>
      <c r="P458" s="53"/>
    </row>
    <row r="459">
      <c r="A459" s="60"/>
      <c r="B459" s="52"/>
      <c r="C459" s="53"/>
      <c r="D459" s="53"/>
      <c r="E459" s="53"/>
      <c r="F459" s="53"/>
      <c r="G459" s="53"/>
      <c r="H459" s="53"/>
      <c r="I459" s="53"/>
      <c r="J459" s="53"/>
      <c r="K459" s="61"/>
      <c r="L459" s="53"/>
      <c r="M459" s="53" t="str">
        <f>IFERROR(__xludf.DUMMYFUNCTION("""COMPUTED_VALUE"""),"")</f>
        <v/>
      </c>
      <c r="N459" s="53"/>
      <c r="O459" s="53"/>
      <c r="P459" s="53"/>
    </row>
    <row r="460">
      <c r="A460" s="60"/>
      <c r="B460" s="52"/>
      <c r="C460" s="53"/>
      <c r="D460" s="53"/>
      <c r="E460" s="53"/>
      <c r="F460" s="53"/>
      <c r="G460" s="53"/>
      <c r="H460" s="53"/>
      <c r="I460" s="53"/>
      <c r="J460" s="53"/>
      <c r="K460" s="61"/>
      <c r="L460" s="53"/>
      <c r="M460" s="53" t="str">
        <f>IFERROR(__xludf.DUMMYFUNCTION("""COMPUTED_VALUE"""),"")</f>
        <v/>
      </c>
      <c r="N460" s="53"/>
      <c r="O460" s="53"/>
      <c r="P460" s="53"/>
    </row>
    <row r="461">
      <c r="A461" s="60"/>
      <c r="B461" s="52"/>
      <c r="C461" s="53"/>
      <c r="D461" s="53"/>
      <c r="E461" s="53"/>
      <c r="F461" s="53"/>
      <c r="G461" s="53"/>
      <c r="H461" s="53"/>
      <c r="I461" s="53"/>
      <c r="J461" s="53"/>
      <c r="K461" s="61"/>
      <c r="L461" s="53"/>
      <c r="M461" s="53" t="str">
        <f>IFERROR(__xludf.DUMMYFUNCTION("""COMPUTED_VALUE"""),"")</f>
        <v/>
      </c>
      <c r="N461" s="53"/>
      <c r="O461" s="53"/>
      <c r="P461" s="53"/>
    </row>
    <row r="462">
      <c r="A462" s="60"/>
      <c r="B462" s="52"/>
      <c r="C462" s="53"/>
      <c r="D462" s="53"/>
      <c r="E462" s="53"/>
      <c r="F462" s="53"/>
      <c r="G462" s="53"/>
      <c r="H462" s="53"/>
      <c r="I462" s="53"/>
      <c r="J462" s="53"/>
      <c r="K462" s="61"/>
      <c r="L462" s="53"/>
      <c r="M462" s="53" t="str">
        <f>IFERROR(__xludf.DUMMYFUNCTION("""COMPUTED_VALUE"""),"")</f>
        <v/>
      </c>
      <c r="N462" s="53"/>
      <c r="O462" s="53"/>
      <c r="P462" s="53"/>
    </row>
    <row r="463">
      <c r="A463" s="60"/>
      <c r="B463" s="52"/>
      <c r="C463" s="53"/>
      <c r="D463" s="53"/>
      <c r="E463" s="53"/>
      <c r="F463" s="53"/>
      <c r="G463" s="53"/>
      <c r="H463" s="53"/>
      <c r="I463" s="53"/>
      <c r="J463" s="53"/>
      <c r="K463" s="61"/>
      <c r="L463" s="53"/>
      <c r="M463" s="53" t="str">
        <f>IFERROR(__xludf.DUMMYFUNCTION("""COMPUTED_VALUE"""),"")</f>
        <v/>
      </c>
      <c r="N463" s="53"/>
      <c r="O463" s="53"/>
      <c r="P463" s="53"/>
    </row>
    <row r="464">
      <c r="A464" s="60"/>
      <c r="B464" s="52"/>
      <c r="C464" s="53"/>
      <c r="D464" s="53"/>
      <c r="E464" s="53"/>
      <c r="F464" s="53"/>
      <c r="G464" s="53"/>
      <c r="H464" s="53"/>
      <c r="I464" s="53"/>
      <c r="J464" s="53"/>
      <c r="K464" s="61"/>
      <c r="L464" s="53"/>
      <c r="M464" s="53" t="str">
        <f>IFERROR(__xludf.DUMMYFUNCTION("""COMPUTED_VALUE"""),"")</f>
        <v/>
      </c>
      <c r="N464" s="53"/>
      <c r="O464" s="53"/>
      <c r="P464" s="53"/>
    </row>
    <row r="465">
      <c r="A465" s="60"/>
      <c r="B465" s="52"/>
      <c r="C465" s="53"/>
      <c r="D465" s="53"/>
      <c r="E465" s="53"/>
      <c r="F465" s="53"/>
      <c r="G465" s="53"/>
      <c r="H465" s="53"/>
      <c r="I465" s="53"/>
      <c r="J465" s="53"/>
      <c r="K465" s="61"/>
      <c r="L465" s="53"/>
      <c r="M465" s="53" t="str">
        <f>IFERROR(__xludf.DUMMYFUNCTION("""COMPUTED_VALUE"""),"")</f>
        <v/>
      </c>
      <c r="N465" s="53"/>
      <c r="O465" s="53"/>
      <c r="P465" s="53"/>
    </row>
    <row r="466">
      <c r="A466" s="60"/>
      <c r="B466" s="52"/>
      <c r="C466" s="53"/>
      <c r="D466" s="53"/>
      <c r="E466" s="53"/>
      <c r="F466" s="53"/>
      <c r="G466" s="53"/>
      <c r="H466" s="53"/>
      <c r="I466" s="53"/>
      <c r="J466" s="53"/>
      <c r="K466" s="61"/>
      <c r="L466" s="53"/>
      <c r="M466" s="53" t="str">
        <f>IFERROR(__xludf.DUMMYFUNCTION("""COMPUTED_VALUE"""),"")</f>
        <v/>
      </c>
      <c r="N466" s="53"/>
      <c r="O466" s="53"/>
      <c r="P466" s="53"/>
    </row>
    <row r="467">
      <c r="A467" s="60"/>
      <c r="B467" s="52"/>
      <c r="C467" s="53"/>
      <c r="D467" s="53"/>
      <c r="E467" s="53"/>
      <c r="F467" s="53"/>
      <c r="G467" s="53"/>
      <c r="H467" s="53"/>
      <c r="I467" s="53"/>
      <c r="J467" s="53"/>
      <c r="K467" s="61"/>
      <c r="L467" s="53"/>
      <c r="M467" s="53" t="str">
        <f>IFERROR(__xludf.DUMMYFUNCTION("""COMPUTED_VALUE"""),"")</f>
        <v/>
      </c>
      <c r="N467" s="53"/>
      <c r="O467" s="53"/>
      <c r="P467" s="53"/>
    </row>
    <row r="468">
      <c r="A468" s="60"/>
      <c r="B468" s="52"/>
      <c r="C468" s="53"/>
      <c r="D468" s="53"/>
      <c r="E468" s="53"/>
      <c r="F468" s="53"/>
      <c r="G468" s="53"/>
      <c r="H468" s="53"/>
      <c r="I468" s="53"/>
      <c r="J468" s="53"/>
      <c r="K468" s="61"/>
      <c r="L468" s="53"/>
      <c r="M468" s="53" t="str">
        <f>IFERROR(__xludf.DUMMYFUNCTION("""COMPUTED_VALUE"""),"")</f>
        <v/>
      </c>
      <c r="N468" s="53"/>
      <c r="O468" s="53"/>
      <c r="P468" s="53"/>
    </row>
    <row r="469">
      <c r="A469" s="60"/>
      <c r="B469" s="52"/>
      <c r="C469" s="53"/>
      <c r="D469" s="53"/>
      <c r="E469" s="53"/>
      <c r="F469" s="53"/>
      <c r="G469" s="53"/>
      <c r="H469" s="53"/>
      <c r="I469" s="53"/>
      <c r="J469" s="53"/>
      <c r="K469" s="61"/>
      <c r="L469" s="53"/>
      <c r="M469" s="53" t="str">
        <f>IFERROR(__xludf.DUMMYFUNCTION("""COMPUTED_VALUE"""),"")</f>
        <v/>
      </c>
      <c r="N469" s="53"/>
      <c r="O469" s="53"/>
      <c r="P469" s="53"/>
    </row>
    <row r="470">
      <c r="A470" s="60"/>
      <c r="B470" s="52"/>
      <c r="C470" s="53"/>
      <c r="D470" s="53"/>
      <c r="E470" s="53"/>
      <c r="F470" s="53"/>
      <c r="G470" s="53"/>
      <c r="H470" s="53"/>
      <c r="I470" s="53"/>
      <c r="J470" s="53"/>
      <c r="K470" s="61"/>
      <c r="L470" s="53"/>
      <c r="M470" s="53" t="str">
        <f>IFERROR(__xludf.DUMMYFUNCTION("""COMPUTED_VALUE"""),"")</f>
        <v/>
      </c>
      <c r="N470" s="53"/>
      <c r="O470" s="53"/>
      <c r="P470" s="53"/>
    </row>
    <row r="471">
      <c r="A471" s="60"/>
      <c r="B471" s="52"/>
      <c r="C471" s="53"/>
      <c r="D471" s="53"/>
      <c r="E471" s="53"/>
      <c r="F471" s="53"/>
      <c r="G471" s="53"/>
      <c r="H471" s="53"/>
      <c r="I471" s="53"/>
      <c r="J471" s="53"/>
      <c r="K471" s="61"/>
      <c r="L471" s="53"/>
      <c r="M471" s="53" t="str">
        <f>IFERROR(__xludf.DUMMYFUNCTION("""COMPUTED_VALUE"""),"")</f>
        <v/>
      </c>
      <c r="N471" s="53"/>
      <c r="O471" s="53"/>
      <c r="P471" s="53"/>
    </row>
    <row r="472">
      <c r="A472" s="60"/>
      <c r="B472" s="52"/>
      <c r="C472" s="53"/>
      <c r="D472" s="53"/>
      <c r="E472" s="53"/>
      <c r="F472" s="53"/>
      <c r="G472" s="53"/>
      <c r="H472" s="53"/>
      <c r="I472" s="53"/>
      <c r="J472" s="53"/>
      <c r="K472" s="61"/>
      <c r="L472" s="53"/>
      <c r="M472" s="53" t="str">
        <f>IFERROR(__xludf.DUMMYFUNCTION("""COMPUTED_VALUE"""),"")</f>
        <v/>
      </c>
      <c r="N472" s="53"/>
      <c r="O472" s="53"/>
      <c r="P472" s="53"/>
    </row>
    <row r="473">
      <c r="A473" s="60"/>
      <c r="B473" s="52"/>
      <c r="C473" s="53"/>
      <c r="D473" s="53"/>
      <c r="E473" s="53"/>
      <c r="F473" s="53"/>
      <c r="G473" s="53"/>
      <c r="H473" s="53"/>
      <c r="I473" s="53"/>
      <c r="J473" s="53"/>
      <c r="K473" s="61"/>
      <c r="L473" s="53"/>
      <c r="M473" s="53" t="str">
        <f>IFERROR(__xludf.DUMMYFUNCTION("""COMPUTED_VALUE"""),"")</f>
        <v/>
      </c>
      <c r="N473" s="53"/>
      <c r="O473" s="53"/>
      <c r="P473" s="53"/>
    </row>
    <row r="474">
      <c r="A474" s="60"/>
      <c r="B474" s="52"/>
      <c r="C474" s="53"/>
      <c r="D474" s="53"/>
      <c r="E474" s="53"/>
      <c r="F474" s="53"/>
      <c r="G474" s="53"/>
      <c r="H474" s="53"/>
      <c r="I474" s="53"/>
      <c r="J474" s="53"/>
      <c r="K474" s="61"/>
      <c r="L474" s="53"/>
      <c r="M474" s="53" t="str">
        <f>IFERROR(__xludf.DUMMYFUNCTION("""COMPUTED_VALUE"""),"")</f>
        <v/>
      </c>
      <c r="N474" s="53"/>
      <c r="O474" s="53"/>
      <c r="P474" s="53"/>
    </row>
    <row r="475">
      <c r="A475" s="60"/>
      <c r="B475" s="52"/>
      <c r="C475" s="53"/>
      <c r="D475" s="53"/>
      <c r="E475" s="53"/>
      <c r="F475" s="53"/>
      <c r="G475" s="53"/>
      <c r="H475" s="53"/>
      <c r="I475" s="53"/>
      <c r="J475" s="53"/>
      <c r="K475" s="61"/>
      <c r="L475" s="53"/>
      <c r="M475" s="53" t="str">
        <f>IFERROR(__xludf.DUMMYFUNCTION("""COMPUTED_VALUE"""),"")</f>
        <v/>
      </c>
      <c r="N475" s="53"/>
      <c r="O475" s="53"/>
      <c r="P475" s="53"/>
    </row>
    <row r="476">
      <c r="A476" s="60"/>
      <c r="B476" s="52"/>
      <c r="C476" s="53"/>
      <c r="D476" s="53"/>
      <c r="E476" s="53"/>
      <c r="F476" s="53"/>
      <c r="G476" s="53"/>
      <c r="H476" s="53"/>
      <c r="I476" s="53"/>
      <c r="J476" s="53"/>
      <c r="K476" s="61"/>
      <c r="L476" s="53"/>
      <c r="M476" s="53" t="str">
        <f>IFERROR(__xludf.DUMMYFUNCTION("""COMPUTED_VALUE"""),"")</f>
        <v/>
      </c>
      <c r="N476" s="53"/>
      <c r="O476" s="53"/>
      <c r="P476" s="53"/>
    </row>
    <row r="477">
      <c r="A477" s="60"/>
      <c r="B477" s="52"/>
      <c r="C477" s="53"/>
      <c r="D477" s="53"/>
      <c r="E477" s="53"/>
      <c r="F477" s="53"/>
      <c r="G477" s="53"/>
      <c r="H477" s="53"/>
      <c r="I477" s="53"/>
      <c r="J477" s="53"/>
      <c r="K477" s="61"/>
      <c r="L477" s="53"/>
      <c r="M477" s="53" t="str">
        <f>IFERROR(__xludf.DUMMYFUNCTION("""COMPUTED_VALUE"""),"")</f>
        <v/>
      </c>
      <c r="N477" s="53"/>
      <c r="O477" s="53"/>
      <c r="P477" s="53"/>
    </row>
    <row r="478">
      <c r="A478" s="60"/>
      <c r="B478" s="52"/>
      <c r="C478" s="53"/>
      <c r="D478" s="53"/>
      <c r="E478" s="53"/>
      <c r="F478" s="53"/>
      <c r="G478" s="53"/>
      <c r="H478" s="53"/>
      <c r="I478" s="53"/>
      <c r="J478" s="53"/>
      <c r="K478" s="61"/>
      <c r="L478" s="53"/>
      <c r="M478" s="53" t="str">
        <f>IFERROR(__xludf.DUMMYFUNCTION("""COMPUTED_VALUE"""),"")</f>
        <v/>
      </c>
      <c r="N478" s="53"/>
      <c r="O478" s="53"/>
      <c r="P478" s="53"/>
    </row>
    <row r="479">
      <c r="A479" s="60"/>
      <c r="B479" s="52"/>
      <c r="C479" s="53"/>
      <c r="D479" s="53"/>
      <c r="E479" s="53"/>
      <c r="F479" s="53"/>
      <c r="G479" s="53"/>
      <c r="H479" s="53"/>
      <c r="I479" s="53"/>
      <c r="J479" s="53"/>
      <c r="K479" s="61"/>
      <c r="L479" s="53"/>
      <c r="M479" s="53" t="str">
        <f>IFERROR(__xludf.DUMMYFUNCTION("""COMPUTED_VALUE"""),"")</f>
        <v/>
      </c>
      <c r="N479" s="53"/>
      <c r="O479" s="53"/>
      <c r="P479" s="53"/>
    </row>
    <row r="480">
      <c r="A480" s="60"/>
      <c r="B480" s="52"/>
      <c r="C480" s="53"/>
      <c r="D480" s="53"/>
      <c r="E480" s="53"/>
      <c r="F480" s="53"/>
      <c r="G480" s="53"/>
      <c r="H480" s="53"/>
      <c r="I480" s="53"/>
      <c r="J480" s="53"/>
      <c r="K480" s="61"/>
      <c r="L480" s="53"/>
      <c r="M480" s="53" t="str">
        <f>IFERROR(__xludf.DUMMYFUNCTION("""COMPUTED_VALUE"""),"")</f>
        <v/>
      </c>
      <c r="N480" s="53"/>
      <c r="O480" s="53"/>
      <c r="P480" s="53"/>
    </row>
    <row r="481">
      <c r="A481" s="60"/>
      <c r="B481" s="52"/>
      <c r="C481" s="53"/>
      <c r="D481" s="53"/>
      <c r="E481" s="53"/>
      <c r="F481" s="53"/>
      <c r="G481" s="53"/>
      <c r="H481" s="53"/>
      <c r="I481" s="53"/>
      <c r="J481" s="53"/>
      <c r="K481" s="61"/>
      <c r="L481" s="53"/>
      <c r="M481" s="53" t="str">
        <f>IFERROR(__xludf.DUMMYFUNCTION("""COMPUTED_VALUE"""),"")</f>
        <v/>
      </c>
      <c r="N481" s="53"/>
      <c r="O481" s="53"/>
      <c r="P481" s="53"/>
    </row>
    <row r="482">
      <c r="A482" s="60"/>
      <c r="B482" s="52"/>
      <c r="C482" s="53"/>
      <c r="D482" s="53"/>
      <c r="E482" s="53"/>
      <c r="F482" s="53"/>
      <c r="G482" s="53"/>
      <c r="H482" s="53"/>
      <c r="I482" s="53"/>
      <c r="J482" s="53"/>
      <c r="K482" s="61"/>
      <c r="L482" s="53"/>
      <c r="M482" s="53" t="str">
        <f>IFERROR(__xludf.DUMMYFUNCTION("""COMPUTED_VALUE"""),"")</f>
        <v/>
      </c>
      <c r="N482" s="53"/>
      <c r="O482" s="53"/>
      <c r="P482" s="53"/>
    </row>
    <row r="483">
      <c r="A483" s="60"/>
      <c r="B483" s="52"/>
      <c r="C483" s="53"/>
      <c r="D483" s="53"/>
      <c r="E483" s="53"/>
      <c r="F483" s="53"/>
      <c r="G483" s="53"/>
      <c r="H483" s="53"/>
      <c r="I483" s="53"/>
      <c r="J483" s="53"/>
      <c r="K483" s="61"/>
      <c r="L483" s="53"/>
      <c r="M483" s="53" t="str">
        <f>IFERROR(__xludf.DUMMYFUNCTION("""COMPUTED_VALUE"""),"")</f>
        <v/>
      </c>
      <c r="N483" s="53"/>
      <c r="O483" s="53"/>
      <c r="P483" s="53"/>
    </row>
    <row r="484">
      <c r="A484" s="60"/>
      <c r="B484" s="52"/>
      <c r="C484" s="53"/>
      <c r="D484" s="53"/>
      <c r="E484" s="53"/>
      <c r="F484" s="53"/>
      <c r="G484" s="53"/>
      <c r="H484" s="53"/>
      <c r="I484" s="53"/>
      <c r="J484" s="53"/>
      <c r="K484" s="61"/>
      <c r="L484" s="53"/>
      <c r="M484" s="53" t="str">
        <f>IFERROR(__xludf.DUMMYFUNCTION("""COMPUTED_VALUE"""),"")</f>
        <v/>
      </c>
      <c r="N484" s="53"/>
      <c r="O484" s="53"/>
      <c r="P484" s="53"/>
    </row>
    <row r="485">
      <c r="A485" s="60"/>
      <c r="B485" s="52"/>
      <c r="C485" s="53"/>
      <c r="D485" s="53"/>
      <c r="E485" s="53"/>
      <c r="F485" s="53"/>
      <c r="G485" s="53"/>
      <c r="H485" s="53"/>
      <c r="I485" s="53"/>
      <c r="J485" s="53"/>
      <c r="K485" s="61"/>
      <c r="L485" s="53"/>
      <c r="M485" s="53" t="str">
        <f>IFERROR(__xludf.DUMMYFUNCTION("""COMPUTED_VALUE"""),"")</f>
        <v/>
      </c>
      <c r="N485" s="53"/>
      <c r="O485" s="53"/>
      <c r="P485" s="53"/>
    </row>
    <row r="486">
      <c r="A486" s="60"/>
      <c r="B486" s="52"/>
      <c r="C486" s="53"/>
      <c r="D486" s="53"/>
      <c r="E486" s="53"/>
      <c r="F486" s="53"/>
      <c r="G486" s="53"/>
      <c r="H486" s="53"/>
      <c r="I486" s="53"/>
      <c r="J486" s="53"/>
      <c r="K486" s="61"/>
      <c r="L486" s="53"/>
      <c r="M486" s="53" t="str">
        <f>IFERROR(__xludf.DUMMYFUNCTION("""COMPUTED_VALUE"""),"")</f>
        <v/>
      </c>
      <c r="N486" s="53"/>
      <c r="O486" s="53"/>
      <c r="P486" s="53"/>
    </row>
    <row r="487">
      <c r="A487" s="60"/>
      <c r="B487" s="52"/>
      <c r="C487" s="53"/>
      <c r="D487" s="53"/>
      <c r="E487" s="53"/>
      <c r="F487" s="53"/>
      <c r="G487" s="53"/>
      <c r="H487" s="53"/>
      <c r="I487" s="53"/>
      <c r="J487" s="53"/>
      <c r="K487" s="61"/>
      <c r="L487" s="53"/>
      <c r="M487" s="53" t="str">
        <f>IFERROR(__xludf.DUMMYFUNCTION("""COMPUTED_VALUE"""),"")</f>
        <v/>
      </c>
      <c r="N487" s="53"/>
      <c r="O487" s="53"/>
      <c r="P487" s="53"/>
    </row>
    <row r="488">
      <c r="A488" s="60"/>
      <c r="B488" s="52"/>
      <c r="C488" s="53"/>
      <c r="D488" s="53"/>
      <c r="E488" s="53"/>
      <c r="F488" s="53"/>
      <c r="G488" s="53"/>
      <c r="H488" s="53"/>
      <c r="I488" s="53"/>
      <c r="J488" s="53"/>
      <c r="K488" s="61"/>
      <c r="L488" s="53"/>
      <c r="M488" s="53" t="str">
        <f>IFERROR(__xludf.DUMMYFUNCTION("""COMPUTED_VALUE"""),"")</f>
        <v/>
      </c>
      <c r="N488" s="53"/>
      <c r="O488" s="53"/>
      <c r="P488" s="53"/>
    </row>
    <row r="489">
      <c r="A489" s="60"/>
      <c r="B489" s="52"/>
      <c r="C489" s="53"/>
      <c r="D489" s="53"/>
      <c r="E489" s="53"/>
      <c r="F489" s="53"/>
      <c r="G489" s="53"/>
      <c r="H489" s="53"/>
      <c r="I489" s="53"/>
      <c r="J489" s="53"/>
      <c r="K489" s="61"/>
      <c r="L489" s="53"/>
      <c r="M489" s="53" t="str">
        <f>IFERROR(__xludf.DUMMYFUNCTION("""COMPUTED_VALUE"""),"")</f>
        <v/>
      </c>
      <c r="N489" s="53"/>
      <c r="O489" s="53"/>
      <c r="P489" s="53"/>
    </row>
    <row r="490">
      <c r="A490" s="60"/>
      <c r="B490" s="52"/>
      <c r="C490" s="53"/>
      <c r="D490" s="53"/>
      <c r="E490" s="53"/>
      <c r="F490" s="53"/>
      <c r="G490" s="53"/>
      <c r="H490" s="53"/>
      <c r="I490" s="53"/>
      <c r="J490" s="53"/>
      <c r="K490" s="61"/>
      <c r="L490" s="53"/>
      <c r="M490" s="53" t="str">
        <f>IFERROR(__xludf.DUMMYFUNCTION("""COMPUTED_VALUE"""),"")</f>
        <v/>
      </c>
      <c r="N490" s="53"/>
      <c r="O490" s="53"/>
      <c r="P490" s="53"/>
    </row>
    <row r="491">
      <c r="A491" s="60"/>
      <c r="B491" s="52"/>
      <c r="C491" s="53"/>
      <c r="D491" s="53"/>
      <c r="E491" s="53"/>
      <c r="F491" s="53"/>
      <c r="G491" s="53"/>
      <c r="H491" s="53"/>
      <c r="I491" s="53"/>
      <c r="J491" s="53"/>
      <c r="K491" s="61"/>
      <c r="L491" s="53"/>
      <c r="M491" s="53" t="str">
        <f>IFERROR(__xludf.DUMMYFUNCTION("""COMPUTED_VALUE"""),"")</f>
        <v/>
      </c>
      <c r="N491" s="53"/>
      <c r="O491" s="53"/>
      <c r="P491" s="53"/>
    </row>
    <row r="492">
      <c r="A492" s="60"/>
      <c r="B492" s="52"/>
      <c r="C492" s="53"/>
      <c r="D492" s="53"/>
      <c r="E492" s="53"/>
      <c r="F492" s="53"/>
      <c r="G492" s="53"/>
      <c r="H492" s="53"/>
      <c r="I492" s="53"/>
      <c r="J492" s="53"/>
      <c r="K492" s="61"/>
      <c r="L492" s="53"/>
      <c r="M492" s="53" t="str">
        <f>IFERROR(__xludf.DUMMYFUNCTION("""COMPUTED_VALUE"""),"")</f>
        <v/>
      </c>
      <c r="N492" s="53"/>
      <c r="O492" s="53"/>
      <c r="P492" s="53"/>
    </row>
    <row r="493">
      <c r="A493" s="60"/>
      <c r="B493" s="52"/>
      <c r="C493" s="53"/>
      <c r="D493" s="53"/>
      <c r="E493" s="53"/>
      <c r="F493" s="53"/>
      <c r="G493" s="53"/>
      <c r="H493" s="53"/>
      <c r="I493" s="53"/>
      <c r="J493" s="53"/>
      <c r="K493" s="61"/>
      <c r="L493" s="53"/>
      <c r="M493" s="53" t="str">
        <f>IFERROR(__xludf.DUMMYFUNCTION("""COMPUTED_VALUE"""),"")</f>
        <v/>
      </c>
      <c r="N493" s="53"/>
      <c r="O493" s="53"/>
      <c r="P493" s="53"/>
    </row>
    <row r="494">
      <c r="A494" s="60"/>
      <c r="B494" s="52"/>
      <c r="C494" s="53"/>
      <c r="D494" s="53"/>
      <c r="E494" s="53"/>
      <c r="F494" s="53"/>
      <c r="G494" s="53"/>
      <c r="H494" s="53"/>
      <c r="I494" s="53"/>
      <c r="J494" s="53"/>
      <c r="K494" s="61"/>
      <c r="L494" s="53"/>
      <c r="M494" s="53" t="str">
        <f>IFERROR(__xludf.DUMMYFUNCTION("""COMPUTED_VALUE"""),"")</f>
        <v/>
      </c>
      <c r="N494" s="53"/>
      <c r="O494" s="53"/>
      <c r="P494" s="53"/>
    </row>
    <row r="495">
      <c r="A495" s="60"/>
      <c r="B495" s="52"/>
      <c r="C495" s="53"/>
      <c r="D495" s="53"/>
      <c r="E495" s="53"/>
      <c r="F495" s="53"/>
      <c r="G495" s="53"/>
      <c r="H495" s="53"/>
      <c r="I495" s="53"/>
      <c r="J495" s="53"/>
      <c r="K495" s="61"/>
      <c r="L495" s="53"/>
      <c r="M495" s="53" t="str">
        <f>IFERROR(__xludf.DUMMYFUNCTION("""COMPUTED_VALUE"""),"")</f>
        <v/>
      </c>
      <c r="N495" s="53"/>
      <c r="O495" s="53"/>
      <c r="P495" s="53"/>
    </row>
    <row r="496">
      <c r="A496" s="60"/>
      <c r="B496" s="52"/>
      <c r="C496" s="53"/>
      <c r="D496" s="53"/>
      <c r="E496" s="53"/>
      <c r="F496" s="53"/>
      <c r="G496" s="53"/>
      <c r="H496" s="53"/>
      <c r="I496" s="53"/>
      <c r="J496" s="53"/>
      <c r="K496" s="61"/>
      <c r="L496" s="53"/>
      <c r="M496" s="53" t="str">
        <f>IFERROR(__xludf.DUMMYFUNCTION("""COMPUTED_VALUE"""),"")</f>
        <v/>
      </c>
      <c r="N496" s="53"/>
      <c r="O496" s="53"/>
      <c r="P496" s="53"/>
    </row>
    <row r="497">
      <c r="A497" s="60"/>
      <c r="B497" s="52"/>
      <c r="C497" s="53"/>
      <c r="D497" s="53"/>
      <c r="E497" s="53"/>
      <c r="F497" s="53"/>
      <c r="G497" s="53"/>
      <c r="H497" s="53"/>
      <c r="I497" s="53"/>
      <c r="J497" s="53"/>
      <c r="K497" s="61"/>
      <c r="L497" s="53"/>
      <c r="M497" s="53" t="str">
        <f>IFERROR(__xludf.DUMMYFUNCTION("""COMPUTED_VALUE"""),"")</f>
        <v/>
      </c>
      <c r="N497" s="53"/>
      <c r="O497" s="53"/>
      <c r="P497" s="53"/>
    </row>
    <row r="498">
      <c r="A498" s="60"/>
      <c r="B498" s="52"/>
      <c r="C498" s="53"/>
      <c r="D498" s="53"/>
      <c r="E498" s="53"/>
      <c r="F498" s="53"/>
      <c r="G498" s="53"/>
      <c r="H498" s="53"/>
      <c r="I498" s="53"/>
      <c r="J498" s="53"/>
      <c r="K498" s="61"/>
      <c r="L498" s="53"/>
      <c r="M498" s="53" t="str">
        <f>IFERROR(__xludf.DUMMYFUNCTION("""COMPUTED_VALUE"""),"")</f>
        <v/>
      </c>
      <c r="N498" s="53"/>
      <c r="O498" s="53"/>
      <c r="P498" s="53"/>
    </row>
    <row r="499">
      <c r="A499" s="60"/>
      <c r="B499" s="52"/>
      <c r="C499" s="53"/>
      <c r="D499" s="53"/>
      <c r="E499" s="53"/>
      <c r="F499" s="53"/>
      <c r="G499" s="53"/>
      <c r="H499" s="53"/>
      <c r="I499" s="53"/>
      <c r="J499" s="53"/>
      <c r="K499" s="61"/>
      <c r="L499" s="53"/>
      <c r="M499" s="53" t="str">
        <f>IFERROR(__xludf.DUMMYFUNCTION("""COMPUTED_VALUE"""),"")</f>
        <v/>
      </c>
      <c r="N499" s="53"/>
      <c r="O499" s="53"/>
      <c r="P499" s="53"/>
    </row>
    <row r="500">
      <c r="A500" s="60"/>
      <c r="B500" s="52"/>
      <c r="C500" s="53"/>
      <c r="D500" s="53"/>
      <c r="E500" s="53"/>
      <c r="F500" s="53"/>
      <c r="G500" s="53"/>
      <c r="H500" s="53"/>
      <c r="I500" s="53"/>
      <c r="J500" s="53"/>
      <c r="K500" s="61"/>
      <c r="L500" s="53"/>
      <c r="M500" s="53" t="str">
        <f>IFERROR(__xludf.DUMMYFUNCTION("""COMPUTED_VALUE"""),"")</f>
        <v/>
      </c>
      <c r="N500" s="53"/>
      <c r="O500" s="53"/>
      <c r="P500" s="53"/>
    </row>
    <row r="501">
      <c r="A501" s="60"/>
      <c r="B501" s="52"/>
      <c r="C501" s="53"/>
      <c r="D501" s="53"/>
      <c r="E501" s="53"/>
      <c r="F501" s="53"/>
      <c r="G501" s="53"/>
      <c r="H501" s="53"/>
      <c r="I501" s="53"/>
      <c r="J501" s="53"/>
      <c r="K501" s="61"/>
      <c r="L501" s="53"/>
      <c r="M501" s="53" t="str">
        <f>IFERROR(__xludf.DUMMYFUNCTION("""COMPUTED_VALUE"""),"")</f>
        <v/>
      </c>
      <c r="N501" s="53"/>
      <c r="O501" s="53"/>
      <c r="P501" s="53"/>
    </row>
    <row r="502">
      <c r="A502" s="60"/>
      <c r="B502" s="52"/>
      <c r="C502" s="53"/>
      <c r="D502" s="53"/>
      <c r="E502" s="53"/>
      <c r="F502" s="53"/>
      <c r="G502" s="53"/>
      <c r="H502" s="53"/>
      <c r="I502" s="53"/>
      <c r="J502" s="53"/>
      <c r="K502" s="61"/>
      <c r="L502" s="53"/>
      <c r="M502" s="53" t="str">
        <f>IFERROR(__xludf.DUMMYFUNCTION("""COMPUTED_VALUE"""),"")</f>
        <v/>
      </c>
      <c r="N502" s="53"/>
      <c r="O502" s="53"/>
      <c r="P502" s="53"/>
    </row>
    <row r="503">
      <c r="A503" s="60"/>
      <c r="B503" s="52"/>
      <c r="C503" s="53"/>
      <c r="D503" s="53"/>
      <c r="E503" s="53"/>
      <c r="F503" s="53"/>
      <c r="G503" s="53"/>
      <c r="H503" s="53"/>
      <c r="I503" s="53"/>
      <c r="J503" s="53"/>
      <c r="K503" s="61"/>
      <c r="L503" s="53"/>
      <c r="M503" s="53" t="str">
        <f>IFERROR(__xludf.DUMMYFUNCTION("""COMPUTED_VALUE"""),"")</f>
        <v/>
      </c>
      <c r="N503" s="53"/>
      <c r="O503" s="53"/>
      <c r="P503" s="53"/>
    </row>
    <row r="504">
      <c r="A504" s="60"/>
      <c r="B504" s="52"/>
      <c r="C504" s="53"/>
      <c r="D504" s="53"/>
      <c r="E504" s="53"/>
      <c r="F504" s="53"/>
      <c r="G504" s="53"/>
      <c r="H504" s="53"/>
      <c r="I504" s="53"/>
      <c r="J504" s="53"/>
      <c r="K504" s="61"/>
      <c r="L504" s="53"/>
      <c r="M504" s="53" t="str">
        <f>IFERROR(__xludf.DUMMYFUNCTION("""COMPUTED_VALUE"""),"")</f>
        <v/>
      </c>
      <c r="N504" s="53"/>
      <c r="O504" s="53"/>
      <c r="P504" s="53"/>
    </row>
    <row r="505">
      <c r="A505" s="60"/>
      <c r="B505" s="52"/>
      <c r="C505" s="53"/>
      <c r="D505" s="53"/>
      <c r="E505" s="53"/>
      <c r="F505" s="53"/>
      <c r="G505" s="53"/>
      <c r="H505" s="53"/>
      <c r="I505" s="53"/>
      <c r="J505" s="53"/>
      <c r="K505" s="61"/>
      <c r="L505" s="53"/>
      <c r="M505" s="53" t="str">
        <f>IFERROR(__xludf.DUMMYFUNCTION("""COMPUTED_VALUE"""),"")</f>
        <v/>
      </c>
      <c r="N505" s="53"/>
      <c r="O505" s="53"/>
      <c r="P505" s="53"/>
    </row>
    <row r="506">
      <c r="A506" s="60"/>
      <c r="B506" s="52"/>
      <c r="C506" s="53"/>
      <c r="D506" s="53"/>
      <c r="E506" s="53"/>
      <c r="F506" s="53"/>
      <c r="G506" s="53"/>
      <c r="H506" s="53"/>
      <c r="I506" s="53"/>
      <c r="J506" s="53"/>
      <c r="K506" s="61"/>
      <c r="L506" s="53"/>
      <c r="M506" s="53" t="str">
        <f>IFERROR(__xludf.DUMMYFUNCTION("""COMPUTED_VALUE"""),"")</f>
        <v/>
      </c>
      <c r="N506" s="53"/>
      <c r="O506" s="53"/>
      <c r="P506" s="53"/>
    </row>
    <row r="507">
      <c r="A507" s="60"/>
      <c r="B507" s="52"/>
      <c r="C507" s="53"/>
      <c r="D507" s="53"/>
      <c r="E507" s="53"/>
      <c r="F507" s="53"/>
      <c r="G507" s="53"/>
      <c r="H507" s="53"/>
      <c r="I507" s="53"/>
      <c r="J507" s="53"/>
      <c r="K507" s="61"/>
      <c r="L507" s="53"/>
      <c r="M507" s="53" t="str">
        <f>IFERROR(__xludf.DUMMYFUNCTION("""COMPUTED_VALUE"""),"")</f>
        <v/>
      </c>
      <c r="N507" s="53"/>
      <c r="O507" s="53"/>
      <c r="P507" s="53"/>
    </row>
    <row r="508">
      <c r="A508" s="60"/>
      <c r="B508" s="52"/>
      <c r="C508" s="53"/>
      <c r="D508" s="53"/>
      <c r="E508" s="53"/>
      <c r="F508" s="53"/>
      <c r="G508" s="53"/>
      <c r="H508" s="53"/>
      <c r="I508" s="53"/>
      <c r="J508" s="53"/>
      <c r="K508" s="61"/>
      <c r="L508" s="53"/>
      <c r="M508" s="53" t="str">
        <f>IFERROR(__xludf.DUMMYFUNCTION("""COMPUTED_VALUE"""),"")</f>
        <v/>
      </c>
      <c r="N508" s="53"/>
      <c r="O508" s="53"/>
      <c r="P508" s="53"/>
    </row>
    <row r="509">
      <c r="A509" s="60"/>
      <c r="B509" s="52"/>
      <c r="C509" s="53"/>
      <c r="D509" s="53"/>
      <c r="E509" s="53"/>
      <c r="F509" s="53"/>
      <c r="G509" s="53"/>
      <c r="H509" s="53"/>
      <c r="I509" s="53"/>
      <c r="J509" s="53"/>
      <c r="K509" s="61"/>
      <c r="L509" s="53"/>
      <c r="M509" s="53" t="str">
        <f>IFERROR(__xludf.DUMMYFUNCTION("""COMPUTED_VALUE"""),"")</f>
        <v/>
      </c>
      <c r="N509" s="53"/>
      <c r="O509" s="53"/>
      <c r="P509" s="53"/>
    </row>
    <row r="510">
      <c r="A510" s="60"/>
      <c r="B510" s="52"/>
      <c r="C510" s="53"/>
      <c r="D510" s="53"/>
      <c r="E510" s="53"/>
      <c r="F510" s="53"/>
      <c r="G510" s="53"/>
      <c r="H510" s="53"/>
      <c r="I510" s="53"/>
      <c r="J510" s="53"/>
      <c r="K510" s="61"/>
      <c r="L510" s="53"/>
      <c r="M510" s="53" t="str">
        <f>IFERROR(__xludf.DUMMYFUNCTION("""COMPUTED_VALUE"""),"")</f>
        <v/>
      </c>
      <c r="N510" s="53"/>
      <c r="O510" s="53"/>
      <c r="P510" s="53"/>
    </row>
    <row r="511">
      <c r="A511" s="60"/>
      <c r="B511" s="52"/>
      <c r="C511" s="53"/>
      <c r="D511" s="53"/>
      <c r="E511" s="53"/>
      <c r="F511" s="53"/>
      <c r="G511" s="53"/>
      <c r="H511" s="53"/>
      <c r="I511" s="53"/>
      <c r="J511" s="53"/>
      <c r="K511" s="61"/>
      <c r="L511" s="53"/>
      <c r="M511" s="53" t="str">
        <f>IFERROR(__xludf.DUMMYFUNCTION("""COMPUTED_VALUE"""),"")</f>
        <v/>
      </c>
      <c r="N511" s="53"/>
      <c r="O511" s="53"/>
      <c r="P511" s="53"/>
    </row>
    <row r="512">
      <c r="A512" s="60"/>
      <c r="B512" s="52"/>
      <c r="C512" s="53"/>
      <c r="D512" s="53"/>
      <c r="E512" s="53"/>
      <c r="F512" s="53"/>
      <c r="G512" s="53"/>
      <c r="H512" s="53"/>
      <c r="I512" s="53"/>
      <c r="J512" s="53"/>
      <c r="K512" s="61"/>
      <c r="L512" s="53"/>
      <c r="M512" s="53" t="str">
        <f>IFERROR(__xludf.DUMMYFUNCTION("""COMPUTED_VALUE"""),"")</f>
        <v/>
      </c>
      <c r="N512" s="53"/>
      <c r="O512" s="53"/>
      <c r="P512" s="53"/>
    </row>
    <row r="513">
      <c r="A513" s="60"/>
      <c r="B513" s="52"/>
      <c r="C513" s="53"/>
      <c r="D513" s="53"/>
      <c r="E513" s="53"/>
      <c r="F513" s="53"/>
      <c r="G513" s="53"/>
      <c r="H513" s="53"/>
      <c r="I513" s="53"/>
      <c r="J513" s="53"/>
      <c r="K513" s="61"/>
      <c r="L513" s="53"/>
      <c r="M513" s="53" t="str">
        <f>IFERROR(__xludf.DUMMYFUNCTION("""COMPUTED_VALUE"""),"")</f>
        <v/>
      </c>
      <c r="N513" s="53"/>
      <c r="O513" s="53"/>
      <c r="P513" s="53"/>
    </row>
    <row r="514">
      <c r="A514" s="60"/>
      <c r="B514" s="52"/>
      <c r="C514" s="53"/>
      <c r="D514" s="53"/>
      <c r="E514" s="53"/>
      <c r="F514" s="53"/>
      <c r="G514" s="53"/>
      <c r="H514" s="53"/>
      <c r="I514" s="53"/>
      <c r="J514" s="53"/>
      <c r="K514" s="61"/>
      <c r="L514" s="53"/>
      <c r="M514" s="53" t="str">
        <f>IFERROR(__xludf.DUMMYFUNCTION("""COMPUTED_VALUE"""),"")</f>
        <v/>
      </c>
      <c r="N514" s="53"/>
      <c r="O514" s="53"/>
      <c r="P514" s="53"/>
    </row>
    <row r="515">
      <c r="A515" s="60"/>
      <c r="B515" s="52"/>
      <c r="C515" s="53"/>
      <c r="D515" s="53"/>
      <c r="E515" s="53"/>
      <c r="F515" s="53"/>
      <c r="G515" s="53"/>
      <c r="H515" s="53"/>
      <c r="I515" s="53"/>
      <c r="J515" s="53"/>
      <c r="K515" s="61"/>
      <c r="L515" s="53"/>
      <c r="M515" s="53" t="str">
        <f>IFERROR(__xludf.DUMMYFUNCTION("""COMPUTED_VALUE"""),"")</f>
        <v/>
      </c>
      <c r="N515" s="53"/>
      <c r="O515" s="53"/>
      <c r="P515" s="53"/>
    </row>
    <row r="516">
      <c r="A516" s="60"/>
      <c r="B516" s="52"/>
      <c r="C516" s="53"/>
      <c r="D516" s="53"/>
      <c r="E516" s="53"/>
      <c r="F516" s="53"/>
      <c r="G516" s="53"/>
      <c r="H516" s="53"/>
      <c r="I516" s="53"/>
      <c r="J516" s="53"/>
      <c r="K516" s="61"/>
      <c r="L516" s="53"/>
      <c r="M516" s="53" t="str">
        <f>IFERROR(__xludf.DUMMYFUNCTION("""COMPUTED_VALUE"""),"")</f>
        <v/>
      </c>
      <c r="N516" s="53"/>
      <c r="O516" s="53"/>
      <c r="P516" s="53"/>
    </row>
    <row r="517">
      <c r="A517" s="60"/>
      <c r="B517" s="52"/>
      <c r="C517" s="53"/>
      <c r="D517" s="53"/>
      <c r="E517" s="53"/>
      <c r="F517" s="53"/>
      <c r="G517" s="53"/>
      <c r="H517" s="53"/>
      <c r="I517" s="53"/>
      <c r="J517" s="53"/>
      <c r="K517" s="61"/>
      <c r="L517" s="53"/>
      <c r="M517" s="53" t="str">
        <f>IFERROR(__xludf.DUMMYFUNCTION("""COMPUTED_VALUE"""),"")</f>
        <v/>
      </c>
      <c r="N517" s="53"/>
      <c r="O517" s="53"/>
      <c r="P517" s="53"/>
    </row>
    <row r="518">
      <c r="A518" s="60"/>
      <c r="B518" s="52"/>
      <c r="C518" s="53"/>
      <c r="D518" s="53"/>
      <c r="E518" s="53"/>
      <c r="F518" s="53"/>
      <c r="G518" s="53"/>
      <c r="H518" s="53"/>
      <c r="I518" s="53"/>
      <c r="J518" s="53"/>
      <c r="K518" s="61"/>
      <c r="L518" s="53"/>
      <c r="M518" s="53" t="str">
        <f>IFERROR(__xludf.DUMMYFUNCTION("""COMPUTED_VALUE"""),"")</f>
        <v/>
      </c>
      <c r="N518" s="53"/>
      <c r="O518" s="53"/>
      <c r="P518" s="53"/>
    </row>
    <row r="519">
      <c r="A519" s="60"/>
      <c r="B519" s="52"/>
      <c r="C519" s="53"/>
      <c r="D519" s="53"/>
      <c r="E519" s="53"/>
      <c r="F519" s="53"/>
      <c r="G519" s="53"/>
      <c r="H519" s="53"/>
      <c r="I519" s="53"/>
      <c r="J519" s="53"/>
      <c r="K519" s="61"/>
      <c r="L519" s="53"/>
      <c r="M519" s="53" t="str">
        <f>IFERROR(__xludf.DUMMYFUNCTION("""COMPUTED_VALUE"""),"")</f>
        <v/>
      </c>
      <c r="N519" s="53"/>
      <c r="O519" s="53"/>
      <c r="P519" s="53"/>
    </row>
    <row r="520">
      <c r="A520" s="60"/>
      <c r="B520" s="52"/>
      <c r="C520" s="53"/>
      <c r="D520" s="53"/>
      <c r="E520" s="53"/>
      <c r="F520" s="53"/>
      <c r="G520" s="53"/>
      <c r="H520" s="53"/>
      <c r="I520" s="53"/>
      <c r="J520" s="53"/>
      <c r="K520" s="61"/>
      <c r="L520" s="53"/>
      <c r="M520" s="53" t="str">
        <f>IFERROR(__xludf.DUMMYFUNCTION("""COMPUTED_VALUE"""),"")</f>
        <v/>
      </c>
      <c r="N520" s="53"/>
      <c r="O520" s="53"/>
      <c r="P520" s="53"/>
    </row>
    <row r="521">
      <c r="A521" s="60"/>
      <c r="B521" s="52"/>
      <c r="C521" s="53"/>
      <c r="D521" s="53"/>
      <c r="E521" s="53"/>
      <c r="F521" s="53"/>
      <c r="G521" s="53"/>
      <c r="H521" s="53"/>
      <c r="I521" s="53"/>
      <c r="J521" s="53"/>
      <c r="K521" s="61"/>
      <c r="L521" s="53"/>
      <c r="M521" s="53" t="str">
        <f>IFERROR(__xludf.DUMMYFUNCTION("""COMPUTED_VALUE"""),"")</f>
        <v/>
      </c>
      <c r="N521" s="53"/>
      <c r="O521" s="53"/>
      <c r="P521" s="53"/>
    </row>
    <row r="522">
      <c r="A522" s="60"/>
      <c r="B522" s="52"/>
      <c r="C522" s="53"/>
      <c r="D522" s="53"/>
      <c r="E522" s="53"/>
      <c r="F522" s="53"/>
      <c r="G522" s="53"/>
      <c r="H522" s="53"/>
      <c r="I522" s="53"/>
      <c r="J522" s="53"/>
      <c r="K522" s="61"/>
      <c r="L522" s="53"/>
      <c r="M522" s="53" t="str">
        <f>IFERROR(__xludf.DUMMYFUNCTION("""COMPUTED_VALUE"""),"")</f>
        <v/>
      </c>
      <c r="N522" s="53"/>
      <c r="O522" s="53"/>
      <c r="P522" s="53"/>
    </row>
    <row r="523">
      <c r="A523" s="60"/>
      <c r="B523" s="52"/>
      <c r="C523" s="53"/>
      <c r="D523" s="53"/>
      <c r="E523" s="53"/>
      <c r="F523" s="53"/>
      <c r="G523" s="53"/>
      <c r="H523" s="53"/>
      <c r="I523" s="53"/>
      <c r="J523" s="53"/>
      <c r="K523" s="61"/>
      <c r="L523" s="53"/>
      <c r="M523" s="53" t="str">
        <f>IFERROR(__xludf.DUMMYFUNCTION("""COMPUTED_VALUE"""),"")</f>
        <v/>
      </c>
      <c r="N523" s="53"/>
      <c r="O523" s="53"/>
      <c r="P523" s="53"/>
    </row>
    <row r="524">
      <c r="A524" s="60"/>
      <c r="B524" s="52"/>
      <c r="C524" s="53"/>
      <c r="D524" s="53"/>
      <c r="E524" s="53"/>
      <c r="F524" s="53"/>
      <c r="G524" s="53"/>
      <c r="H524" s="53"/>
      <c r="I524" s="53"/>
      <c r="J524" s="53"/>
      <c r="K524" s="61"/>
      <c r="L524" s="53"/>
      <c r="M524" s="53" t="str">
        <f>IFERROR(__xludf.DUMMYFUNCTION("""COMPUTED_VALUE"""),"")</f>
        <v/>
      </c>
      <c r="N524" s="53"/>
      <c r="O524" s="53"/>
      <c r="P524" s="53"/>
    </row>
    <row r="525">
      <c r="A525" s="60"/>
      <c r="B525" s="52"/>
      <c r="C525" s="53"/>
      <c r="D525" s="53"/>
      <c r="E525" s="53"/>
      <c r="F525" s="53"/>
      <c r="G525" s="53"/>
      <c r="H525" s="53"/>
      <c r="I525" s="53"/>
      <c r="J525" s="53"/>
      <c r="K525" s="61"/>
      <c r="L525" s="53"/>
      <c r="M525" s="53" t="str">
        <f>IFERROR(__xludf.DUMMYFUNCTION("""COMPUTED_VALUE"""),"")</f>
        <v/>
      </c>
      <c r="N525" s="53"/>
      <c r="O525" s="53"/>
      <c r="P525" s="53"/>
    </row>
    <row r="526">
      <c r="A526" s="60"/>
      <c r="B526" s="52"/>
      <c r="C526" s="53"/>
      <c r="D526" s="53"/>
      <c r="E526" s="53"/>
      <c r="F526" s="53"/>
      <c r="G526" s="53"/>
      <c r="H526" s="53"/>
      <c r="I526" s="53"/>
      <c r="J526" s="53"/>
      <c r="K526" s="61"/>
      <c r="L526" s="53"/>
      <c r="M526" s="53" t="str">
        <f>IFERROR(__xludf.DUMMYFUNCTION("""COMPUTED_VALUE"""),"")</f>
        <v/>
      </c>
      <c r="N526" s="53"/>
      <c r="O526" s="53"/>
      <c r="P526" s="53"/>
    </row>
    <row r="527">
      <c r="A527" s="60"/>
      <c r="B527" s="52"/>
      <c r="C527" s="53"/>
      <c r="D527" s="53"/>
      <c r="E527" s="53"/>
      <c r="F527" s="53"/>
      <c r="G527" s="53"/>
      <c r="H527" s="53"/>
      <c r="I527" s="53"/>
      <c r="J527" s="53"/>
      <c r="K527" s="61"/>
      <c r="L527" s="53"/>
      <c r="M527" s="53" t="str">
        <f>IFERROR(__xludf.DUMMYFUNCTION("""COMPUTED_VALUE"""),"")</f>
        <v/>
      </c>
      <c r="N527" s="53"/>
      <c r="O527" s="53"/>
      <c r="P527" s="53"/>
    </row>
    <row r="528">
      <c r="A528" s="60"/>
      <c r="B528" s="52"/>
      <c r="C528" s="53"/>
      <c r="D528" s="53"/>
      <c r="E528" s="53"/>
      <c r="F528" s="53"/>
      <c r="G528" s="53"/>
      <c r="H528" s="53"/>
      <c r="I528" s="53"/>
      <c r="J528" s="53"/>
      <c r="K528" s="61"/>
      <c r="L528" s="53"/>
      <c r="M528" s="53" t="str">
        <f>IFERROR(__xludf.DUMMYFUNCTION("""COMPUTED_VALUE"""),"")</f>
        <v/>
      </c>
      <c r="N528" s="53"/>
      <c r="O528" s="53"/>
      <c r="P528" s="53"/>
    </row>
    <row r="529">
      <c r="A529" s="60"/>
      <c r="B529" s="52"/>
      <c r="C529" s="53"/>
      <c r="D529" s="53"/>
      <c r="E529" s="53"/>
      <c r="F529" s="53"/>
      <c r="G529" s="53"/>
      <c r="H529" s="53"/>
      <c r="I529" s="53"/>
      <c r="J529" s="53"/>
      <c r="K529" s="61"/>
      <c r="L529" s="53"/>
      <c r="M529" s="53" t="str">
        <f>IFERROR(__xludf.DUMMYFUNCTION("""COMPUTED_VALUE"""),"")</f>
        <v/>
      </c>
      <c r="N529" s="53"/>
      <c r="O529" s="53"/>
      <c r="P529" s="53"/>
    </row>
    <row r="530">
      <c r="A530" s="60"/>
      <c r="B530" s="52"/>
      <c r="C530" s="53"/>
      <c r="D530" s="53"/>
      <c r="E530" s="53"/>
      <c r="F530" s="53"/>
      <c r="G530" s="53"/>
      <c r="H530" s="53"/>
      <c r="I530" s="53"/>
      <c r="J530" s="53"/>
      <c r="K530" s="61"/>
      <c r="L530" s="53"/>
      <c r="M530" s="53" t="str">
        <f>IFERROR(__xludf.DUMMYFUNCTION("""COMPUTED_VALUE"""),"")</f>
        <v/>
      </c>
      <c r="N530" s="53"/>
      <c r="O530" s="53"/>
      <c r="P530" s="53"/>
    </row>
    <row r="531">
      <c r="A531" s="60"/>
      <c r="B531" s="52"/>
      <c r="C531" s="53"/>
      <c r="D531" s="53"/>
      <c r="E531" s="53"/>
      <c r="F531" s="53"/>
      <c r="G531" s="53"/>
      <c r="H531" s="53"/>
      <c r="I531" s="53"/>
      <c r="J531" s="53"/>
      <c r="K531" s="61"/>
      <c r="L531" s="53"/>
      <c r="M531" s="53" t="str">
        <f>IFERROR(__xludf.DUMMYFUNCTION("""COMPUTED_VALUE"""),"")</f>
        <v/>
      </c>
      <c r="N531" s="53"/>
      <c r="O531" s="53"/>
      <c r="P531" s="53"/>
    </row>
    <row r="532">
      <c r="A532" s="60"/>
      <c r="B532" s="52"/>
      <c r="C532" s="53"/>
      <c r="D532" s="53"/>
      <c r="E532" s="53"/>
      <c r="F532" s="53"/>
      <c r="G532" s="53"/>
      <c r="H532" s="53"/>
      <c r="I532" s="53"/>
      <c r="J532" s="53"/>
      <c r="K532" s="61"/>
      <c r="L532" s="53"/>
      <c r="M532" s="53" t="str">
        <f>IFERROR(__xludf.DUMMYFUNCTION("""COMPUTED_VALUE"""),"")</f>
        <v/>
      </c>
      <c r="N532" s="53"/>
      <c r="O532" s="53"/>
      <c r="P532" s="53"/>
    </row>
    <row r="533">
      <c r="A533" s="60"/>
      <c r="B533" s="52"/>
      <c r="C533" s="53"/>
      <c r="D533" s="53"/>
      <c r="E533" s="53"/>
      <c r="F533" s="53"/>
      <c r="G533" s="53"/>
      <c r="H533" s="53"/>
      <c r="I533" s="53"/>
      <c r="J533" s="53"/>
      <c r="K533" s="61"/>
      <c r="L533" s="53"/>
      <c r="M533" s="53" t="str">
        <f>IFERROR(__xludf.DUMMYFUNCTION("""COMPUTED_VALUE"""),"")</f>
        <v/>
      </c>
      <c r="N533" s="53"/>
      <c r="O533" s="53"/>
      <c r="P533" s="53"/>
    </row>
    <row r="534">
      <c r="A534" s="60"/>
      <c r="B534" s="52"/>
      <c r="C534" s="53"/>
      <c r="D534" s="53"/>
      <c r="E534" s="53"/>
      <c r="F534" s="53"/>
      <c r="G534" s="53"/>
      <c r="H534" s="53"/>
      <c r="I534" s="53"/>
      <c r="J534" s="53"/>
      <c r="K534" s="61"/>
      <c r="L534" s="53"/>
      <c r="M534" s="53" t="str">
        <f>IFERROR(__xludf.DUMMYFUNCTION("""COMPUTED_VALUE"""),"")</f>
        <v/>
      </c>
      <c r="N534" s="53"/>
      <c r="O534" s="53"/>
      <c r="P534" s="53"/>
    </row>
    <row r="535">
      <c r="A535" s="60"/>
      <c r="B535" s="52"/>
      <c r="C535" s="53"/>
      <c r="D535" s="53"/>
      <c r="E535" s="53"/>
      <c r="F535" s="53"/>
      <c r="G535" s="53"/>
      <c r="H535" s="53"/>
      <c r="I535" s="53"/>
      <c r="J535" s="53"/>
      <c r="K535" s="61"/>
      <c r="L535" s="53"/>
      <c r="M535" s="53" t="str">
        <f>IFERROR(__xludf.DUMMYFUNCTION("""COMPUTED_VALUE"""),"")</f>
        <v/>
      </c>
      <c r="N535" s="53"/>
      <c r="O535" s="53"/>
      <c r="P535" s="53"/>
    </row>
    <row r="536">
      <c r="A536" s="60"/>
      <c r="B536" s="52"/>
      <c r="C536" s="53"/>
      <c r="D536" s="53"/>
      <c r="E536" s="53"/>
      <c r="F536" s="53"/>
      <c r="G536" s="53"/>
      <c r="H536" s="53"/>
      <c r="I536" s="53"/>
      <c r="J536" s="53"/>
      <c r="K536" s="61"/>
      <c r="L536" s="53"/>
      <c r="M536" s="53" t="str">
        <f>IFERROR(__xludf.DUMMYFUNCTION("""COMPUTED_VALUE"""),"")</f>
        <v/>
      </c>
      <c r="N536" s="53"/>
      <c r="O536" s="53"/>
      <c r="P536" s="53"/>
    </row>
    <row r="537">
      <c r="A537" s="60"/>
      <c r="B537" s="52"/>
      <c r="C537" s="53"/>
      <c r="D537" s="53"/>
      <c r="E537" s="53"/>
      <c r="F537" s="53"/>
      <c r="G537" s="53"/>
      <c r="H537" s="53"/>
      <c r="I537" s="53"/>
      <c r="J537" s="53"/>
      <c r="K537" s="61"/>
      <c r="L537" s="53"/>
      <c r="M537" s="53" t="str">
        <f>IFERROR(__xludf.DUMMYFUNCTION("""COMPUTED_VALUE"""),"")</f>
        <v/>
      </c>
      <c r="N537" s="53"/>
      <c r="O537" s="53"/>
      <c r="P537" s="53"/>
    </row>
    <row r="538">
      <c r="A538" s="60"/>
      <c r="B538" s="52"/>
      <c r="C538" s="53"/>
      <c r="D538" s="53"/>
      <c r="E538" s="53"/>
      <c r="F538" s="53"/>
      <c r="G538" s="53"/>
      <c r="H538" s="53"/>
      <c r="I538" s="53"/>
      <c r="J538" s="53"/>
      <c r="K538" s="61"/>
      <c r="L538" s="53"/>
      <c r="M538" s="53" t="str">
        <f>IFERROR(__xludf.DUMMYFUNCTION("""COMPUTED_VALUE"""),"")</f>
        <v/>
      </c>
      <c r="N538" s="53"/>
      <c r="O538" s="53"/>
      <c r="P538" s="53"/>
    </row>
    <row r="539">
      <c r="A539" s="60"/>
      <c r="B539" s="52"/>
      <c r="C539" s="53"/>
      <c r="D539" s="53"/>
      <c r="E539" s="53"/>
      <c r="F539" s="53"/>
      <c r="G539" s="53"/>
      <c r="H539" s="53"/>
      <c r="I539" s="53"/>
      <c r="J539" s="53"/>
      <c r="K539" s="61"/>
      <c r="L539" s="53"/>
      <c r="M539" s="53" t="str">
        <f>IFERROR(__xludf.DUMMYFUNCTION("""COMPUTED_VALUE"""),"")</f>
        <v/>
      </c>
      <c r="N539" s="53"/>
      <c r="O539" s="53"/>
      <c r="P539" s="53"/>
    </row>
    <row r="540">
      <c r="A540" s="60"/>
      <c r="B540" s="52"/>
      <c r="C540" s="53"/>
      <c r="D540" s="53"/>
      <c r="E540" s="53"/>
      <c r="F540" s="53"/>
      <c r="G540" s="53"/>
      <c r="H540" s="53"/>
      <c r="I540" s="53"/>
      <c r="J540" s="53"/>
      <c r="K540" s="61"/>
      <c r="L540" s="53"/>
      <c r="M540" s="53" t="str">
        <f>IFERROR(__xludf.DUMMYFUNCTION("""COMPUTED_VALUE"""),"")</f>
        <v/>
      </c>
      <c r="N540" s="53"/>
      <c r="O540" s="53"/>
      <c r="P540" s="53"/>
    </row>
    <row r="541">
      <c r="A541" s="60"/>
      <c r="B541" s="52"/>
      <c r="C541" s="53"/>
      <c r="D541" s="53"/>
      <c r="E541" s="53"/>
      <c r="F541" s="53"/>
      <c r="G541" s="53"/>
      <c r="H541" s="53"/>
      <c r="I541" s="53"/>
      <c r="J541" s="53"/>
      <c r="K541" s="61"/>
      <c r="L541" s="53"/>
      <c r="M541" s="53" t="str">
        <f>IFERROR(__xludf.DUMMYFUNCTION("""COMPUTED_VALUE"""),"")</f>
        <v/>
      </c>
      <c r="N541" s="53"/>
      <c r="O541" s="53"/>
      <c r="P541" s="53"/>
    </row>
    <row r="542">
      <c r="A542" s="60"/>
      <c r="B542" s="52"/>
      <c r="C542" s="53"/>
      <c r="D542" s="53"/>
      <c r="E542" s="53"/>
      <c r="F542" s="53"/>
      <c r="G542" s="53"/>
      <c r="H542" s="53"/>
      <c r="I542" s="53"/>
      <c r="J542" s="53"/>
      <c r="K542" s="61"/>
      <c r="L542" s="53"/>
      <c r="M542" s="53" t="str">
        <f>IFERROR(__xludf.DUMMYFUNCTION("""COMPUTED_VALUE"""),"")</f>
        <v/>
      </c>
      <c r="N542" s="53"/>
      <c r="O542" s="53"/>
      <c r="P542" s="53"/>
    </row>
    <row r="543">
      <c r="A543" s="60"/>
      <c r="B543" s="52"/>
      <c r="C543" s="53"/>
      <c r="D543" s="53"/>
      <c r="E543" s="53"/>
      <c r="F543" s="53"/>
      <c r="G543" s="53"/>
      <c r="H543" s="53"/>
      <c r="I543" s="53"/>
      <c r="J543" s="53"/>
      <c r="K543" s="61"/>
      <c r="L543" s="53"/>
      <c r="M543" s="53" t="str">
        <f>IFERROR(__xludf.DUMMYFUNCTION("""COMPUTED_VALUE"""),"")</f>
        <v/>
      </c>
      <c r="N543" s="53"/>
      <c r="O543" s="53"/>
      <c r="P543" s="53"/>
    </row>
    <row r="544">
      <c r="A544" s="60"/>
      <c r="B544" s="52"/>
      <c r="C544" s="53"/>
      <c r="D544" s="53"/>
      <c r="E544" s="53"/>
      <c r="F544" s="53"/>
      <c r="G544" s="53"/>
      <c r="H544" s="53"/>
      <c r="I544" s="53"/>
      <c r="J544" s="53"/>
      <c r="K544" s="61"/>
      <c r="L544" s="53"/>
      <c r="M544" s="53" t="str">
        <f>IFERROR(__xludf.DUMMYFUNCTION("""COMPUTED_VALUE"""),"")</f>
        <v/>
      </c>
      <c r="N544" s="53"/>
      <c r="O544" s="53"/>
      <c r="P544" s="53"/>
    </row>
    <row r="545">
      <c r="A545" s="60"/>
      <c r="B545" s="52"/>
      <c r="C545" s="53"/>
      <c r="D545" s="53"/>
      <c r="E545" s="53"/>
      <c r="F545" s="53"/>
      <c r="G545" s="53"/>
      <c r="H545" s="53"/>
      <c r="I545" s="53"/>
      <c r="J545" s="53"/>
      <c r="K545" s="61"/>
      <c r="L545" s="53"/>
      <c r="M545" s="53" t="str">
        <f>IFERROR(__xludf.DUMMYFUNCTION("""COMPUTED_VALUE"""),"")</f>
        <v/>
      </c>
      <c r="N545" s="53"/>
      <c r="O545" s="53"/>
      <c r="P545" s="53"/>
    </row>
    <row r="546">
      <c r="A546" s="60"/>
      <c r="B546" s="52"/>
      <c r="C546" s="53"/>
      <c r="D546" s="53"/>
      <c r="E546" s="53"/>
      <c r="F546" s="53"/>
      <c r="G546" s="53"/>
      <c r="H546" s="53"/>
      <c r="I546" s="53"/>
      <c r="J546" s="53"/>
      <c r="K546" s="61"/>
      <c r="L546" s="53"/>
      <c r="M546" s="53" t="str">
        <f>IFERROR(__xludf.DUMMYFUNCTION("""COMPUTED_VALUE"""),"")</f>
        <v/>
      </c>
      <c r="N546" s="53"/>
      <c r="O546" s="53"/>
      <c r="P546" s="53"/>
    </row>
    <row r="547">
      <c r="A547" s="60"/>
      <c r="B547" s="52"/>
      <c r="C547" s="53"/>
      <c r="D547" s="53"/>
      <c r="E547" s="53"/>
      <c r="F547" s="53"/>
      <c r="G547" s="53"/>
      <c r="H547" s="53"/>
      <c r="I547" s="53"/>
      <c r="J547" s="53"/>
      <c r="K547" s="61"/>
      <c r="L547" s="53"/>
      <c r="M547" s="53" t="str">
        <f>IFERROR(__xludf.DUMMYFUNCTION("""COMPUTED_VALUE"""),"")</f>
        <v/>
      </c>
      <c r="N547" s="53"/>
      <c r="O547" s="53"/>
      <c r="P547" s="53"/>
    </row>
    <row r="548">
      <c r="A548" s="60"/>
      <c r="B548" s="52"/>
      <c r="C548" s="53"/>
      <c r="D548" s="53"/>
      <c r="E548" s="53"/>
      <c r="F548" s="53"/>
      <c r="G548" s="53"/>
      <c r="H548" s="53"/>
      <c r="I548" s="53"/>
      <c r="J548" s="53"/>
      <c r="K548" s="61"/>
      <c r="L548" s="53"/>
      <c r="M548" s="53" t="str">
        <f>IFERROR(__xludf.DUMMYFUNCTION("""COMPUTED_VALUE"""),"")</f>
        <v/>
      </c>
      <c r="N548" s="53"/>
      <c r="O548" s="53"/>
      <c r="P548" s="53"/>
    </row>
    <row r="549">
      <c r="A549" s="60"/>
      <c r="B549" s="52"/>
      <c r="C549" s="53"/>
      <c r="D549" s="53"/>
      <c r="E549" s="53"/>
      <c r="F549" s="53"/>
      <c r="G549" s="53"/>
      <c r="H549" s="53"/>
      <c r="I549" s="53"/>
      <c r="J549" s="53"/>
      <c r="K549" s="61"/>
      <c r="L549" s="53"/>
      <c r="M549" s="53" t="str">
        <f>IFERROR(__xludf.DUMMYFUNCTION("""COMPUTED_VALUE"""),"")</f>
        <v/>
      </c>
      <c r="N549" s="53"/>
      <c r="O549" s="53"/>
      <c r="P549" s="53"/>
    </row>
    <row r="550">
      <c r="A550" s="60"/>
      <c r="B550" s="52"/>
      <c r="C550" s="53"/>
      <c r="D550" s="53"/>
      <c r="E550" s="53"/>
      <c r="F550" s="53"/>
      <c r="G550" s="53"/>
      <c r="H550" s="53"/>
      <c r="I550" s="53"/>
      <c r="J550" s="53"/>
      <c r="K550" s="61"/>
      <c r="L550" s="53"/>
      <c r="M550" s="53" t="str">
        <f>IFERROR(__xludf.DUMMYFUNCTION("""COMPUTED_VALUE"""),"")</f>
        <v/>
      </c>
      <c r="N550" s="53"/>
      <c r="O550" s="53"/>
      <c r="P550" s="53"/>
    </row>
    <row r="551">
      <c r="A551" s="60"/>
      <c r="B551" s="52"/>
      <c r="C551" s="53"/>
      <c r="D551" s="53"/>
      <c r="E551" s="53"/>
      <c r="F551" s="53"/>
      <c r="G551" s="53"/>
      <c r="H551" s="53"/>
      <c r="I551" s="53"/>
      <c r="J551" s="53"/>
      <c r="K551" s="61"/>
      <c r="L551" s="53"/>
      <c r="M551" s="53" t="str">
        <f>IFERROR(__xludf.DUMMYFUNCTION("""COMPUTED_VALUE"""),"")</f>
        <v/>
      </c>
      <c r="N551" s="53"/>
      <c r="O551" s="53"/>
      <c r="P551" s="53"/>
    </row>
    <row r="552">
      <c r="A552" s="60"/>
      <c r="B552" s="52"/>
      <c r="C552" s="53"/>
      <c r="D552" s="53"/>
      <c r="E552" s="53"/>
      <c r="F552" s="53"/>
      <c r="G552" s="53"/>
      <c r="H552" s="53"/>
      <c r="I552" s="53"/>
      <c r="J552" s="53"/>
      <c r="K552" s="61"/>
      <c r="L552" s="53"/>
      <c r="M552" s="53" t="str">
        <f>IFERROR(__xludf.DUMMYFUNCTION("""COMPUTED_VALUE"""),"")</f>
        <v/>
      </c>
      <c r="N552" s="53"/>
      <c r="O552" s="53"/>
      <c r="P552" s="53"/>
    </row>
    <row r="553">
      <c r="A553" s="60"/>
      <c r="B553" s="52"/>
      <c r="C553" s="53"/>
      <c r="D553" s="53"/>
      <c r="E553" s="53"/>
      <c r="F553" s="53"/>
      <c r="G553" s="53"/>
      <c r="H553" s="53"/>
      <c r="I553" s="53"/>
      <c r="J553" s="53"/>
      <c r="K553" s="61"/>
      <c r="L553" s="53"/>
      <c r="M553" s="53" t="str">
        <f>IFERROR(__xludf.DUMMYFUNCTION("""COMPUTED_VALUE"""),"")</f>
        <v/>
      </c>
      <c r="N553" s="53"/>
      <c r="O553" s="53"/>
      <c r="P553" s="53"/>
    </row>
    <row r="554">
      <c r="A554" s="60"/>
      <c r="B554" s="52"/>
      <c r="C554" s="53"/>
      <c r="D554" s="53"/>
      <c r="E554" s="53"/>
      <c r="F554" s="53"/>
      <c r="G554" s="53"/>
      <c r="H554" s="53"/>
      <c r="I554" s="53"/>
      <c r="J554" s="53"/>
      <c r="K554" s="61"/>
      <c r="L554" s="53"/>
      <c r="M554" s="53" t="str">
        <f>IFERROR(__xludf.DUMMYFUNCTION("""COMPUTED_VALUE"""),"")</f>
        <v/>
      </c>
      <c r="N554" s="53"/>
      <c r="O554" s="53"/>
      <c r="P554" s="53"/>
    </row>
    <row r="555">
      <c r="A555" s="60"/>
      <c r="B555" s="52"/>
      <c r="C555" s="53"/>
      <c r="D555" s="53"/>
      <c r="E555" s="53"/>
      <c r="F555" s="53"/>
      <c r="G555" s="53"/>
      <c r="H555" s="53"/>
      <c r="I555" s="53"/>
      <c r="J555" s="53"/>
      <c r="K555" s="61"/>
      <c r="L555" s="53"/>
      <c r="M555" s="53" t="str">
        <f>IFERROR(__xludf.DUMMYFUNCTION("""COMPUTED_VALUE"""),"")</f>
        <v/>
      </c>
      <c r="N555" s="53"/>
      <c r="O555" s="53"/>
      <c r="P555" s="53"/>
    </row>
    <row r="556">
      <c r="A556" s="60"/>
      <c r="B556" s="52"/>
      <c r="C556" s="53"/>
      <c r="D556" s="53"/>
      <c r="E556" s="53"/>
      <c r="F556" s="53"/>
      <c r="G556" s="53"/>
      <c r="H556" s="53"/>
      <c r="I556" s="53"/>
      <c r="J556" s="53"/>
      <c r="K556" s="61"/>
      <c r="L556" s="53"/>
      <c r="M556" s="53" t="str">
        <f>IFERROR(__xludf.DUMMYFUNCTION("""COMPUTED_VALUE"""),"")</f>
        <v/>
      </c>
      <c r="N556" s="53"/>
      <c r="O556" s="53"/>
      <c r="P556" s="53"/>
    </row>
    <row r="557">
      <c r="A557" s="60"/>
      <c r="B557" s="52"/>
      <c r="C557" s="53"/>
      <c r="D557" s="53"/>
      <c r="E557" s="53"/>
      <c r="F557" s="53"/>
      <c r="G557" s="53"/>
      <c r="H557" s="53"/>
      <c r="I557" s="53"/>
      <c r="J557" s="53"/>
      <c r="K557" s="61"/>
      <c r="L557" s="53"/>
      <c r="M557" s="53" t="str">
        <f>IFERROR(__xludf.DUMMYFUNCTION("""COMPUTED_VALUE"""),"")</f>
        <v/>
      </c>
      <c r="N557" s="53"/>
      <c r="O557" s="53"/>
      <c r="P557" s="53"/>
    </row>
    <row r="558">
      <c r="A558" s="60"/>
      <c r="B558" s="52"/>
      <c r="C558" s="53"/>
      <c r="D558" s="53"/>
      <c r="E558" s="53"/>
      <c r="F558" s="53"/>
      <c r="G558" s="53"/>
      <c r="H558" s="53"/>
      <c r="I558" s="53"/>
      <c r="J558" s="53"/>
      <c r="K558" s="61"/>
      <c r="L558" s="53"/>
      <c r="M558" s="53" t="str">
        <f>IFERROR(__xludf.DUMMYFUNCTION("""COMPUTED_VALUE"""),"")</f>
        <v/>
      </c>
      <c r="N558" s="53"/>
      <c r="O558" s="53"/>
      <c r="P558" s="53"/>
    </row>
    <row r="559">
      <c r="A559" s="60"/>
      <c r="B559" s="52"/>
      <c r="C559" s="53"/>
      <c r="D559" s="53"/>
      <c r="E559" s="53"/>
      <c r="F559" s="53"/>
      <c r="G559" s="53"/>
      <c r="H559" s="53"/>
      <c r="I559" s="53"/>
      <c r="J559" s="53"/>
      <c r="K559" s="61"/>
      <c r="L559" s="53"/>
      <c r="M559" s="53" t="str">
        <f>IFERROR(__xludf.DUMMYFUNCTION("""COMPUTED_VALUE"""),"")</f>
        <v/>
      </c>
      <c r="N559" s="53"/>
      <c r="O559" s="53"/>
      <c r="P559" s="53"/>
    </row>
    <row r="560">
      <c r="A560" s="60"/>
      <c r="B560" s="52"/>
      <c r="C560" s="53"/>
      <c r="D560" s="53"/>
      <c r="E560" s="53"/>
      <c r="F560" s="53"/>
      <c r="G560" s="53"/>
      <c r="H560" s="53"/>
      <c r="I560" s="53"/>
      <c r="J560" s="53"/>
      <c r="K560" s="61"/>
      <c r="L560" s="53"/>
      <c r="M560" s="53" t="str">
        <f>IFERROR(__xludf.DUMMYFUNCTION("""COMPUTED_VALUE"""),"")</f>
        <v/>
      </c>
      <c r="N560" s="53"/>
      <c r="O560" s="53"/>
      <c r="P560" s="53"/>
    </row>
    <row r="561">
      <c r="A561" s="60"/>
      <c r="B561" s="52"/>
      <c r="C561" s="53"/>
      <c r="D561" s="53"/>
      <c r="E561" s="53"/>
      <c r="F561" s="53"/>
      <c r="G561" s="53"/>
      <c r="H561" s="53"/>
      <c r="I561" s="53"/>
      <c r="J561" s="53"/>
      <c r="K561" s="61"/>
      <c r="L561" s="53"/>
      <c r="M561" s="53" t="str">
        <f>IFERROR(__xludf.DUMMYFUNCTION("""COMPUTED_VALUE"""),"")</f>
        <v/>
      </c>
      <c r="N561" s="53"/>
      <c r="O561" s="53"/>
      <c r="P561" s="53"/>
    </row>
    <row r="562">
      <c r="A562" s="60"/>
      <c r="B562" s="52"/>
      <c r="C562" s="53"/>
      <c r="D562" s="53"/>
      <c r="E562" s="53"/>
      <c r="F562" s="53"/>
      <c r="G562" s="53"/>
      <c r="H562" s="53"/>
      <c r="I562" s="53"/>
      <c r="J562" s="53"/>
      <c r="K562" s="61"/>
      <c r="L562" s="53"/>
      <c r="M562" s="53" t="str">
        <f>IFERROR(__xludf.DUMMYFUNCTION("""COMPUTED_VALUE"""),"")</f>
        <v/>
      </c>
      <c r="N562" s="53"/>
      <c r="O562" s="53"/>
      <c r="P562" s="53"/>
    </row>
    <row r="563">
      <c r="A563" s="60"/>
      <c r="B563" s="52"/>
      <c r="C563" s="53"/>
      <c r="D563" s="53"/>
      <c r="E563" s="53"/>
      <c r="F563" s="53"/>
      <c r="G563" s="53"/>
      <c r="H563" s="53"/>
      <c r="I563" s="53"/>
      <c r="J563" s="53"/>
      <c r="K563" s="61"/>
      <c r="L563" s="53"/>
      <c r="M563" s="53" t="str">
        <f>IFERROR(__xludf.DUMMYFUNCTION("""COMPUTED_VALUE"""),"")</f>
        <v/>
      </c>
      <c r="N563" s="53"/>
      <c r="O563" s="53"/>
      <c r="P563" s="53"/>
    </row>
    <row r="564">
      <c r="A564" s="60"/>
      <c r="B564" s="52"/>
      <c r="C564" s="53"/>
      <c r="D564" s="53"/>
      <c r="E564" s="53"/>
      <c r="F564" s="53"/>
      <c r="G564" s="53"/>
      <c r="H564" s="53"/>
      <c r="I564" s="53"/>
      <c r="J564" s="53"/>
      <c r="K564" s="61"/>
      <c r="L564" s="53"/>
      <c r="M564" s="53" t="str">
        <f>IFERROR(__xludf.DUMMYFUNCTION("""COMPUTED_VALUE"""),"")</f>
        <v/>
      </c>
      <c r="N564" s="53"/>
      <c r="O564" s="53"/>
      <c r="P564" s="53"/>
    </row>
    <row r="565">
      <c r="A565" s="60"/>
      <c r="B565" s="52"/>
      <c r="C565" s="53"/>
      <c r="D565" s="53"/>
      <c r="E565" s="53"/>
      <c r="F565" s="53"/>
      <c r="G565" s="53"/>
      <c r="H565" s="53"/>
      <c r="I565" s="53"/>
      <c r="J565" s="53"/>
      <c r="K565" s="61"/>
      <c r="L565" s="53"/>
      <c r="M565" s="53" t="str">
        <f>IFERROR(__xludf.DUMMYFUNCTION("""COMPUTED_VALUE"""),"")</f>
        <v/>
      </c>
      <c r="N565" s="53"/>
      <c r="O565" s="53"/>
      <c r="P565" s="53"/>
    </row>
    <row r="566">
      <c r="A566" s="60"/>
      <c r="B566" s="52"/>
      <c r="C566" s="53"/>
      <c r="D566" s="53"/>
      <c r="E566" s="53"/>
      <c r="F566" s="53"/>
      <c r="G566" s="53"/>
      <c r="H566" s="53"/>
      <c r="I566" s="53"/>
      <c r="J566" s="53"/>
      <c r="K566" s="61"/>
      <c r="L566" s="53"/>
      <c r="M566" s="53" t="str">
        <f>IFERROR(__xludf.DUMMYFUNCTION("""COMPUTED_VALUE"""),"")</f>
        <v/>
      </c>
      <c r="N566" s="53"/>
      <c r="O566" s="53"/>
      <c r="P566" s="53"/>
    </row>
    <row r="567">
      <c r="A567" s="60"/>
      <c r="B567" s="52"/>
      <c r="C567" s="53"/>
      <c r="D567" s="53"/>
      <c r="E567" s="53"/>
      <c r="F567" s="53"/>
      <c r="G567" s="53"/>
      <c r="H567" s="53"/>
      <c r="I567" s="53"/>
      <c r="J567" s="53"/>
      <c r="K567" s="61"/>
      <c r="L567" s="53"/>
      <c r="M567" s="53" t="str">
        <f>IFERROR(__xludf.DUMMYFUNCTION("""COMPUTED_VALUE"""),"")</f>
        <v/>
      </c>
      <c r="N567" s="53"/>
      <c r="O567" s="53"/>
      <c r="P567" s="53"/>
    </row>
    <row r="568">
      <c r="A568" s="60"/>
      <c r="B568" s="52"/>
      <c r="C568" s="53"/>
      <c r="D568" s="53"/>
      <c r="E568" s="53"/>
      <c r="F568" s="53"/>
      <c r="G568" s="53"/>
      <c r="H568" s="53"/>
      <c r="I568" s="53"/>
      <c r="J568" s="53"/>
      <c r="K568" s="61"/>
      <c r="L568" s="53"/>
      <c r="M568" s="53" t="str">
        <f>IFERROR(__xludf.DUMMYFUNCTION("""COMPUTED_VALUE"""),"")</f>
        <v/>
      </c>
      <c r="N568" s="53"/>
      <c r="O568" s="53"/>
      <c r="P568" s="53"/>
    </row>
    <row r="569">
      <c r="A569" s="60"/>
      <c r="B569" s="52"/>
      <c r="C569" s="53"/>
      <c r="D569" s="53"/>
      <c r="E569" s="53"/>
      <c r="F569" s="53"/>
      <c r="G569" s="53"/>
      <c r="H569" s="53"/>
      <c r="I569" s="53"/>
      <c r="J569" s="53"/>
      <c r="K569" s="61"/>
      <c r="L569" s="53"/>
      <c r="M569" s="53" t="str">
        <f>IFERROR(__xludf.DUMMYFUNCTION("""COMPUTED_VALUE"""),"")</f>
        <v/>
      </c>
      <c r="N569" s="53"/>
      <c r="O569" s="53"/>
      <c r="P569" s="53"/>
    </row>
    <row r="570">
      <c r="A570" s="60"/>
      <c r="B570" s="52"/>
      <c r="C570" s="53"/>
      <c r="D570" s="53"/>
      <c r="E570" s="53"/>
      <c r="F570" s="53"/>
      <c r="G570" s="53"/>
      <c r="H570" s="53"/>
      <c r="I570" s="53"/>
      <c r="J570" s="53"/>
      <c r="K570" s="61"/>
      <c r="L570" s="53"/>
      <c r="M570" s="53" t="str">
        <f>IFERROR(__xludf.DUMMYFUNCTION("""COMPUTED_VALUE"""),"")</f>
        <v/>
      </c>
      <c r="N570" s="53"/>
      <c r="O570" s="53"/>
      <c r="P570" s="53"/>
    </row>
    <row r="571">
      <c r="A571" s="60"/>
      <c r="B571" s="52"/>
      <c r="C571" s="53"/>
      <c r="D571" s="53"/>
      <c r="E571" s="53"/>
      <c r="F571" s="53"/>
      <c r="G571" s="53"/>
      <c r="H571" s="53"/>
      <c r="I571" s="53"/>
      <c r="J571" s="53"/>
      <c r="K571" s="61"/>
      <c r="L571" s="53"/>
      <c r="M571" s="53" t="str">
        <f>IFERROR(__xludf.DUMMYFUNCTION("""COMPUTED_VALUE"""),"")</f>
        <v/>
      </c>
      <c r="N571" s="53"/>
      <c r="O571" s="53"/>
      <c r="P571" s="53"/>
    </row>
    <row r="572">
      <c r="A572" s="60"/>
      <c r="B572" s="52"/>
      <c r="C572" s="53"/>
      <c r="D572" s="53"/>
      <c r="E572" s="53"/>
      <c r="F572" s="53"/>
      <c r="G572" s="53"/>
      <c r="H572" s="53"/>
      <c r="I572" s="53"/>
      <c r="J572" s="53"/>
      <c r="K572" s="61"/>
      <c r="L572" s="53"/>
      <c r="M572" s="53" t="str">
        <f>IFERROR(__xludf.DUMMYFUNCTION("""COMPUTED_VALUE"""),"")</f>
        <v/>
      </c>
      <c r="N572" s="53"/>
      <c r="O572" s="53"/>
      <c r="P572" s="53"/>
    </row>
    <row r="573">
      <c r="A573" s="60"/>
      <c r="B573" s="52"/>
      <c r="C573" s="53"/>
      <c r="D573" s="53"/>
      <c r="E573" s="53"/>
      <c r="F573" s="53"/>
      <c r="G573" s="53"/>
      <c r="H573" s="53"/>
      <c r="I573" s="53"/>
      <c r="J573" s="53"/>
      <c r="K573" s="61"/>
      <c r="L573" s="53"/>
      <c r="M573" s="53" t="str">
        <f>IFERROR(__xludf.DUMMYFUNCTION("""COMPUTED_VALUE"""),"")</f>
        <v/>
      </c>
      <c r="N573" s="53"/>
      <c r="O573" s="53"/>
      <c r="P573" s="53"/>
    </row>
    <row r="574">
      <c r="A574" s="60"/>
      <c r="B574" s="52"/>
      <c r="C574" s="53"/>
      <c r="D574" s="53"/>
      <c r="E574" s="53"/>
      <c r="F574" s="53"/>
      <c r="G574" s="53"/>
      <c r="H574" s="53"/>
      <c r="I574" s="53"/>
      <c r="J574" s="53"/>
      <c r="K574" s="61"/>
      <c r="L574" s="53"/>
      <c r="M574" s="53" t="str">
        <f>IFERROR(__xludf.DUMMYFUNCTION("""COMPUTED_VALUE"""),"")</f>
        <v/>
      </c>
      <c r="N574" s="53"/>
      <c r="O574" s="53"/>
      <c r="P574" s="53"/>
    </row>
    <row r="575">
      <c r="A575" s="60"/>
      <c r="B575" s="52"/>
      <c r="C575" s="53"/>
      <c r="D575" s="53"/>
      <c r="E575" s="53"/>
      <c r="F575" s="53"/>
      <c r="G575" s="53"/>
      <c r="H575" s="53"/>
      <c r="I575" s="53"/>
      <c r="J575" s="53"/>
      <c r="K575" s="61"/>
      <c r="L575" s="53"/>
      <c r="M575" s="53" t="str">
        <f>IFERROR(__xludf.DUMMYFUNCTION("""COMPUTED_VALUE"""),"")</f>
        <v/>
      </c>
      <c r="N575" s="53"/>
      <c r="O575" s="53"/>
      <c r="P575" s="53"/>
    </row>
    <row r="576">
      <c r="A576" s="60"/>
      <c r="B576" s="52"/>
      <c r="C576" s="53"/>
      <c r="D576" s="53"/>
      <c r="E576" s="53"/>
      <c r="F576" s="53"/>
      <c r="G576" s="53"/>
      <c r="H576" s="53"/>
      <c r="I576" s="53"/>
      <c r="J576" s="53"/>
      <c r="K576" s="61"/>
      <c r="L576" s="53"/>
      <c r="M576" s="53" t="str">
        <f>IFERROR(__xludf.DUMMYFUNCTION("""COMPUTED_VALUE"""),"")</f>
        <v/>
      </c>
      <c r="N576" s="53"/>
      <c r="O576" s="53"/>
      <c r="P576" s="53"/>
    </row>
    <row r="577">
      <c r="A577" s="60"/>
      <c r="B577" s="52"/>
      <c r="C577" s="53"/>
      <c r="D577" s="53"/>
      <c r="E577" s="53"/>
      <c r="F577" s="53"/>
      <c r="G577" s="53"/>
      <c r="H577" s="53"/>
      <c r="I577" s="53"/>
      <c r="J577" s="53"/>
      <c r="K577" s="61"/>
      <c r="L577" s="53"/>
      <c r="M577" s="53" t="str">
        <f>IFERROR(__xludf.DUMMYFUNCTION("""COMPUTED_VALUE"""),"")</f>
        <v/>
      </c>
      <c r="N577" s="53"/>
      <c r="O577" s="53"/>
      <c r="P577" s="53"/>
    </row>
    <row r="578">
      <c r="A578" s="60"/>
      <c r="B578" s="52"/>
      <c r="C578" s="53"/>
      <c r="D578" s="53"/>
      <c r="E578" s="53"/>
      <c r="F578" s="53"/>
      <c r="G578" s="53"/>
      <c r="H578" s="53"/>
      <c r="I578" s="53"/>
      <c r="J578" s="53"/>
      <c r="K578" s="61"/>
      <c r="L578" s="53"/>
      <c r="M578" s="53" t="str">
        <f>IFERROR(__xludf.DUMMYFUNCTION("""COMPUTED_VALUE"""),"")</f>
        <v/>
      </c>
      <c r="N578" s="53"/>
      <c r="O578" s="53"/>
      <c r="P578" s="53"/>
    </row>
    <row r="579">
      <c r="A579" s="60"/>
      <c r="B579" s="52"/>
      <c r="C579" s="53"/>
      <c r="D579" s="53"/>
      <c r="E579" s="53"/>
      <c r="F579" s="53"/>
      <c r="G579" s="53"/>
      <c r="H579" s="53"/>
      <c r="I579" s="53"/>
      <c r="J579" s="53"/>
      <c r="K579" s="61"/>
      <c r="L579" s="53"/>
      <c r="M579" s="53" t="str">
        <f>IFERROR(__xludf.DUMMYFUNCTION("""COMPUTED_VALUE"""),"")</f>
        <v/>
      </c>
      <c r="N579" s="53"/>
      <c r="O579" s="53"/>
      <c r="P579" s="53"/>
    </row>
    <row r="580">
      <c r="A580" s="60"/>
      <c r="B580" s="52"/>
      <c r="C580" s="53"/>
      <c r="D580" s="53"/>
      <c r="E580" s="53"/>
      <c r="F580" s="53"/>
      <c r="G580" s="53"/>
      <c r="H580" s="53"/>
      <c r="I580" s="53"/>
      <c r="J580" s="53"/>
      <c r="K580" s="61"/>
      <c r="L580" s="53"/>
      <c r="M580" s="53" t="str">
        <f>IFERROR(__xludf.DUMMYFUNCTION("""COMPUTED_VALUE"""),"")</f>
        <v/>
      </c>
      <c r="N580" s="53"/>
      <c r="O580" s="53"/>
      <c r="P580" s="53"/>
    </row>
    <row r="581">
      <c r="A581" s="60"/>
      <c r="B581" s="52"/>
      <c r="C581" s="53"/>
      <c r="D581" s="53"/>
      <c r="E581" s="53"/>
      <c r="F581" s="53"/>
      <c r="G581" s="53"/>
      <c r="H581" s="53"/>
      <c r="I581" s="53"/>
      <c r="J581" s="53"/>
      <c r="K581" s="61"/>
      <c r="L581" s="53"/>
      <c r="M581" s="53" t="str">
        <f>IFERROR(__xludf.DUMMYFUNCTION("""COMPUTED_VALUE"""),"")</f>
        <v/>
      </c>
      <c r="N581" s="53"/>
      <c r="O581" s="53"/>
      <c r="P581" s="53"/>
    </row>
    <row r="582">
      <c r="A582" s="60"/>
      <c r="B582" s="52"/>
      <c r="C582" s="53"/>
      <c r="D582" s="53"/>
      <c r="E582" s="53"/>
      <c r="F582" s="53"/>
      <c r="G582" s="53"/>
      <c r="H582" s="53"/>
      <c r="I582" s="53"/>
      <c r="J582" s="53"/>
      <c r="K582" s="61"/>
      <c r="L582" s="53"/>
      <c r="M582" s="53" t="str">
        <f>IFERROR(__xludf.DUMMYFUNCTION("""COMPUTED_VALUE"""),"")</f>
        <v/>
      </c>
      <c r="N582" s="53"/>
      <c r="O582" s="53"/>
      <c r="P582" s="53"/>
    </row>
    <row r="583">
      <c r="A583" s="60"/>
      <c r="B583" s="52"/>
      <c r="C583" s="53"/>
      <c r="D583" s="53"/>
      <c r="E583" s="53"/>
      <c r="F583" s="53"/>
      <c r="G583" s="53"/>
      <c r="H583" s="53"/>
      <c r="I583" s="53"/>
      <c r="J583" s="53"/>
      <c r="K583" s="61"/>
      <c r="L583" s="53"/>
      <c r="M583" s="53" t="str">
        <f>IFERROR(__xludf.DUMMYFUNCTION("""COMPUTED_VALUE"""),"")</f>
        <v/>
      </c>
      <c r="N583" s="53"/>
      <c r="O583" s="53"/>
      <c r="P583" s="53"/>
    </row>
    <row r="584">
      <c r="A584" s="60"/>
      <c r="B584" s="52"/>
      <c r="C584" s="53"/>
      <c r="D584" s="53"/>
      <c r="E584" s="53"/>
      <c r="F584" s="53"/>
      <c r="G584" s="53"/>
      <c r="H584" s="53"/>
      <c r="I584" s="53"/>
      <c r="J584" s="53"/>
      <c r="K584" s="61"/>
      <c r="L584" s="53"/>
      <c r="M584" s="53" t="str">
        <f>IFERROR(__xludf.DUMMYFUNCTION("""COMPUTED_VALUE"""),"")</f>
        <v/>
      </c>
      <c r="N584" s="53"/>
      <c r="O584" s="53"/>
      <c r="P584" s="53"/>
    </row>
    <row r="585">
      <c r="A585" s="60"/>
      <c r="B585" s="52"/>
      <c r="C585" s="53"/>
      <c r="D585" s="53"/>
      <c r="E585" s="53"/>
      <c r="F585" s="53"/>
      <c r="G585" s="53"/>
      <c r="H585" s="53"/>
      <c r="I585" s="53"/>
      <c r="J585" s="53"/>
      <c r="K585" s="61"/>
      <c r="L585" s="53"/>
      <c r="M585" s="53" t="str">
        <f>IFERROR(__xludf.DUMMYFUNCTION("""COMPUTED_VALUE"""),"")</f>
        <v/>
      </c>
      <c r="N585" s="53"/>
      <c r="O585" s="53"/>
      <c r="P585" s="53"/>
    </row>
    <row r="586">
      <c r="A586" s="60"/>
      <c r="B586" s="52"/>
      <c r="C586" s="53"/>
      <c r="D586" s="53"/>
      <c r="E586" s="53"/>
      <c r="F586" s="53"/>
      <c r="G586" s="53"/>
      <c r="H586" s="53"/>
      <c r="I586" s="53"/>
      <c r="J586" s="53"/>
      <c r="K586" s="61"/>
      <c r="L586" s="53"/>
      <c r="M586" s="53" t="str">
        <f>IFERROR(__xludf.DUMMYFUNCTION("""COMPUTED_VALUE"""),"")</f>
        <v/>
      </c>
      <c r="N586" s="53"/>
      <c r="O586" s="53"/>
      <c r="P586" s="53"/>
    </row>
    <row r="587">
      <c r="A587" s="60"/>
      <c r="B587" s="52"/>
      <c r="C587" s="53"/>
      <c r="D587" s="53"/>
      <c r="E587" s="53"/>
      <c r="F587" s="53"/>
      <c r="G587" s="53"/>
      <c r="H587" s="53"/>
      <c r="I587" s="53"/>
      <c r="J587" s="53"/>
      <c r="K587" s="61"/>
      <c r="L587" s="53"/>
      <c r="M587" s="53" t="str">
        <f>IFERROR(__xludf.DUMMYFUNCTION("""COMPUTED_VALUE"""),"")</f>
        <v/>
      </c>
      <c r="N587" s="53"/>
      <c r="O587" s="53"/>
      <c r="P587" s="53"/>
    </row>
    <row r="588">
      <c r="A588" s="60"/>
      <c r="B588" s="52"/>
      <c r="C588" s="53"/>
      <c r="D588" s="53"/>
      <c r="E588" s="53"/>
      <c r="F588" s="53"/>
      <c r="G588" s="53"/>
      <c r="H588" s="53"/>
      <c r="I588" s="53"/>
      <c r="J588" s="53"/>
      <c r="K588" s="61"/>
      <c r="L588" s="53"/>
      <c r="M588" s="53" t="str">
        <f>IFERROR(__xludf.DUMMYFUNCTION("""COMPUTED_VALUE"""),"")</f>
        <v/>
      </c>
      <c r="N588" s="53"/>
      <c r="O588" s="53"/>
      <c r="P588" s="53"/>
    </row>
    <row r="589">
      <c r="A589" s="60"/>
      <c r="B589" s="52"/>
      <c r="C589" s="53"/>
      <c r="D589" s="53"/>
      <c r="E589" s="53"/>
      <c r="F589" s="53"/>
      <c r="G589" s="53"/>
      <c r="H589" s="53"/>
      <c r="I589" s="53"/>
      <c r="J589" s="53"/>
      <c r="K589" s="61"/>
      <c r="L589" s="53"/>
      <c r="M589" s="53" t="str">
        <f>IFERROR(__xludf.DUMMYFUNCTION("""COMPUTED_VALUE"""),"")</f>
        <v/>
      </c>
      <c r="N589" s="53"/>
      <c r="O589" s="53"/>
      <c r="P589" s="53"/>
    </row>
    <row r="590">
      <c r="A590" s="60"/>
      <c r="B590" s="52"/>
      <c r="C590" s="53"/>
      <c r="D590" s="53"/>
      <c r="E590" s="53"/>
      <c r="F590" s="53"/>
      <c r="G590" s="53"/>
      <c r="H590" s="53"/>
      <c r="I590" s="53"/>
      <c r="J590" s="53"/>
      <c r="K590" s="61"/>
      <c r="L590" s="53"/>
      <c r="M590" s="53" t="str">
        <f>IFERROR(__xludf.DUMMYFUNCTION("""COMPUTED_VALUE"""),"")</f>
        <v/>
      </c>
      <c r="N590" s="53"/>
      <c r="O590" s="53"/>
      <c r="P590" s="53"/>
    </row>
    <row r="591">
      <c r="A591" s="60"/>
      <c r="B591" s="52"/>
      <c r="C591" s="53"/>
      <c r="D591" s="53"/>
      <c r="E591" s="53"/>
      <c r="F591" s="53"/>
      <c r="G591" s="53"/>
      <c r="H591" s="53"/>
      <c r="I591" s="53"/>
      <c r="J591" s="53"/>
      <c r="K591" s="61"/>
      <c r="L591" s="53"/>
      <c r="M591" s="53" t="str">
        <f>IFERROR(__xludf.DUMMYFUNCTION("""COMPUTED_VALUE"""),"")</f>
        <v/>
      </c>
      <c r="N591" s="53"/>
      <c r="O591" s="53"/>
      <c r="P591" s="53"/>
    </row>
    <row r="592">
      <c r="A592" s="60"/>
      <c r="B592" s="52"/>
      <c r="C592" s="53"/>
      <c r="D592" s="53"/>
      <c r="E592" s="53"/>
      <c r="F592" s="53"/>
      <c r="G592" s="53"/>
      <c r="H592" s="53"/>
      <c r="I592" s="53"/>
      <c r="J592" s="53"/>
      <c r="K592" s="61"/>
      <c r="L592" s="53"/>
      <c r="M592" s="53" t="str">
        <f>IFERROR(__xludf.DUMMYFUNCTION("""COMPUTED_VALUE"""),"")</f>
        <v/>
      </c>
      <c r="N592" s="53"/>
      <c r="O592" s="53"/>
      <c r="P592" s="53"/>
    </row>
    <row r="593">
      <c r="A593" s="60"/>
      <c r="B593" s="52"/>
      <c r="C593" s="53"/>
      <c r="D593" s="53"/>
      <c r="E593" s="53"/>
      <c r="F593" s="53"/>
      <c r="G593" s="53"/>
      <c r="H593" s="53"/>
      <c r="I593" s="53"/>
      <c r="J593" s="53"/>
      <c r="K593" s="61"/>
      <c r="L593" s="53"/>
      <c r="M593" s="53" t="str">
        <f>IFERROR(__xludf.DUMMYFUNCTION("""COMPUTED_VALUE"""),"")</f>
        <v/>
      </c>
      <c r="N593" s="53"/>
      <c r="O593" s="53"/>
      <c r="P593" s="53"/>
    </row>
    <row r="594">
      <c r="A594" s="60"/>
      <c r="B594" s="52"/>
      <c r="C594" s="53"/>
      <c r="D594" s="53"/>
      <c r="E594" s="53"/>
      <c r="F594" s="53"/>
      <c r="G594" s="53"/>
      <c r="H594" s="53"/>
      <c r="I594" s="53"/>
      <c r="J594" s="53"/>
      <c r="K594" s="61"/>
      <c r="L594" s="53"/>
      <c r="M594" s="53" t="str">
        <f>IFERROR(__xludf.DUMMYFUNCTION("""COMPUTED_VALUE"""),"")</f>
        <v/>
      </c>
      <c r="N594" s="53"/>
      <c r="O594" s="53"/>
      <c r="P594" s="53"/>
    </row>
    <row r="595">
      <c r="A595" s="60"/>
      <c r="B595" s="52"/>
      <c r="C595" s="53"/>
      <c r="D595" s="53"/>
      <c r="E595" s="53"/>
      <c r="F595" s="53"/>
      <c r="G595" s="53"/>
      <c r="H595" s="53"/>
      <c r="I595" s="53"/>
      <c r="J595" s="53"/>
      <c r="K595" s="61"/>
      <c r="L595" s="53"/>
      <c r="M595" s="53" t="str">
        <f>IFERROR(__xludf.DUMMYFUNCTION("""COMPUTED_VALUE"""),"")</f>
        <v/>
      </c>
      <c r="N595" s="53"/>
      <c r="O595" s="53"/>
      <c r="P595" s="53"/>
    </row>
    <row r="596">
      <c r="A596" s="60"/>
      <c r="B596" s="52"/>
      <c r="C596" s="53"/>
      <c r="D596" s="53"/>
      <c r="E596" s="53"/>
      <c r="F596" s="53"/>
      <c r="G596" s="53"/>
      <c r="H596" s="53"/>
      <c r="I596" s="53"/>
      <c r="J596" s="53"/>
      <c r="K596" s="61"/>
      <c r="L596" s="53"/>
      <c r="M596" s="53" t="str">
        <f>IFERROR(__xludf.DUMMYFUNCTION("""COMPUTED_VALUE"""),"")</f>
        <v/>
      </c>
      <c r="N596" s="53"/>
      <c r="O596" s="53"/>
      <c r="P596" s="53"/>
    </row>
    <row r="597">
      <c r="A597" s="60"/>
      <c r="B597" s="52"/>
      <c r="C597" s="53"/>
      <c r="D597" s="53"/>
      <c r="E597" s="53"/>
      <c r="F597" s="53"/>
      <c r="G597" s="53"/>
      <c r="H597" s="53"/>
      <c r="I597" s="53"/>
      <c r="J597" s="53"/>
      <c r="K597" s="61"/>
      <c r="L597" s="53"/>
      <c r="M597" s="53" t="str">
        <f>IFERROR(__xludf.DUMMYFUNCTION("""COMPUTED_VALUE"""),"")</f>
        <v/>
      </c>
      <c r="N597" s="53"/>
      <c r="O597" s="53"/>
      <c r="P597" s="53"/>
    </row>
    <row r="598">
      <c r="A598" s="60"/>
      <c r="B598" s="52"/>
      <c r="C598" s="53"/>
      <c r="D598" s="53"/>
      <c r="E598" s="53"/>
      <c r="F598" s="53"/>
      <c r="G598" s="53"/>
      <c r="H598" s="53"/>
      <c r="I598" s="53"/>
      <c r="J598" s="53"/>
      <c r="K598" s="61"/>
      <c r="L598" s="53"/>
      <c r="M598" s="53" t="str">
        <f>IFERROR(__xludf.DUMMYFUNCTION("""COMPUTED_VALUE"""),"")</f>
        <v/>
      </c>
      <c r="N598" s="53"/>
      <c r="O598" s="53"/>
      <c r="P598" s="53"/>
    </row>
    <row r="599">
      <c r="A599" s="60"/>
      <c r="B599" s="52"/>
      <c r="C599" s="53"/>
      <c r="D599" s="53"/>
      <c r="E599" s="53"/>
      <c r="F599" s="53"/>
      <c r="G599" s="53"/>
      <c r="H599" s="53"/>
      <c r="I599" s="53"/>
      <c r="J599" s="53"/>
      <c r="K599" s="61"/>
      <c r="L599" s="53"/>
      <c r="M599" s="53" t="str">
        <f>IFERROR(__xludf.DUMMYFUNCTION("""COMPUTED_VALUE"""),"")</f>
        <v/>
      </c>
      <c r="N599" s="53"/>
      <c r="O599" s="53"/>
      <c r="P599" s="53"/>
    </row>
    <row r="600">
      <c r="A600" s="60"/>
      <c r="B600" s="52"/>
      <c r="C600" s="53"/>
      <c r="D600" s="53"/>
      <c r="E600" s="53"/>
      <c r="F600" s="53"/>
      <c r="G600" s="53"/>
      <c r="H600" s="53"/>
      <c r="I600" s="53"/>
      <c r="J600" s="53"/>
      <c r="K600" s="61"/>
      <c r="L600" s="53"/>
      <c r="M600" s="53" t="str">
        <f>IFERROR(__xludf.DUMMYFUNCTION("""COMPUTED_VALUE"""),"")</f>
        <v/>
      </c>
      <c r="N600" s="53"/>
      <c r="O600" s="53"/>
      <c r="P600" s="53"/>
    </row>
    <row r="601">
      <c r="A601" s="60"/>
      <c r="B601" s="52"/>
      <c r="C601" s="53"/>
      <c r="D601" s="53"/>
      <c r="E601" s="53"/>
      <c r="F601" s="53"/>
      <c r="G601" s="53"/>
      <c r="H601" s="53"/>
      <c r="I601" s="53"/>
      <c r="J601" s="53"/>
      <c r="K601" s="61"/>
      <c r="L601" s="53"/>
      <c r="M601" s="53" t="str">
        <f>IFERROR(__xludf.DUMMYFUNCTION("""COMPUTED_VALUE"""),"")</f>
        <v/>
      </c>
      <c r="N601" s="53"/>
      <c r="O601" s="53"/>
      <c r="P601" s="53"/>
    </row>
    <row r="602">
      <c r="A602" s="60"/>
      <c r="B602" s="52"/>
      <c r="C602" s="53"/>
      <c r="D602" s="53"/>
      <c r="E602" s="53"/>
      <c r="F602" s="53"/>
      <c r="G602" s="53"/>
      <c r="H602" s="53"/>
      <c r="I602" s="53"/>
      <c r="J602" s="53"/>
      <c r="K602" s="61"/>
      <c r="L602" s="53"/>
      <c r="M602" s="53" t="str">
        <f>IFERROR(__xludf.DUMMYFUNCTION("""COMPUTED_VALUE"""),"")</f>
        <v/>
      </c>
      <c r="N602" s="53"/>
      <c r="O602" s="53"/>
      <c r="P602" s="53"/>
    </row>
    <row r="603">
      <c r="A603" s="60"/>
      <c r="B603" s="52"/>
      <c r="C603" s="53"/>
      <c r="D603" s="53"/>
      <c r="E603" s="53"/>
      <c r="F603" s="53"/>
      <c r="G603" s="53"/>
      <c r="H603" s="53"/>
      <c r="I603" s="53"/>
      <c r="J603" s="53"/>
      <c r="K603" s="61"/>
      <c r="L603" s="53"/>
      <c r="M603" s="53" t="str">
        <f>IFERROR(__xludf.DUMMYFUNCTION("""COMPUTED_VALUE"""),"")</f>
        <v/>
      </c>
      <c r="N603" s="53"/>
      <c r="O603" s="53"/>
      <c r="P603" s="53"/>
    </row>
    <row r="604">
      <c r="A604" s="60"/>
      <c r="B604" s="52"/>
      <c r="C604" s="53"/>
      <c r="D604" s="53"/>
      <c r="E604" s="53"/>
      <c r="F604" s="53"/>
      <c r="G604" s="53"/>
      <c r="H604" s="53"/>
      <c r="I604" s="53"/>
      <c r="J604" s="53"/>
      <c r="K604" s="61"/>
      <c r="L604" s="53"/>
      <c r="M604" s="53" t="str">
        <f>IFERROR(__xludf.DUMMYFUNCTION("""COMPUTED_VALUE"""),"")</f>
        <v/>
      </c>
      <c r="N604" s="53"/>
      <c r="O604" s="53"/>
      <c r="P604" s="53"/>
    </row>
    <row r="605">
      <c r="A605" s="60"/>
      <c r="B605" s="52"/>
      <c r="C605" s="53"/>
      <c r="D605" s="53"/>
      <c r="E605" s="53"/>
      <c r="F605" s="53"/>
      <c r="G605" s="53"/>
      <c r="H605" s="53"/>
      <c r="I605" s="53"/>
      <c r="J605" s="53"/>
      <c r="K605" s="61"/>
      <c r="L605" s="53"/>
      <c r="M605" s="53" t="str">
        <f>IFERROR(__xludf.DUMMYFUNCTION("""COMPUTED_VALUE"""),"")</f>
        <v/>
      </c>
      <c r="N605" s="53"/>
      <c r="O605" s="53"/>
      <c r="P605" s="53"/>
    </row>
    <row r="606">
      <c r="A606" s="60"/>
      <c r="B606" s="52"/>
      <c r="C606" s="53"/>
      <c r="D606" s="53"/>
      <c r="E606" s="53"/>
      <c r="F606" s="53"/>
      <c r="G606" s="53"/>
      <c r="H606" s="53"/>
      <c r="I606" s="53"/>
      <c r="J606" s="53"/>
      <c r="K606" s="61"/>
      <c r="L606" s="53"/>
      <c r="M606" s="53" t="str">
        <f>IFERROR(__xludf.DUMMYFUNCTION("""COMPUTED_VALUE"""),"")</f>
        <v/>
      </c>
      <c r="N606" s="53"/>
      <c r="O606" s="53"/>
      <c r="P606" s="53"/>
    </row>
    <row r="607">
      <c r="A607" s="60"/>
      <c r="B607" s="52"/>
      <c r="C607" s="53"/>
      <c r="D607" s="53"/>
      <c r="E607" s="53"/>
      <c r="F607" s="53"/>
      <c r="G607" s="53"/>
      <c r="H607" s="53"/>
      <c r="I607" s="53"/>
      <c r="J607" s="53"/>
      <c r="K607" s="61"/>
      <c r="L607" s="53"/>
      <c r="M607" s="53" t="str">
        <f>IFERROR(__xludf.DUMMYFUNCTION("""COMPUTED_VALUE"""),"")</f>
        <v/>
      </c>
      <c r="N607" s="53"/>
      <c r="O607" s="53"/>
      <c r="P607" s="53"/>
    </row>
    <row r="608">
      <c r="A608" s="60"/>
      <c r="B608" s="52"/>
      <c r="C608" s="53"/>
      <c r="D608" s="53"/>
      <c r="E608" s="53"/>
      <c r="F608" s="53"/>
      <c r="G608" s="53"/>
      <c r="H608" s="53"/>
      <c r="I608" s="53"/>
      <c r="J608" s="53"/>
      <c r="K608" s="61"/>
      <c r="L608" s="53"/>
      <c r="M608" s="53" t="str">
        <f>IFERROR(__xludf.DUMMYFUNCTION("""COMPUTED_VALUE"""),"")</f>
        <v/>
      </c>
      <c r="N608" s="53"/>
      <c r="O608" s="53"/>
      <c r="P608" s="53"/>
    </row>
    <row r="609">
      <c r="A609" s="60"/>
      <c r="B609" s="52"/>
      <c r="C609" s="53"/>
      <c r="D609" s="53"/>
      <c r="E609" s="53"/>
      <c r="F609" s="53"/>
      <c r="G609" s="53"/>
      <c r="H609" s="53"/>
      <c r="I609" s="53"/>
      <c r="J609" s="53"/>
      <c r="K609" s="61"/>
      <c r="L609" s="53"/>
      <c r="M609" s="53" t="str">
        <f>IFERROR(__xludf.DUMMYFUNCTION("""COMPUTED_VALUE"""),"")</f>
        <v/>
      </c>
      <c r="N609" s="53"/>
      <c r="O609" s="53"/>
      <c r="P609" s="53"/>
    </row>
    <row r="610">
      <c r="A610" s="60"/>
      <c r="B610" s="52"/>
      <c r="C610" s="53"/>
      <c r="D610" s="53"/>
      <c r="E610" s="53"/>
      <c r="F610" s="53"/>
      <c r="G610" s="53"/>
      <c r="H610" s="53"/>
      <c r="I610" s="53"/>
      <c r="J610" s="53"/>
      <c r="K610" s="61"/>
      <c r="L610" s="53"/>
      <c r="M610" s="53" t="str">
        <f>IFERROR(__xludf.DUMMYFUNCTION("""COMPUTED_VALUE"""),"")</f>
        <v/>
      </c>
      <c r="N610" s="53"/>
      <c r="O610" s="53"/>
      <c r="P610" s="53"/>
    </row>
    <row r="611">
      <c r="A611" s="60"/>
      <c r="B611" s="52"/>
      <c r="C611" s="53"/>
      <c r="D611" s="53"/>
      <c r="E611" s="53"/>
      <c r="F611" s="53"/>
      <c r="G611" s="53"/>
      <c r="H611" s="53"/>
      <c r="I611" s="53"/>
      <c r="J611" s="53"/>
      <c r="K611" s="61"/>
      <c r="L611" s="53"/>
      <c r="M611" s="53" t="str">
        <f>IFERROR(__xludf.DUMMYFUNCTION("""COMPUTED_VALUE"""),"")</f>
        <v/>
      </c>
      <c r="N611" s="53"/>
      <c r="O611" s="53"/>
      <c r="P611" s="53"/>
    </row>
    <row r="612">
      <c r="A612" s="60"/>
      <c r="B612" s="52"/>
      <c r="C612" s="53"/>
      <c r="D612" s="53"/>
      <c r="E612" s="53"/>
      <c r="F612" s="53"/>
      <c r="G612" s="53"/>
      <c r="H612" s="53"/>
      <c r="I612" s="53"/>
      <c r="J612" s="53"/>
      <c r="K612" s="61"/>
      <c r="L612" s="53"/>
      <c r="M612" s="53" t="str">
        <f>IFERROR(__xludf.DUMMYFUNCTION("""COMPUTED_VALUE"""),"")</f>
        <v/>
      </c>
      <c r="N612" s="53"/>
      <c r="O612" s="53"/>
      <c r="P612" s="53"/>
    </row>
    <row r="613">
      <c r="A613" s="60"/>
      <c r="B613" s="52"/>
      <c r="C613" s="53"/>
      <c r="D613" s="53"/>
      <c r="E613" s="53"/>
      <c r="F613" s="53"/>
      <c r="G613" s="53"/>
      <c r="H613" s="53"/>
      <c r="I613" s="53"/>
      <c r="J613" s="53"/>
      <c r="K613" s="61"/>
      <c r="L613" s="53"/>
      <c r="M613" s="53" t="str">
        <f>IFERROR(__xludf.DUMMYFUNCTION("""COMPUTED_VALUE"""),"")</f>
        <v/>
      </c>
      <c r="N613" s="53"/>
      <c r="O613" s="53"/>
      <c r="P613" s="53"/>
    </row>
    <row r="614">
      <c r="A614" s="60"/>
      <c r="B614" s="52"/>
      <c r="C614" s="53"/>
      <c r="D614" s="53"/>
      <c r="E614" s="53"/>
      <c r="F614" s="53"/>
      <c r="G614" s="53"/>
      <c r="H614" s="53"/>
      <c r="I614" s="53"/>
      <c r="J614" s="53"/>
      <c r="K614" s="61"/>
      <c r="L614" s="53"/>
      <c r="M614" s="53" t="str">
        <f>IFERROR(__xludf.DUMMYFUNCTION("""COMPUTED_VALUE"""),"")</f>
        <v/>
      </c>
      <c r="N614" s="53"/>
      <c r="O614" s="53"/>
      <c r="P614" s="53"/>
    </row>
    <row r="615">
      <c r="A615" s="60"/>
      <c r="B615" s="52"/>
      <c r="C615" s="53"/>
      <c r="D615" s="53"/>
      <c r="E615" s="53"/>
      <c r="F615" s="53"/>
      <c r="G615" s="53"/>
      <c r="H615" s="53"/>
      <c r="I615" s="53"/>
      <c r="J615" s="53"/>
      <c r="K615" s="61"/>
      <c r="L615" s="53"/>
      <c r="M615" s="53" t="str">
        <f>IFERROR(__xludf.DUMMYFUNCTION("""COMPUTED_VALUE"""),"")</f>
        <v/>
      </c>
      <c r="N615" s="53"/>
      <c r="O615" s="53"/>
      <c r="P615" s="53"/>
    </row>
    <row r="616">
      <c r="A616" s="60"/>
      <c r="B616" s="52"/>
      <c r="C616" s="53"/>
      <c r="D616" s="53"/>
      <c r="E616" s="53"/>
      <c r="F616" s="53"/>
      <c r="G616" s="53"/>
      <c r="H616" s="53"/>
      <c r="I616" s="53"/>
      <c r="J616" s="53"/>
      <c r="K616" s="61"/>
      <c r="L616" s="53"/>
      <c r="M616" s="53" t="str">
        <f>IFERROR(__xludf.DUMMYFUNCTION("""COMPUTED_VALUE"""),"")</f>
        <v/>
      </c>
      <c r="N616" s="53"/>
      <c r="O616" s="53"/>
      <c r="P616" s="53"/>
    </row>
    <row r="617">
      <c r="A617" s="60"/>
      <c r="B617" s="52"/>
      <c r="C617" s="53"/>
      <c r="D617" s="53"/>
      <c r="E617" s="53"/>
      <c r="F617" s="53"/>
      <c r="G617" s="53"/>
      <c r="H617" s="53"/>
      <c r="I617" s="53"/>
      <c r="J617" s="53"/>
      <c r="K617" s="61"/>
      <c r="L617" s="53"/>
      <c r="M617" s="53" t="str">
        <f>IFERROR(__xludf.DUMMYFUNCTION("""COMPUTED_VALUE"""),"")</f>
        <v/>
      </c>
      <c r="N617" s="53"/>
      <c r="O617" s="53"/>
      <c r="P617" s="53"/>
    </row>
    <row r="618">
      <c r="A618" s="60"/>
      <c r="B618" s="52"/>
      <c r="C618" s="53"/>
      <c r="D618" s="53"/>
      <c r="E618" s="53"/>
      <c r="F618" s="53"/>
      <c r="G618" s="53"/>
      <c r="H618" s="53"/>
      <c r="I618" s="53"/>
      <c r="J618" s="53"/>
      <c r="K618" s="61"/>
      <c r="L618" s="53"/>
      <c r="M618" s="53" t="str">
        <f>IFERROR(__xludf.DUMMYFUNCTION("""COMPUTED_VALUE"""),"")</f>
        <v/>
      </c>
      <c r="N618" s="53"/>
      <c r="O618" s="53"/>
      <c r="P618" s="53"/>
    </row>
    <row r="619">
      <c r="A619" s="60"/>
      <c r="B619" s="52"/>
      <c r="C619" s="53"/>
      <c r="D619" s="53"/>
      <c r="E619" s="53"/>
      <c r="F619" s="53"/>
      <c r="G619" s="53"/>
      <c r="H619" s="53"/>
      <c r="I619" s="53"/>
      <c r="J619" s="53"/>
      <c r="K619" s="61"/>
      <c r="L619" s="53"/>
      <c r="M619" s="53" t="str">
        <f>IFERROR(__xludf.DUMMYFUNCTION("""COMPUTED_VALUE"""),"")</f>
        <v/>
      </c>
      <c r="N619" s="53"/>
      <c r="O619" s="53"/>
      <c r="P619" s="53"/>
    </row>
    <row r="620">
      <c r="A620" s="60"/>
      <c r="B620" s="52"/>
      <c r="C620" s="53"/>
      <c r="D620" s="53"/>
      <c r="E620" s="53"/>
      <c r="F620" s="53"/>
      <c r="G620" s="53"/>
      <c r="H620" s="53"/>
      <c r="I620" s="53"/>
      <c r="J620" s="53"/>
      <c r="K620" s="61"/>
      <c r="L620" s="53"/>
      <c r="M620" s="53" t="str">
        <f>IFERROR(__xludf.DUMMYFUNCTION("""COMPUTED_VALUE"""),"")</f>
        <v/>
      </c>
      <c r="N620" s="53"/>
      <c r="O620" s="53"/>
      <c r="P620" s="53"/>
    </row>
    <row r="621">
      <c r="A621" s="60"/>
      <c r="B621" s="52"/>
      <c r="C621" s="53"/>
      <c r="D621" s="53"/>
      <c r="E621" s="53"/>
      <c r="F621" s="53"/>
      <c r="G621" s="53"/>
      <c r="H621" s="53"/>
      <c r="I621" s="53"/>
      <c r="J621" s="53"/>
      <c r="K621" s="61"/>
      <c r="L621" s="53"/>
      <c r="M621" s="53" t="str">
        <f>IFERROR(__xludf.DUMMYFUNCTION("""COMPUTED_VALUE"""),"")</f>
        <v/>
      </c>
      <c r="N621" s="53"/>
      <c r="O621" s="53"/>
      <c r="P621" s="53"/>
    </row>
    <row r="622">
      <c r="A622" s="60"/>
      <c r="B622" s="52"/>
      <c r="C622" s="53"/>
      <c r="D622" s="53"/>
      <c r="E622" s="53"/>
      <c r="F622" s="53"/>
      <c r="G622" s="53"/>
      <c r="H622" s="53"/>
      <c r="I622" s="53"/>
      <c r="J622" s="53"/>
      <c r="K622" s="61"/>
      <c r="L622" s="53"/>
      <c r="M622" s="53" t="str">
        <f>IFERROR(__xludf.DUMMYFUNCTION("""COMPUTED_VALUE"""),"")</f>
        <v/>
      </c>
      <c r="N622" s="53"/>
      <c r="O622" s="53"/>
      <c r="P622" s="53"/>
    </row>
    <row r="623">
      <c r="A623" s="60"/>
      <c r="B623" s="52"/>
      <c r="C623" s="53"/>
      <c r="D623" s="53"/>
      <c r="E623" s="53"/>
      <c r="F623" s="53"/>
      <c r="G623" s="53"/>
      <c r="H623" s="53"/>
      <c r="I623" s="53"/>
      <c r="J623" s="53"/>
      <c r="K623" s="61"/>
      <c r="L623" s="53"/>
      <c r="M623" s="53" t="str">
        <f>IFERROR(__xludf.DUMMYFUNCTION("""COMPUTED_VALUE"""),"")</f>
        <v/>
      </c>
      <c r="N623" s="53"/>
      <c r="O623" s="53"/>
      <c r="P623" s="53"/>
    </row>
    <row r="624">
      <c r="A624" s="60"/>
      <c r="B624" s="52"/>
      <c r="C624" s="53"/>
      <c r="D624" s="53"/>
      <c r="E624" s="53"/>
      <c r="F624" s="53"/>
      <c r="G624" s="53"/>
      <c r="H624" s="53"/>
      <c r="I624" s="53"/>
      <c r="J624" s="53"/>
      <c r="K624" s="61"/>
      <c r="L624" s="53"/>
      <c r="M624" s="53" t="str">
        <f>IFERROR(__xludf.DUMMYFUNCTION("""COMPUTED_VALUE"""),"")</f>
        <v/>
      </c>
      <c r="N624" s="53"/>
      <c r="O624" s="53"/>
      <c r="P624" s="53"/>
    </row>
    <row r="625">
      <c r="A625" s="60"/>
      <c r="B625" s="52"/>
      <c r="C625" s="53"/>
      <c r="D625" s="53"/>
      <c r="E625" s="53"/>
      <c r="F625" s="53"/>
      <c r="G625" s="53"/>
      <c r="H625" s="53"/>
      <c r="I625" s="53"/>
      <c r="J625" s="53"/>
      <c r="K625" s="61"/>
      <c r="L625" s="53"/>
      <c r="M625" s="53" t="str">
        <f>IFERROR(__xludf.DUMMYFUNCTION("""COMPUTED_VALUE"""),"")</f>
        <v/>
      </c>
      <c r="N625" s="53"/>
      <c r="O625" s="53"/>
      <c r="P625" s="53"/>
    </row>
    <row r="626">
      <c r="A626" s="60"/>
      <c r="B626" s="52"/>
      <c r="C626" s="53"/>
      <c r="D626" s="53"/>
      <c r="E626" s="53"/>
      <c r="F626" s="53"/>
      <c r="G626" s="53"/>
      <c r="H626" s="53"/>
      <c r="I626" s="53"/>
      <c r="J626" s="53"/>
      <c r="K626" s="61"/>
      <c r="L626" s="53"/>
      <c r="M626" s="53" t="str">
        <f>IFERROR(__xludf.DUMMYFUNCTION("""COMPUTED_VALUE"""),"")</f>
        <v/>
      </c>
      <c r="N626" s="53"/>
      <c r="O626" s="53"/>
      <c r="P626" s="53"/>
    </row>
    <row r="627">
      <c r="A627" s="60"/>
      <c r="B627" s="52"/>
      <c r="C627" s="53"/>
      <c r="D627" s="53"/>
      <c r="E627" s="53"/>
      <c r="F627" s="53"/>
      <c r="G627" s="53"/>
      <c r="H627" s="53"/>
      <c r="I627" s="53"/>
      <c r="J627" s="53"/>
      <c r="K627" s="61"/>
      <c r="L627" s="53"/>
      <c r="M627" s="53" t="str">
        <f>IFERROR(__xludf.DUMMYFUNCTION("""COMPUTED_VALUE"""),"")</f>
        <v/>
      </c>
      <c r="N627" s="53"/>
      <c r="O627" s="53"/>
      <c r="P627" s="53"/>
    </row>
    <row r="628">
      <c r="A628" s="60"/>
      <c r="B628" s="52"/>
      <c r="C628" s="53"/>
      <c r="D628" s="53"/>
      <c r="E628" s="53"/>
      <c r="F628" s="53"/>
      <c r="G628" s="53"/>
      <c r="H628" s="53"/>
      <c r="I628" s="53"/>
      <c r="J628" s="53"/>
      <c r="K628" s="61"/>
      <c r="L628" s="53"/>
      <c r="M628" s="53" t="str">
        <f>IFERROR(__xludf.DUMMYFUNCTION("""COMPUTED_VALUE"""),"")</f>
        <v/>
      </c>
      <c r="N628" s="53"/>
      <c r="O628" s="53"/>
      <c r="P628" s="53"/>
    </row>
    <row r="629">
      <c r="A629" s="60"/>
      <c r="B629" s="52"/>
      <c r="C629" s="53"/>
      <c r="D629" s="53"/>
      <c r="E629" s="53"/>
      <c r="F629" s="53"/>
      <c r="G629" s="53"/>
      <c r="H629" s="53"/>
      <c r="I629" s="53"/>
      <c r="J629" s="53"/>
      <c r="K629" s="61"/>
      <c r="L629" s="53"/>
      <c r="M629" s="53" t="str">
        <f>IFERROR(__xludf.DUMMYFUNCTION("""COMPUTED_VALUE"""),"")</f>
        <v/>
      </c>
      <c r="N629" s="53"/>
      <c r="O629" s="53"/>
      <c r="P629" s="53"/>
    </row>
    <row r="630">
      <c r="A630" s="60"/>
      <c r="B630" s="52"/>
      <c r="C630" s="53"/>
      <c r="D630" s="53"/>
      <c r="E630" s="53"/>
      <c r="F630" s="53"/>
      <c r="G630" s="53"/>
      <c r="H630" s="53"/>
      <c r="I630" s="53"/>
      <c r="J630" s="53"/>
      <c r="K630" s="61"/>
      <c r="L630" s="53"/>
      <c r="M630" s="53" t="str">
        <f>IFERROR(__xludf.DUMMYFUNCTION("""COMPUTED_VALUE"""),"")</f>
        <v/>
      </c>
      <c r="N630" s="53"/>
      <c r="O630" s="53"/>
      <c r="P630" s="53"/>
    </row>
    <row r="631">
      <c r="A631" s="60"/>
      <c r="B631" s="52"/>
      <c r="C631" s="53"/>
      <c r="D631" s="53"/>
      <c r="E631" s="53"/>
      <c r="F631" s="53"/>
      <c r="G631" s="53"/>
      <c r="H631" s="53"/>
      <c r="I631" s="53"/>
      <c r="J631" s="53"/>
      <c r="K631" s="61"/>
      <c r="L631" s="53"/>
      <c r="M631" s="53" t="str">
        <f>IFERROR(__xludf.DUMMYFUNCTION("""COMPUTED_VALUE"""),"")</f>
        <v/>
      </c>
      <c r="N631" s="53"/>
      <c r="O631" s="53"/>
      <c r="P631" s="53"/>
    </row>
    <row r="632">
      <c r="A632" s="60"/>
      <c r="B632" s="52"/>
      <c r="C632" s="53"/>
      <c r="D632" s="53"/>
      <c r="E632" s="53"/>
      <c r="F632" s="53"/>
      <c r="G632" s="53"/>
      <c r="H632" s="53"/>
      <c r="I632" s="53"/>
      <c r="J632" s="53"/>
      <c r="K632" s="61"/>
      <c r="L632" s="53"/>
      <c r="M632" s="53" t="str">
        <f>IFERROR(__xludf.DUMMYFUNCTION("""COMPUTED_VALUE"""),"")</f>
        <v/>
      </c>
      <c r="N632" s="53"/>
      <c r="O632" s="53"/>
      <c r="P632" s="53"/>
    </row>
    <row r="633">
      <c r="A633" s="60"/>
      <c r="B633" s="52"/>
      <c r="C633" s="53"/>
      <c r="D633" s="53"/>
      <c r="E633" s="53"/>
      <c r="F633" s="53"/>
      <c r="G633" s="53"/>
      <c r="H633" s="53"/>
      <c r="I633" s="53"/>
      <c r="J633" s="53"/>
      <c r="K633" s="61"/>
      <c r="L633" s="53"/>
      <c r="M633" s="53" t="str">
        <f>IFERROR(__xludf.DUMMYFUNCTION("""COMPUTED_VALUE"""),"")</f>
        <v/>
      </c>
      <c r="N633" s="53"/>
      <c r="O633" s="53"/>
      <c r="P633" s="53"/>
    </row>
    <row r="634">
      <c r="A634" s="60"/>
      <c r="B634" s="52"/>
      <c r="C634" s="53"/>
      <c r="D634" s="53"/>
      <c r="E634" s="53"/>
      <c r="F634" s="53"/>
      <c r="G634" s="53"/>
      <c r="H634" s="53"/>
      <c r="I634" s="53"/>
      <c r="J634" s="53"/>
      <c r="K634" s="61"/>
      <c r="L634" s="53"/>
      <c r="M634" s="53" t="str">
        <f>IFERROR(__xludf.DUMMYFUNCTION("""COMPUTED_VALUE"""),"")</f>
        <v/>
      </c>
      <c r="N634" s="53"/>
      <c r="O634" s="53"/>
      <c r="P634" s="53"/>
    </row>
    <row r="635">
      <c r="A635" s="60"/>
      <c r="B635" s="52"/>
      <c r="C635" s="53"/>
      <c r="D635" s="53"/>
      <c r="E635" s="53"/>
      <c r="F635" s="53"/>
      <c r="G635" s="53"/>
      <c r="H635" s="53"/>
      <c r="I635" s="53"/>
      <c r="J635" s="53"/>
      <c r="K635" s="61"/>
      <c r="L635" s="53"/>
      <c r="M635" s="53" t="str">
        <f>IFERROR(__xludf.DUMMYFUNCTION("""COMPUTED_VALUE"""),"")</f>
        <v/>
      </c>
      <c r="N635" s="53"/>
      <c r="O635" s="53"/>
      <c r="P635" s="53"/>
    </row>
    <row r="636">
      <c r="A636" s="60"/>
      <c r="B636" s="52"/>
      <c r="C636" s="53"/>
      <c r="D636" s="53"/>
      <c r="E636" s="53"/>
      <c r="F636" s="53"/>
      <c r="G636" s="53"/>
      <c r="H636" s="53"/>
      <c r="I636" s="53"/>
      <c r="J636" s="53"/>
      <c r="K636" s="61"/>
      <c r="L636" s="53"/>
      <c r="M636" s="53" t="str">
        <f>IFERROR(__xludf.DUMMYFUNCTION("""COMPUTED_VALUE"""),"")</f>
        <v/>
      </c>
      <c r="N636" s="53"/>
      <c r="O636" s="53"/>
      <c r="P636" s="53"/>
    </row>
    <row r="637">
      <c r="A637" s="60"/>
      <c r="B637" s="52"/>
      <c r="C637" s="53"/>
      <c r="D637" s="53"/>
      <c r="E637" s="53"/>
      <c r="F637" s="53"/>
      <c r="G637" s="53"/>
      <c r="H637" s="53"/>
      <c r="I637" s="53"/>
      <c r="J637" s="53"/>
      <c r="K637" s="61"/>
      <c r="L637" s="53"/>
      <c r="M637" s="53" t="str">
        <f>IFERROR(__xludf.DUMMYFUNCTION("""COMPUTED_VALUE"""),"")</f>
        <v/>
      </c>
      <c r="N637" s="53"/>
      <c r="O637" s="53"/>
      <c r="P637" s="53"/>
    </row>
    <row r="638">
      <c r="A638" s="60"/>
      <c r="B638" s="52"/>
      <c r="C638" s="53"/>
      <c r="D638" s="53"/>
      <c r="E638" s="53"/>
      <c r="F638" s="53"/>
      <c r="G638" s="53"/>
      <c r="H638" s="53"/>
      <c r="I638" s="53"/>
      <c r="J638" s="53"/>
      <c r="K638" s="61"/>
      <c r="L638" s="53"/>
      <c r="M638" s="53" t="str">
        <f>IFERROR(__xludf.DUMMYFUNCTION("""COMPUTED_VALUE"""),"")</f>
        <v/>
      </c>
      <c r="N638" s="53"/>
      <c r="O638" s="53"/>
      <c r="P638" s="53"/>
    </row>
    <row r="639">
      <c r="A639" s="60"/>
      <c r="B639" s="52"/>
      <c r="C639" s="53"/>
      <c r="D639" s="53"/>
      <c r="E639" s="53"/>
      <c r="F639" s="53"/>
      <c r="G639" s="53"/>
      <c r="H639" s="53"/>
      <c r="I639" s="53"/>
      <c r="J639" s="53"/>
      <c r="K639" s="61"/>
      <c r="L639" s="53"/>
      <c r="M639" s="53" t="str">
        <f>IFERROR(__xludf.DUMMYFUNCTION("""COMPUTED_VALUE"""),"")</f>
        <v/>
      </c>
      <c r="N639" s="53"/>
      <c r="O639" s="53"/>
      <c r="P639" s="53"/>
    </row>
    <row r="640">
      <c r="A640" s="60"/>
      <c r="B640" s="52"/>
      <c r="C640" s="53"/>
      <c r="D640" s="53"/>
      <c r="E640" s="53"/>
      <c r="F640" s="53"/>
      <c r="G640" s="53"/>
      <c r="H640" s="53"/>
      <c r="I640" s="53"/>
      <c r="J640" s="53"/>
      <c r="K640" s="61"/>
      <c r="L640" s="53"/>
      <c r="M640" s="53" t="str">
        <f>IFERROR(__xludf.DUMMYFUNCTION("""COMPUTED_VALUE"""),"")</f>
        <v/>
      </c>
      <c r="N640" s="53"/>
      <c r="O640" s="53"/>
      <c r="P640" s="53"/>
    </row>
    <row r="641">
      <c r="A641" s="60"/>
      <c r="B641" s="52"/>
      <c r="C641" s="53"/>
      <c r="D641" s="53"/>
      <c r="E641" s="53"/>
      <c r="F641" s="53"/>
      <c r="G641" s="53"/>
      <c r="H641" s="53"/>
      <c r="I641" s="53"/>
      <c r="J641" s="53"/>
      <c r="K641" s="61"/>
      <c r="L641" s="53"/>
      <c r="M641" s="53" t="str">
        <f>IFERROR(__xludf.DUMMYFUNCTION("""COMPUTED_VALUE"""),"")</f>
        <v/>
      </c>
      <c r="N641" s="53"/>
      <c r="O641" s="53"/>
      <c r="P641" s="53"/>
    </row>
    <row r="642">
      <c r="A642" s="60"/>
      <c r="B642" s="52"/>
      <c r="C642" s="53"/>
      <c r="D642" s="53"/>
      <c r="E642" s="53"/>
      <c r="F642" s="53"/>
      <c r="G642" s="53"/>
      <c r="H642" s="53"/>
      <c r="I642" s="53"/>
      <c r="J642" s="53"/>
      <c r="K642" s="61"/>
      <c r="L642" s="53"/>
      <c r="M642" s="53" t="str">
        <f>IFERROR(__xludf.DUMMYFUNCTION("""COMPUTED_VALUE"""),"")</f>
        <v/>
      </c>
      <c r="N642" s="53"/>
      <c r="O642" s="53"/>
      <c r="P642" s="53"/>
    </row>
    <row r="643">
      <c r="A643" s="60"/>
      <c r="B643" s="52"/>
      <c r="C643" s="53"/>
      <c r="D643" s="53"/>
      <c r="E643" s="53"/>
      <c r="F643" s="53"/>
      <c r="G643" s="53"/>
      <c r="H643" s="53"/>
      <c r="I643" s="53"/>
      <c r="J643" s="53"/>
      <c r="K643" s="61"/>
      <c r="L643" s="53"/>
      <c r="M643" s="53" t="str">
        <f>IFERROR(__xludf.DUMMYFUNCTION("""COMPUTED_VALUE"""),"")</f>
        <v/>
      </c>
      <c r="N643" s="53"/>
      <c r="O643" s="53"/>
      <c r="P643" s="53"/>
    </row>
    <row r="644">
      <c r="A644" s="60"/>
      <c r="B644" s="52"/>
      <c r="C644" s="53"/>
      <c r="D644" s="53"/>
      <c r="E644" s="53"/>
      <c r="F644" s="53"/>
      <c r="G644" s="53"/>
      <c r="H644" s="53"/>
      <c r="I644" s="53"/>
      <c r="J644" s="53"/>
      <c r="K644" s="61"/>
      <c r="L644" s="53"/>
      <c r="M644" s="53" t="str">
        <f>IFERROR(__xludf.DUMMYFUNCTION("""COMPUTED_VALUE"""),"")</f>
        <v/>
      </c>
      <c r="N644" s="53"/>
      <c r="O644" s="53"/>
      <c r="P644" s="53"/>
    </row>
    <row r="645">
      <c r="A645" s="60"/>
      <c r="B645" s="52"/>
      <c r="C645" s="53"/>
      <c r="D645" s="53"/>
      <c r="E645" s="53"/>
      <c r="F645" s="53"/>
      <c r="G645" s="53"/>
      <c r="H645" s="53"/>
      <c r="I645" s="53"/>
      <c r="J645" s="53"/>
      <c r="K645" s="61"/>
      <c r="L645" s="53"/>
      <c r="M645" s="53" t="str">
        <f>IFERROR(__xludf.DUMMYFUNCTION("""COMPUTED_VALUE"""),"")</f>
        <v/>
      </c>
      <c r="N645" s="53"/>
      <c r="O645" s="53"/>
      <c r="P645" s="53"/>
    </row>
    <row r="646">
      <c r="A646" s="60"/>
      <c r="B646" s="52"/>
      <c r="C646" s="53"/>
      <c r="D646" s="53"/>
      <c r="E646" s="53"/>
      <c r="F646" s="53"/>
      <c r="G646" s="53"/>
      <c r="H646" s="53"/>
      <c r="I646" s="53"/>
      <c r="J646" s="53"/>
      <c r="K646" s="61"/>
      <c r="L646" s="53"/>
      <c r="M646" s="53" t="str">
        <f>IFERROR(__xludf.DUMMYFUNCTION("""COMPUTED_VALUE"""),"")</f>
        <v/>
      </c>
      <c r="N646" s="53"/>
      <c r="O646" s="53"/>
      <c r="P646" s="53"/>
    </row>
    <row r="647">
      <c r="A647" s="60"/>
      <c r="B647" s="52"/>
      <c r="C647" s="53"/>
      <c r="D647" s="53"/>
      <c r="E647" s="53"/>
      <c r="F647" s="53"/>
      <c r="G647" s="53"/>
      <c r="H647" s="53"/>
      <c r="I647" s="53"/>
      <c r="J647" s="53"/>
      <c r="K647" s="61"/>
      <c r="L647" s="53"/>
      <c r="M647" s="53" t="str">
        <f>IFERROR(__xludf.DUMMYFUNCTION("""COMPUTED_VALUE"""),"")</f>
        <v/>
      </c>
      <c r="N647" s="53"/>
      <c r="O647" s="53"/>
      <c r="P647" s="53"/>
    </row>
    <row r="648">
      <c r="A648" s="60"/>
      <c r="B648" s="52"/>
      <c r="C648" s="53"/>
      <c r="D648" s="53"/>
      <c r="E648" s="53"/>
      <c r="F648" s="53"/>
      <c r="G648" s="53"/>
      <c r="H648" s="53"/>
      <c r="I648" s="53"/>
      <c r="J648" s="53"/>
      <c r="K648" s="61"/>
      <c r="L648" s="53"/>
      <c r="M648" s="53" t="str">
        <f>IFERROR(__xludf.DUMMYFUNCTION("""COMPUTED_VALUE"""),"")</f>
        <v/>
      </c>
      <c r="N648" s="53"/>
      <c r="O648" s="53"/>
      <c r="P648" s="53"/>
    </row>
    <row r="649">
      <c r="A649" s="60"/>
      <c r="B649" s="52"/>
      <c r="C649" s="53"/>
      <c r="D649" s="53"/>
      <c r="E649" s="53"/>
      <c r="F649" s="53"/>
      <c r="G649" s="53"/>
      <c r="H649" s="53"/>
      <c r="I649" s="53"/>
      <c r="J649" s="53"/>
      <c r="K649" s="61"/>
      <c r="L649" s="53"/>
      <c r="M649" s="53" t="str">
        <f>IFERROR(__xludf.DUMMYFUNCTION("""COMPUTED_VALUE"""),"")</f>
        <v/>
      </c>
      <c r="N649" s="53"/>
      <c r="O649" s="53"/>
      <c r="P649" s="53"/>
    </row>
    <row r="650">
      <c r="A650" s="60"/>
      <c r="B650" s="52"/>
      <c r="C650" s="53"/>
      <c r="D650" s="53"/>
      <c r="E650" s="53"/>
      <c r="F650" s="53"/>
      <c r="G650" s="53"/>
      <c r="H650" s="53"/>
      <c r="I650" s="53"/>
      <c r="J650" s="53"/>
      <c r="K650" s="61"/>
      <c r="L650" s="53"/>
      <c r="M650" s="53" t="str">
        <f>IFERROR(__xludf.DUMMYFUNCTION("""COMPUTED_VALUE"""),"")</f>
        <v/>
      </c>
      <c r="N650" s="53"/>
      <c r="O650" s="53"/>
      <c r="P650" s="53"/>
    </row>
    <row r="651">
      <c r="A651" s="60"/>
      <c r="B651" s="52"/>
      <c r="C651" s="53"/>
      <c r="D651" s="53"/>
      <c r="E651" s="53"/>
      <c r="F651" s="53"/>
      <c r="G651" s="53"/>
      <c r="H651" s="53"/>
      <c r="I651" s="53"/>
      <c r="J651" s="53"/>
      <c r="K651" s="61"/>
      <c r="L651" s="53"/>
      <c r="M651" s="53" t="str">
        <f>IFERROR(__xludf.DUMMYFUNCTION("""COMPUTED_VALUE"""),"")</f>
        <v/>
      </c>
      <c r="N651" s="53"/>
      <c r="O651" s="53"/>
      <c r="P651" s="53"/>
    </row>
    <row r="652">
      <c r="A652" s="60"/>
      <c r="B652" s="52"/>
      <c r="C652" s="53"/>
      <c r="D652" s="53"/>
      <c r="E652" s="53"/>
      <c r="F652" s="53"/>
      <c r="G652" s="53"/>
      <c r="H652" s="53"/>
      <c r="I652" s="53"/>
      <c r="J652" s="53"/>
      <c r="K652" s="61"/>
      <c r="L652" s="53"/>
      <c r="M652" s="53" t="str">
        <f>IFERROR(__xludf.DUMMYFUNCTION("""COMPUTED_VALUE"""),"")</f>
        <v/>
      </c>
      <c r="N652" s="53"/>
      <c r="O652" s="53"/>
      <c r="P652" s="53"/>
    </row>
    <row r="653">
      <c r="A653" s="60"/>
      <c r="B653" s="52"/>
      <c r="C653" s="53"/>
      <c r="D653" s="53"/>
      <c r="E653" s="53"/>
      <c r="F653" s="53"/>
      <c r="G653" s="53"/>
      <c r="H653" s="53"/>
      <c r="I653" s="53"/>
      <c r="J653" s="53"/>
      <c r="K653" s="61"/>
      <c r="L653" s="53"/>
      <c r="M653" s="53" t="str">
        <f>IFERROR(__xludf.DUMMYFUNCTION("""COMPUTED_VALUE"""),"")</f>
        <v/>
      </c>
      <c r="N653" s="53"/>
      <c r="O653" s="53"/>
      <c r="P653" s="53"/>
    </row>
    <row r="654">
      <c r="A654" s="60"/>
      <c r="B654" s="52"/>
      <c r="C654" s="53"/>
      <c r="D654" s="53"/>
      <c r="E654" s="53"/>
      <c r="F654" s="53"/>
      <c r="G654" s="53"/>
      <c r="H654" s="53"/>
      <c r="I654" s="53"/>
      <c r="J654" s="53"/>
      <c r="K654" s="61"/>
      <c r="L654" s="53"/>
      <c r="M654" s="53" t="str">
        <f>IFERROR(__xludf.DUMMYFUNCTION("""COMPUTED_VALUE"""),"")</f>
        <v/>
      </c>
      <c r="N654" s="53"/>
      <c r="O654" s="53"/>
      <c r="P654" s="53"/>
    </row>
    <row r="655">
      <c r="A655" s="60"/>
      <c r="B655" s="52"/>
      <c r="C655" s="53"/>
      <c r="D655" s="53"/>
      <c r="E655" s="53"/>
      <c r="F655" s="53"/>
      <c r="G655" s="53"/>
      <c r="H655" s="53"/>
      <c r="I655" s="53"/>
      <c r="J655" s="53"/>
      <c r="K655" s="61"/>
      <c r="L655" s="53"/>
      <c r="M655" s="53" t="str">
        <f>IFERROR(__xludf.DUMMYFUNCTION("""COMPUTED_VALUE"""),"")</f>
        <v/>
      </c>
      <c r="N655" s="53"/>
      <c r="O655" s="53"/>
      <c r="P655" s="53"/>
    </row>
    <row r="656">
      <c r="A656" s="60"/>
      <c r="B656" s="52"/>
      <c r="C656" s="53"/>
      <c r="D656" s="53"/>
      <c r="E656" s="53"/>
      <c r="F656" s="53"/>
      <c r="G656" s="53"/>
      <c r="H656" s="53"/>
      <c r="I656" s="53"/>
      <c r="J656" s="53"/>
      <c r="K656" s="61"/>
      <c r="L656" s="53"/>
      <c r="M656" s="53" t="str">
        <f>IFERROR(__xludf.DUMMYFUNCTION("""COMPUTED_VALUE"""),"")</f>
        <v/>
      </c>
      <c r="N656" s="53"/>
      <c r="O656" s="53"/>
      <c r="P656" s="53"/>
    </row>
    <row r="657">
      <c r="A657" s="60"/>
      <c r="B657" s="52"/>
      <c r="C657" s="53"/>
      <c r="D657" s="53"/>
      <c r="E657" s="53"/>
      <c r="F657" s="53"/>
      <c r="G657" s="53"/>
      <c r="H657" s="53"/>
      <c r="I657" s="53"/>
      <c r="J657" s="53"/>
      <c r="K657" s="61"/>
      <c r="L657" s="53"/>
      <c r="M657" s="53" t="str">
        <f>IFERROR(__xludf.DUMMYFUNCTION("""COMPUTED_VALUE"""),"")</f>
        <v/>
      </c>
      <c r="N657" s="53"/>
      <c r="O657" s="53"/>
      <c r="P657" s="53"/>
    </row>
    <row r="658">
      <c r="A658" s="60"/>
      <c r="B658" s="52"/>
      <c r="C658" s="53"/>
      <c r="D658" s="53"/>
      <c r="E658" s="53"/>
      <c r="F658" s="53"/>
      <c r="G658" s="53"/>
      <c r="H658" s="53"/>
      <c r="I658" s="53"/>
      <c r="J658" s="53"/>
      <c r="K658" s="61"/>
      <c r="L658" s="53"/>
      <c r="M658" s="53" t="str">
        <f>IFERROR(__xludf.DUMMYFUNCTION("""COMPUTED_VALUE"""),"")</f>
        <v/>
      </c>
      <c r="N658" s="53"/>
      <c r="O658" s="53"/>
      <c r="P658" s="53"/>
    </row>
    <row r="659">
      <c r="A659" s="60"/>
      <c r="B659" s="52"/>
      <c r="C659" s="53"/>
      <c r="D659" s="53"/>
      <c r="E659" s="53"/>
      <c r="F659" s="53"/>
      <c r="G659" s="53"/>
      <c r="H659" s="53"/>
      <c r="I659" s="53"/>
      <c r="J659" s="53"/>
      <c r="K659" s="61"/>
      <c r="L659" s="53"/>
      <c r="M659" s="53" t="str">
        <f>IFERROR(__xludf.DUMMYFUNCTION("""COMPUTED_VALUE"""),"")</f>
        <v/>
      </c>
      <c r="N659" s="53"/>
      <c r="O659" s="53"/>
      <c r="P659" s="53"/>
    </row>
    <row r="660">
      <c r="A660" s="60"/>
      <c r="B660" s="52"/>
      <c r="C660" s="53"/>
      <c r="D660" s="53"/>
      <c r="E660" s="53"/>
      <c r="F660" s="53"/>
      <c r="G660" s="53"/>
      <c r="H660" s="53"/>
      <c r="I660" s="53"/>
      <c r="J660" s="53"/>
      <c r="K660" s="61"/>
      <c r="L660" s="53"/>
      <c r="M660" s="53" t="str">
        <f>IFERROR(__xludf.DUMMYFUNCTION("""COMPUTED_VALUE"""),"")</f>
        <v/>
      </c>
      <c r="N660" s="53"/>
      <c r="O660" s="53"/>
      <c r="P660" s="53"/>
    </row>
    <row r="661">
      <c r="A661" s="60"/>
      <c r="B661" s="52"/>
      <c r="C661" s="53"/>
      <c r="D661" s="53"/>
      <c r="E661" s="53"/>
      <c r="F661" s="53"/>
      <c r="G661" s="53"/>
      <c r="H661" s="53"/>
      <c r="I661" s="53"/>
      <c r="J661" s="53"/>
      <c r="K661" s="61"/>
      <c r="L661" s="53"/>
      <c r="M661" s="53" t="str">
        <f>IFERROR(__xludf.DUMMYFUNCTION("""COMPUTED_VALUE"""),"")</f>
        <v/>
      </c>
      <c r="N661" s="53"/>
      <c r="O661" s="53"/>
      <c r="P661" s="53"/>
    </row>
    <row r="662">
      <c r="A662" s="60"/>
      <c r="B662" s="52"/>
      <c r="C662" s="53"/>
      <c r="D662" s="53"/>
      <c r="E662" s="53"/>
      <c r="F662" s="53"/>
      <c r="G662" s="53"/>
      <c r="H662" s="53"/>
      <c r="I662" s="53"/>
      <c r="J662" s="53"/>
      <c r="K662" s="61"/>
      <c r="L662" s="53"/>
      <c r="M662" s="53" t="str">
        <f>IFERROR(__xludf.DUMMYFUNCTION("""COMPUTED_VALUE"""),"")</f>
        <v/>
      </c>
      <c r="N662" s="53"/>
      <c r="O662" s="53"/>
      <c r="P662" s="53"/>
    </row>
    <row r="663">
      <c r="A663" s="60"/>
      <c r="B663" s="52"/>
      <c r="C663" s="53"/>
      <c r="D663" s="53"/>
      <c r="E663" s="53"/>
      <c r="F663" s="53"/>
      <c r="G663" s="53"/>
      <c r="H663" s="53"/>
      <c r="I663" s="53"/>
      <c r="J663" s="53"/>
      <c r="K663" s="61"/>
      <c r="L663" s="53"/>
      <c r="M663" s="53" t="str">
        <f>IFERROR(__xludf.DUMMYFUNCTION("""COMPUTED_VALUE"""),"")</f>
        <v/>
      </c>
      <c r="N663" s="53"/>
      <c r="O663" s="53"/>
      <c r="P663" s="53"/>
    </row>
    <row r="664">
      <c r="A664" s="60"/>
      <c r="B664" s="52"/>
      <c r="C664" s="53"/>
      <c r="D664" s="53"/>
      <c r="E664" s="53"/>
      <c r="F664" s="53"/>
      <c r="G664" s="53"/>
      <c r="H664" s="53"/>
      <c r="I664" s="53"/>
      <c r="J664" s="53"/>
      <c r="K664" s="61"/>
      <c r="L664" s="53"/>
      <c r="M664" s="53" t="str">
        <f>IFERROR(__xludf.DUMMYFUNCTION("""COMPUTED_VALUE"""),"")</f>
        <v/>
      </c>
      <c r="N664" s="53"/>
      <c r="O664" s="53"/>
      <c r="P664" s="53"/>
    </row>
    <row r="665">
      <c r="A665" s="60"/>
      <c r="B665" s="52"/>
      <c r="C665" s="53"/>
      <c r="D665" s="53"/>
      <c r="E665" s="53"/>
      <c r="F665" s="53"/>
      <c r="G665" s="53"/>
      <c r="H665" s="53"/>
      <c r="I665" s="53"/>
      <c r="J665" s="53"/>
      <c r="K665" s="61"/>
      <c r="L665" s="53"/>
      <c r="M665" s="53" t="str">
        <f>IFERROR(__xludf.DUMMYFUNCTION("""COMPUTED_VALUE"""),"")</f>
        <v/>
      </c>
      <c r="N665" s="53"/>
      <c r="O665" s="53"/>
      <c r="P665" s="53"/>
    </row>
    <row r="666">
      <c r="A666" s="60"/>
      <c r="B666" s="52"/>
      <c r="C666" s="53"/>
      <c r="D666" s="53"/>
      <c r="E666" s="53"/>
      <c r="F666" s="53"/>
      <c r="G666" s="53"/>
      <c r="H666" s="53"/>
      <c r="I666" s="53"/>
      <c r="J666" s="53"/>
      <c r="K666" s="61"/>
      <c r="L666" s="53"/>
      <c r="M666" s="53" t="str">
        <f>IFERROR(__xludf.DUMMYFUNCTION("""COMPUTED_VALUE"""),"")</f>
        <v/>
      </c>
      <c r="N666" s="53"/>
      <c r="O666" s="53"/>
      <c r="P666" s="53"/>
    </row>
    <row r="667">
      <c r="A667" s="60"/>
      <c r="B667" s="52"/>
      <c r="C667" s="53"/>
      <c r="D667" s="53"/>
      <c r="E667" s="53"/>
      <c r="F667" s="53"/>
      <c r="G667" s="53"/>
      <c r="H667" s="53"/>
      <c r="I667" s="53"/>
      <c r="J667" s="53"/>
      <c r="K667" s="61"/>
      <c r="L667" s="53"/>
      <c r="M667" s="53" t="str">
        <f>IFERROR(__xludf.DUMMYFUNCTION("""COMPUTED_VALUE"""),"")</f>
        <v/>
      </c>
      <c r="N667" s="53"/>
      <c r="O667" s="53"/>
      <c r="P667" s="53"/>
    </row>
    <row r="668">
      <c r="A668" s="60"/>
      <c r="B668" s="52"/>
      <c r="C668" s="53"/>
      <c r="D668" s="53"/>
      <c r="E668" s="53"/>
      <c r="F668" s="53"/>
      <c r="G668" s="53"/>
      <c r="H668" s="53"/>
      <c r="I668" s="53"/>
      <c r="J668" s="53"/>
      <c r="K668" s="61"/>
      <c r="L668" s="53"/>
      <c r="M668" s="53" t="str">
        <f>IFERROR(__xludf.DUMMYFUNCTION("""COMPUTED_VALUE"""),"")</f>
        <v/>
      </c>
      <c r="N668" s="53"/>
      <c r="O668" s="53"/>
      <c r="P668" s="53"/>
    </row>
    <row r="669">
      <c r="A669" s="60"/>
      <c r="B669" s="52"/>
      <c r="C669" s="53"/>
      <c r="D669" s="53"/>
      <c r="E669" s="53"/>
      <c r="F669" s="53"/>
      <c r="G669" s="53"/>
      <c r="H669" s="53"/>
      <c r="I669" s="53"/>
      <c r="J669" s="53"/>
      <c r="K669" s="61"/>
      <c r="L669" s="53"/>
      <c r="M669" s="53" t="str">
        <f>IFERROR(__xludf.DUMMYFUNCTION("""COMPUTED_VALUE"""),"")</f>
        <v/>
      </c>
      <c r="N669" s="53"/>
      <c r="O669" s="53"/>
      <c r="P669" s="53"/>
    </row>
    <row r="670">
      <c r="A670" s="60"/>
      <c r="B670" s="52"/>
      <c r="C670" s="53"/>
      <c r="D670" s="53"/>
      <c r="E670" s="53"/>
      <c r="F670" s="53"/>
      <c r="G670" s="53"/>
      <c r="H670" s="53"/>
      <c r="I670" s="53"/>
      <c r="J670" s="53"/>
      <c r="K670" s="61"/>
      <c r="L670" s="53"/>
      <c r="M670" s="53" t="str">
        <f>IFERROR(__xludf.DUMMYFUNCTION("""COMPUTED_VALUE"""),"")</f>
        <v/>
      </c>
      <c r="N670" s="53"/>
      <c r="O670" s="53"/>
      <c r="P670" s="53"/>
    </row>
    <row r="671">
      <c r="A671" s="60"/>
      <c r="B671" s="52"/>
      <c r="C671" s="53"/>
      <c r="D671" s="53"/>
      <c r="E671" s="53"/>
      <c r="F671" s="53"/>
      <c r="G671" s="53"/>
      <c r="H671" s="53"/>
      <c r="I671" s="53"/>
      <c r="J671" s="53"/>
      <c r="K671" s="61"/>
      <c r="L671" s="53"/>
      <c r="M671" s="53" t="str">
        <f>IFERROR(__xludf.DUMMYFUNCTION("""COMPUTED_VALUE"""),"")</f>
        <v/>
      </c>
      <c r="N671" s="53"/>
      <c r="O671" s="53"/>
      <c r="P671" s="53"/>
    </row>
    <row r="672">
      <c r="A672" s="60"/>
      <c r="B672" s="52"/>
      <c r="C672" s="53"/>
      <c r="D672" s="53"/>
      <c r="E672" s="53"/>
      <c r="F672" s="53"/>
      <c r="G672" s="53"/>
      <c r="H672" s="53"/>
      <c r="I672" s="53"/>
      <c r="J672" s="53"/>
      <c r="K672" s="61"/>
      <c r="L672" s="53"/>
      <c r="M672" s="53" t="str">
        <f>IFERROR(__xludf.DUMMYFUNCTION("""COMPUTED_VALUE"""),"")</f>
        <v/>
      </c>
      <c r="N672" s="53"/>
      <c r="O672" s="53"/>
      <c r="P672" s="53"/>
    </row>
    <row r="673">
      <c r="A673" s="60"/>
      <c r="B673" s="52"/>
      <c r="C673" s="53"/>
      <c r="D673" s="53"/>
      <c r="E673" s="53"/>
      <c r="F673" s="53"/>
      <c r="G673" s="53"/>
      <c r="H673" s="53"/>
      <c r="I673" s="53"/>
      <c r="J673" s="53"/>
      <c r="K673" s="61"/>
      <c r="L673" s="53"/>
      <c r="M673" s="53" t="str">
        <f>IFERROR(__xludf.DUMMYFUNCTION("""COMPUTED_VALUE"""),"")</f>
        <v/>
      </c>
      <c r="N673" s="53"/>
      <c r="O673" s="53"/>
      <c r="P673" s="53"/>
    </row>
    <row r="674">
      <c r="A674" s="60"/>
      <c r="B674" s="52"/>
      <c r="C674" s="53"/>
      <c r="D674" s="53"/>
      <c r="E674" s="53"/>
      <c r="F674" s="53"/>
      <c r="G674" s="53"/>
      <c r="H674" s="53"/>
      <c r="I674" s="53"/>
      <c r="J674" s="53"/>
      <c r="K674" s="61"/>
      <c r="L674" s="53"/>
      <c r="M674" s="53" t="str">
        <f>IFERROR(__xludf.DUMMYFUNCTION("""COMPUTED_VALUE"""),"")</f>
        <v/>
      </c>
      <c r="N674" s="53"/>
      <c r="O674" s="53"/>
      <c r="P674" s="53"/>
    </row>
    <row r="675">
      <c r="A675" s="60"/>
      <c r="B675" s="52"/>
      <c r="C675" s="53"/>
      <c r="D675" s="53"/>
      <c r="E675" s="53"/>
      <c r="F675" s="53"/>
      <c r="G675" s="53"/>
      <c r="H675" s="53"/>
      <c r="I675" s="53"/>
      <c r="J675" s="53"/>
      <c r="K675" s="61"/>
      <c r="L675" s="53"/>
      <c r="M675" s="53" t="str">
        <f>IFERROR(__xludf.DUMMYFUNCTION("""COMPUTED_VALUE"""),"")</f>
        <v/>
      </c>
      <c r="N675" s="53"/>
      <c r="O675" s="53"/>
      <c r="P675" s="53"/>
    </row>
    <row r="676">
      <c r="A676" s="60"/>
      <c r="B676" s="52"/>
      <c r="C676" s="53"/>
      <c r="D676" s="53"/>
      <c r="E676" s="53"/>
      <c r="F676" s="53"/>
      <c r="G676" s="53"/>
      <c r="H676" s="53"/>
      <c r="I676" s="53"/>
      <c r="J676" s="53"/>
      <c r="K676" s="61"/>
      <c r="L676" s="53"/>
      <c r="M676" s="53" t="str">
        <f>IFERROR(__xludf.DUMMYFUNCTION("""COMPUTED_VALUE"""),"")</f>
        <v/>
      </c>
      <c r="N676" s="53"/>
      <c r="O676" s="53"/>
      <c r="P676" s="53"/>
    </row>
    <row r="677">
      <c r="A677" s="60"/>
      <c r="B677" s="52"/>
      <c r="C677" s="53"/>
      <c r="D677" s="53"/>
      <c r="E677" s="53"/>
      <c r="F677" s="53"/>
      <c r="G677" s="53"/>
      <c r="H677" s="53"/>
      <c r="I677" s="53"/>
      <c r="J677" s="53"/>
      <c r="K677" s="61"/>
      <c r="L677" s="53"/>
      <c r="M677" s="53" t="str">
        <f>IFERROR(__xludf.DUMMYFUNCTION("""COMPUTED_VALUE"""),"")</f>
        <v/>
      </c>
      <c r="N677" s="53"/>
      <c r="O677" s="53"/>
      <c r="P677" s="53"/>
    </row>
    <row r="678">
      <c r="A678" s="60"/>
      <c r="B678" s="52"/>
      <c r="C678" s="53"/>
      <c r="D678" s="53"/>
      <c r="E678" s="53"/>
      <c r="F678" s="53"/>
      <c r="G678" s="53"/>
      <c r="H678" s="53"/>
      <c r="I678" s="53"/>
      <c r="J678" s="53"/>
      <c r="K678" s="61"/>
      <c r="L678" s="53"/>
      <c r="M678" s="53" t="str">
        <f>IFERROR(__xludf.DUMMYFUNCTION("""COMPUTED_VALUE"""),"")</f>
        <v/>
      </c>
      <c r="N678" s="53"/>
      <c r="O678" s="53"/>
      <c r="P678" s="53"/>
    </row>
    <row r="679">
      <c r="A679" s="60"/>
      <c r="B679" s="52"/>
      <c r="C679" s="53"/>
      <c r="D679" s="53"/>
      <c r="E679" s="53"/>
      <c r="F679" s="53"/>
      <c r="G679" s="53"/>
      <c r="H679" s="53"/>
      <c r="I679" s="53"/>
      <c r="J679" s="53"/>
      <c r="K679" s="61"/>
      <c r="L679" s="53"/>
      <c r="M679" s="53" t="str">
        <f>IFERROR(__xludf.DUMMYFUNCTION("""COMPUTED_VALUE"""),"")</f>
        <v/>
      </c>
      <c r="N679" s="53"/>
      <c r="O679" s="53"/>
      <c r="P679" s="53"/>
    </row>
    <row r="680">
      <c r="A680" s="60"/>
      <c r="B680" s="52"/>
      <c r="C680" s="53"/>
      <c r="D680" s="53"/>
      <c r="E680" s="53"/>
      <c r="F680" s="53"/>
      <c r="G680" s="53"/>
      <c r="H680" s="53"/>
      <c r="I680" s="53"/>
      <c r="J680" s="53"/>
      <c r="K680" s="61"/>
      <c r="L680" s="53"/>
      <c r="M680" s="53" t="str">
        <f>IFERROR(__xludf.DUMMYFUNCTION("""COMPUTED_VALUE"""),"")</f>
        <v/>
      </c>
      <c r="N680" s="53"/>
      <c r="O680" s="53"/>
      <c r="P680" s="53"/>
    </row>
    <row r="681">
      <c r="A681" s="60"/>
      <c r="B681" s="52"/>
      <c r="C681" s="53"/>
      <c r="D681" s="53"/>
      <c r="E681" s="53"/>
      <c r="F681" s="53"/>
      <c r="G681" s="53"/>
      <c r="H681" s="53"/>
      <c r="I681" s="53"/>
      <c r="J681" s="53"/>
      <c r="K681" s="61"/>
      <c r="L681" s="53"/>
      <c r="M681" s="53" t="str">
        <f>IFERROR(__xludf.DUMMYFUNCTION("""COMPUTED_VALUE"""),"")</f>
        <v/>
      </c>
      <c r="N681" s="53"/>
      <c r="O681" s="53"/>
      <c r="P681" s="53"/>
    </row>
    <row r="682">
      <c r="A682" s="60"/>
      <c r="B682" s="52"/>
      <c r="C682" s="53"/>
      <c r="D682" s="53"/>
      <c r="E682" s="53"/>
      <c r="F682" s="53"/>
      <c r="G682" s="53"/>
      <c r="H682" s="53"/>
      <c r="I682" s="53"/>
      <c r="J682" s="53"/>
      <c r="K682" s="61"/>
      <c r="L682" s="53"/>
      <c r="M682" s="53" t="str">
        <f>IFERROR(__xludf.DUMMYFUNCTION("""COMPUTED_VALUE"""),"")</f>
        <v/>
      </c>
      <c r="N682" s="53"/>
      <c r="O682" s="53"/>
      <c r="P682" s="53"/>
    </row>
    <row r="683">
      <c r="A683" s="60"/>
      <c r="B683" s="52"/>
      <c r="C683" s="53"/>
      <c r="D683" s="53"/>
      <c r="E683" s="53"/>
      <c r="F683" s="53"/>
      <c r="G683" s="53"/>
      <c r="H683" s="53"/>
      <c r="I683" s="53"/>
      <c r="J683" s="53"/>
      <c r="K683" s="61"/>
      <c r="L683" s="53"/>
      <c r="M683" s="53" t="str">
        <f>IFERROR(__xludf.DUMMYFUNCTION("""COMPUTED_VALUE"""),"")</f>
        <v/>
      </c>
      <c r="N683" s="53"/>
      <c r="O683" s="53"/>
      <c r="P683" s="53"/>
    </row>
    <row r="684">
      <c r="A684" s="60"/>
      <c r="B684" s="52"/>
      <c r="C684" s="53"/>
      <c r="D684" s="53"/>
      <c r="E684" s="53"/>
      <c r="F684" s="53"/>
      <c r="G684" s="53"/>
      <c r="H684" s="53"/>
      <c r="I684" s="53"/>
      <c r="J684" s="53"/>
      <c r="K684" s="61"/>
      <c r="L684" s="53"/>
      <c r="M684" s="53" t="str">
        <f>IFERROR(__xludf.DUMMYFUNCTION("""COMPUTED_VALUE"""),"")</f>
        <v/>
      </c>
      <c r="N684" s="53"/>
      <c r="O684" s="53"/>
      <c r="P684" s="53"/>
    </row>
    <row r="685">
      <c r="A685" s="60"/>
      <c r="B685" s="52"/>
      <c r="C685" s="53"/>
      <c r="D685" s="53"/>
      <c r="E685" s="53"/>
      <c r="F685" s="53"/>
      <c r="G685" s="53"/>
      <c r="H685" s="53"/>
      <c r="I685" s="53"/>
      <c r="J685" s="53"/>
      <c r="K685" s="61"/>
      <c r="L685" s="53"/>
      <c r="M685" s="53" t="str">
        <f>IFERROR(__xludf.DUMMYFUNCTION("""COMPUTED_VALUE"""),"")</f>
        <v/>
      </c>
      <c r="N685" s="53"/>
      <c r="O685" s="53"/>
      <c r="P685" s="53"/>
    </row>
    <row r="686">
      <c r="A686" s="60"/>
      <c r="B686" s="52"/>
      <c r="C686" s="53"/>
      <c r="D686" s="53"/>
      <c r="E686" s="53"/>
      <c r="F686" s="53"/>
      <c r="G686" s="53"/>
      <c r="H686" s="53"/>
      <c r="I686" s="53"/>
      <c r="J686" s="53"/>
      <c r="K686" s="61"/>
      <c r="L686" s="53"/>
      <c r="M686" s="53" t="str">
        <f>IFERROR(__xludf.DUMMYFUNCTION("""COMPUTED_VALUE"""),"")</f>
        <v/>
      </c>
      <c r="N686" s="53"/>
      <c r="O686" s="53"/>
      <c r="P686" s="53"/>
    </row>
    <row r="687">
      <c r="A687" s="60"/>
      <c r="B687" s="52"/>
      <c r="C687" s="53"/>
      <c r="D687" s="53"/>
      <c r="E687" s="53"/>
      <c r="F687" s="53"/>
      <c r="G687" s="53"/>
      <c r="H687" s="53"/>
      <c r="I687" s="53"/>
      <c r="J687" s="53"/>
      <c r="K687" s="61"/>
      <c r="L687" s="53"/>
      <c r="M687" s="53" t="str">
        <f>IFERROR(__xludf.DUMMYFUNCTION("""COMPUTED_VALUE"""),"")</f>
        <v/>
      </c>
      <c r="N687" s="53"/>
      <c r="O687" s="53"/>
      <c r="P687" s="53"/>
    </row>
    <row r="688">
      <c r="A688" s="60"/>
      <c r="B688" s="52"/>
      <c r="C688" s="53"/>
      <c r="D688" s="53"/>
      <c r="E688" s="53"/>
      <c r="F688" s="53"/>
      <c r="G688" s="53"/>
      <c r="H688" s="53"/>
      <c r="I688" s="53"/>
      <c r="J688" s="53"/>
      <c r="K688" s="61"/>
      <c r="L688" s="53"/>
      <c r="M688" s="53" t="str">
        <f>IFERROR(__xludf.DUMMYFUNCTION("""COMPUTED_VALUE"""),"")</f>
        <v/>
      </c>
      <c r="N688" s="53"/>
      <c r="O688" s="53"/>
      <c r="P688" s="53"/>
    </row>
    <row r="689">
      <c r="A689" s="60"/>
      <c r="B689" s="52"/>
      <c r="C689" s="53"/>
      <c r="D689" s="53"/>
      <c r="E689" s="53"/>
      <c r="F689" s="53"/>
      <c r="G689" s="53"/>
      <c r="H689" s="53"/>
      <c r="I689" s="53"/>
      <c r="J689" s="53"/>
      <c r="K689" s="61"/>
      <c r="L689" s="53"/>
      <c r="M689" s="53" t="str">
        <f>IFERROR(__xludf.DUMMYFUNCTION("""COMPUTED_VALUE"""),"")</f>
        <v/>
      </c>
      <c r="N689" s="53"/>
      <c r="O689" s="53"/>
      <c r="P689" s="53"/>
    </row>
    <row r="690">
      <c r="A690" s="60"/>
      <c r="B690" s="52"/>
      <c r="C690" s="53"/>
      <c r="D690" s="53"/>
      <c r="E690" s="53"/>
      <c r="F690" s="53"/>
      <c r="G690" s="53"/>
      <c r="H690" s="53"/>
      <c r="I690" s="53"/>
      <c r="J690" s="53"/>
      <c r="K690" s="61"/>
      <c r="L690" s="53"/>
      <c r="M690" s="53" t="str">
        <f>IFERROR(__xludf.DUMMYFUNCTION("""COMPUTED_VALUE"""),"")</f>
        <v/>
      </c>
      <c r="N690" s="53"/>
      <c r="O690" s="53"/>
      <c r="P690" s="53"/>
    </row>
    <row r="691">
      <c r="A691" s="60"/>
      <c r="B691" s="52"/>
      <c r="C691" s="53"/>
      <c r="D691" s="53"/>
      <c r="E691" s="53"/>
      <c r="F691" s="53"/>
      <c r="G691" s="53"/>
      <c r="H691" s="53"/>
      <c r="I691" s="53"/>
      <c r="J691" s="53"/>
      <c r="K691" s="61"/>
      <c r="L691" s="53"/>
      <c r="M691" s="53" t="str">
        <f>IFERROR(__xludf.DUMMYFUNCTION("""COMPUTED_VALUE"""),"")</f>
        <v/>
      </c>
      <c r="N691" s="53"/>
      <c r="O691" s="53"/>
      <c r="P691" s="53"/>
    </row>
    <row r="692">
      <c r="A692" s="60"/>
      <c r="B692" s="52"/>
      <c r="C692" s="53"/>
      <c r="D692" s="53"/>
      <c r="E692" s="53"/>
      <c r="F692" s="53"/>
      <c r="G692" s="53"/>
      <c r="H692" s="53"/>
      <c r="I692" s="53"/>
      <c r="J692" s="53"/>
      <c r="K692" s="61"/>
      <c r="L692" s="53"/>
      <c r="M692" s="53" t="str">
        <f>IFERROR(__xludf.DUMMYFUNCTION("""COMPUTED_VALUE"""),"")</f>
        <v/>
      </c>
      <c r="N692" s="53"/>
      <c r="O692" s="53"/>
      <c r="P692" s="53"/>
    </row>
    <row r="693">
      <c r="A693" s="60"/>
      <c r="B693" s="52"/>
      <c r="C693" s="53"/>
      <c r="D693" s="53"/>
      <c r="E693" s="53"/>
      <c r="F693" s="53"/>
      <c r="G693" s="53"/>
      <c r="H693" s="53"/>
      <c r="I693" s="53"/>
      <c r="J693" s="53"/>
      <c r="K693" s="61"/>
      <c r="L693" s="53"/>
      <c r="M693" s="53" t="str">
        <f>IFERROR(__xludf.DUMMYFUNCTION("""COMPUTED_VALUE"""),"")</f>
        <v/>
      </c>
      <c r="N693" s="53"/>
      <c r="O693" s="53"/>
      <c r="P693" s="53"/>
    </row>
    <row r="694">
      <c r="A694" s="60"/>
      <c r="B694" s="52"/>
      <c r="C694" s="53"/>
      <c r="D694" s="53"/>
      <c r="E694" s="53"/>
      <c r="F694" s="53"/>
      <c r="G694" s="53"/>
      <c r="H694" s="53"/>
      <c r="I694" s="53"/>
      <c r="J694" s="53"/>
      <c r="K694" s="61"/>
      <c r="L694" s="53"/>
      <c r="M694" s="53" t="str">
        <f>IFERROR(__xludf.DUMMYFUNCTION("""COMPUTED_VALUE"""),"")</f>
        <v/>
      </c>
      <c r="N694" s="53"/>
      <c r="O694" s="53"/>
      <c r="P694" s="53"/>
    </row>
    <row r="695">
      <c r="A695" s="60"/>
      <c r="B695" s="52"/>
      <c r="C695" s="53"/>
      <c r="D695" s="53"/>
      <c r="E695" s="53"/>
      <c r="F695" s="53"/>
      <c r="G695" s="53"/>
      <c r="H695" s="53"/>
      <c r="I695" s="53"/>
      <c r="J695" s="53"/>
      <c r="K695" s="61"/>
      <c r="L695" s="53"/>
      <c r="M695" s="53" t="str">
        <f>IFERROR(__xludf.DUMMYFUNCTION("""COMPUTED_VALUE"""),"")</f>
        <v/>
      </c>
      <c r="N695" s="53"/>
      <c r="O695" s="53"/>
      <c r="P695" s="53"/>
    </row>
    <row r="696">
      <c r="A696" s="60"/>
      <c r="B696" s="52"/>
      <c r="C696" s="53"/>
      <c r="D696" s="53"/>
      <c r="E696" s="53"/>
      <c r="F696" s="53"/>
      <c r="G696" s="53"/>
      <c r="H696" s="53"/>
      <c r="I696" s="53"/>
      <c r="J696" s="53"/>
      <c r="K696" s="61"/>
      <c r="L696" s="53"/>
      <c r="M696" s="53" t="str">
        <f>IFERROR(__xludf.DUMMYFUNCTION("""COMPUTED_VALUE"""),"")</f>
        <v/>
      </c>
      <c r="N696" s="53"/>
      <c r="O696" s="53"/>
      <c r="P696" s="53"/>
    </row>
    <row r="697">
      <c r="A697" s="60"/>
      <c r="B697" s="52"/>
      <c r="C697" s="53"/>
      <c r="D697" s="53"/>
      <c r="E697" s="53"/>
      <c r="F697" s="53"/>
      <c r="G697" s="53"/>
      <c r="H697" s="53"/>
      <c r="I697" s="53"/>
      <c r="J697" s="53"/>
      <c r="K697" s="61"/>
      <c r="L697" s="53"/>
      <c r="M697" s="53" t="str">
        <f>IFERROR(__xludf.DUMMYFUNCTION("""COMPUTED_VALUE"""),"")</f>
        <v/>
      </c>
      <c r="N697" s="53"/>
      <c r="O697" s="53"/>
      <c r="P697" s="53"/>
    </row>
    <row r="698">
      <c r="A698" s="60"/>
      <c r="B698" s="52"/>
      <c r="C698" s="53"/>
      <c r="D698" s="53"/>
      <c r="E698" s="53"/>
      <c r="F698" s="53"/>
      <c r="G698" s="53"/>
      <c r="H698" s="53"/>
      <c r="I698" s="53"/>
      <c r="J698" s="53"/>
      <c r="K698" s="61"/>
      <c r="L698" s="53"/>
      <c r="M698" s="53" t="str">
        <f>IFERROR(__xludf.DUMMYFUNCTION("""COMPUTED_VALUE"""),"")</f>
        <v/>
      </c>
      <c r="N698" s="53"/>
      <c r="O698" s="53"/>
      <c r="P698" s="53"/>
    </row>
    <row r="699">
      <c r="A699" s="60"/>
      <c r="B699" s="52"/>
      <c r="C699" s="53"/>
      <c r="D699" s="53"/>
      <c r="E699" s="53"/>
      <c r="F699" s="53"/>
      <c r="G699" s="53"/>
      <c r="H699" s="53"/>
      <c r="I699" s="53"/>
      <c r="J699" s="53"/>
      <c r="K699" s="61"/>
      <c r="L699" s="53"/>
      <c r="M699" s="53" t="str">
        <f>IFERROR(__xludf.DUMMYFUNCTION("""COMPUTED_VALUE"""),"")</f>
        <v/>
      </c>
      <c r="N699" s="53"/>
      <c r="O699" s="53"/>
      <c r="P699" s="53"/>
    </row>
    <row r="700">
      <c r="A700" s="60"/>
      <c r="B700" s="52"/>
      <c r="C700" s="53"/>
      <c r="D700" s="53"/>
      <c r="E700" s="53"/>
      <c r="F700" s="53"/>
      <c r="G700" s="53"/>
      <c r="H700" s="53"/>
      <c r="I700" s="53"/>
      <c r="J700" s="53"/>
      <c r="K700" s="61"/>
      <c r="L700" s="53"/>
      <c r="M700" s="53" t="str">
        <f>IFERROR(__xludf.DUMMYFUNCTION("""COMPUTED_VALUE"""),"")</f>
        <v/>
      </c>
      <c r="N700" s="53"/>
      <c r="O700" s="53"/>
      <c r="P700" s="53"/>
    </row>
    <row r="701">
      <c r="A701" s="60"/>
      <c r="B701" s="52"/>
      <c r="C701" s="53"/>
      <c r="D701" s="53"/>
      <c r="E701" s="53"/>
      <c r="F701" s="53"/>
      <c r="G701" s="53"/>
      <c r="H701" s="53"/>
      <c r="I701" s="53"/>
      <c r="J701" s="53"/>
      <c r="K701" s="61"/>
      <c r="L701" s="53"/>
      <c r="M701" s="53" t="str">
        <f>IFERROR(__xludf.DUMMYFUNCTION("""COMPUTED_VALUE"""),"")</f>
        <v/>
      </c>
      <c r="N701" s="53"/>
      <c r="O701" s="53"/>
      <c r="P701" s="53"/>
    </row>
    <row r="702">
      <c r="A702" s="60"/>
      <c r="B702" s="52"/>
      <c r="C702" s="53"/>
      <c r="D702" s="53"/>
      <c r="E702" s="53"/>
      <c r="F702" s="53"/>
      <c r="G702" s="53"/>
      <c r="H702" s="53"/>
      <c r="I702" s="53"/>
      <c r="J702" s="53"/>
      <c r="K702" s="61"/>
      <c r="L702" s="53"/>
      <c r="M702" s="53" t="str">
        <f>IFERROR(__xludf.DUMMYFUNCTION("""COMPUTED_VALUE"""),"")</f>
        <v/>
      </c>
      <c r="N702" s="53"/>
      <c r="O702" s="53"/>
      <c r="P702" s="53"/>
    </row>
    <row r="703">
      <c r="A703" s="60"/>
      <c r="B703" s="52"/>
      <c r="C703" s="53"/>
      <c r="D703" s="53"/>
      <c r="E703" s="53"/>
      <c r="F703" s="53"/>
      <c r="G703" s="53"/>
      <c r="H703" s="53"/>
      <c r="I703" s="53"/>
      <c r="J703" s="53"/>
      <c r="K703" s="61"/>
      <c r="L703" s="53"/>
      <c r="M703" s="53" t="str">
        <f>IFERROR(__xludf.DUMMYFUNCTION("""COMPUTED_VALUE"""),"")</f>
        <v/>
      </c>
      <c r="N703" s="53"/>
      <c r="O703" s="53"/>
      <c r="P703" s="53"/>
    </row>
    <row r="704">
      <c r="A704" s="60"/>
      <c r="B704" s="52"/>
      <c r="C704" s="53"/>
      <c r="D704" s="53"/>
      <c r="E704" s="53"/>
      <c r="F704" s="53"/>
      <c r="G704" s="53"/>
      <c r="H704" s="53"/>
      <c r="I704" s="53"/>
      <c r="J704" s="53"/>
      <c r="K704" s="61"/>
      <c r="L704" s="53"/>
      <c r="M704" s="53" t="str">
        <f>IFERROR(__xludf.DUMMYFUNCTION("""COMPUTED_VALUE"""),"")</f>
        <v/>
      </c>
      <c r="N704" s="53"/>
      <c r="O704" s="53"/>
      <c r="P704" s="53"/>
    </row>
    <row r="705">
      <c r="A705" s="60"/>
      <c r="B705" s="52"/>
      <c r="C705" s="53"/>
      <c r="D705" s="53"/>
      <c r="E705" s="53"/>
      <c r="F705" s="53"/>
      <c r="G705" s="53"/>
      <c r="H705" s="53"/>
      <c r="I705" s="53"/>
      <c r="J705" s="53"/>
      <c r="K705" s="61"/>
      <c r="L705" s="53"/>
      <c r="M705" s="53" t="str">
        <f>IFERROR(__xludf.DUMMYFUNCTION("""COMPUTED_VALUE"""),"")</f>
        <v/>
      </c>
      <c r="N705" s="53"/>
      <c r="O705" s="53"/>
      <c r="P705" s="53"/>
    </row>
    <row r="706">
      <c r="A706" s="60"/>
      <c r="B706" s="52"/>
      <c r="C706" s="53"/>
      <c r="D706" s="53"/>
      <c r="E706" s="53"/>
      <c r="F706" s="53"/>
      <c r="G706" s="53"/>
      <c r="H706" s="53"/>
      <c r="I706" s="53"/>
      <c r="J706" s="53"/>
      <c r="K706" s="61"/>
      <c r="L706" s="53"/>
      <c r="M706" s="53" t="str">
        <f>IFERROR(__xludf.DUMMYFUNCTION("""COMPUTED_VALUE"""),"")</f>
        <v/>
      </c>
      <c r="N706" s="53"/>
      <c r="O706" s="53"/>
      <c r="P706" s="53"/>
    </row>
    <row r="707">
      <c r="A707" s="60"/>
      <c r="B707" s="52"/>
      <c r="C707" s="53"/>
      <c r="D707" s="53"/>
      <c r="E707" s="53"/>
      <c r="F707" s="53"/>
      <c r="G707" s="53"/>
      <c r="H707" s="53"/>
      <c r="I707" s="53"/>
      <c r="J707" s="53"/>
      <c r="K707" s="61"/>
      <c r="L707" s="53"/>
      <c r="M707" s="53" t="str">
        <f>IFERROR(__xludf.DUMMYFUNCTION("""COMPUTED_VALUE"""),"")</f>
        <v/>
      </c>
      <c r="N707" s="53"/>
      <c r="O707" s="53"/>
      <c r="P707" s="53"/>
    </row>
    <row r="708">
      <c r="A708" s="60"/>
      <c r="B708" s="52"/>
      <c r="C708" s="53"/>
      <c r="D708" s="53"/>
      <c r="E708" s="53"/>
      <c r="F708" s="53"/>
      <c r="G708" s="53"/>
      <c r="H708" s="53"/>
      <c r="I708" s="53"/>
      <c r="J708" s="53"/>
      <c r="K708" s="61"/>
      <c r="L708" s="53"/>
      <c r="M708" s="53" t="str">
        <f>IFERROR(__xludf.DUMMYFUNCTION("""COMPUTED_VALUE"""),"")</f>
        <v/>
      </c>
      <c r="N708" s="53"/>
      <c r="O708" s="53"/>
      <c r="P708" s="53"/>
    </row>
    <row r="709">
      <c r="A709" s="60"/>
      <c r="B709" s="52"/>
      <c r="C709" s="53"/>
      <c r="D709" s="53"/>
      <c r="E709" s="53"/>
      <c r="F709" s="53"/>
      <c r="G709" s="53"/>
      <c r="H709" s="53"/>
      <c r="I709" s="53"/>
      <c r="J709" s="53"/>
      <c r="K709" s="61"/>
      <c r="L709" s="53"/>
      <c r="M709" s="53" t="str">
        <f>IFERROR(__xludf.DUMMYFUNCTION("""COMPUTED_VALUE"""),"")</f>
        <v/>
      </c>
      <c r="N709" s="53"/>
      <c r="O709" s="53"/>
      <c r="P709" s="53"/>
    </row>
    <row r="710">
      <c r="A710" s="60"/>
      <c r="B710" s="52"/>
      <c r="C710" s="53"/>
      <c r="D710" s="53"/>
      <c r="E710" s="53"/>
      <c r="F710" s="53"/>
      <c r="G710" s="53"/>
      <c r="H710" s="53"/>
      <c r="I710" s="53"/>
      <c r="J710" s="53"/>
      <c r="K710" s="61"/>
      <c r="L710" s="53"/>
      <c r="M710" s="53" t="str">
        <f>IFERROR(__xludf.DUMMYFUNCTION("""COMPUTED_VALUE"""),"")</f>
        <v/>
      </c>
      <c r="N710" s="53"/>
      <c r="O710" s="53"/>
      <c r="P710" s="53"/>
    </row>
    <row r="711">
      <c r="A711" s="60"/>
      <c r="B711" s="52"/>
      <c r="C711" s="53"/>
      <c r="D711" s="53"/>
      <c r="E711" s="53"/>
      <c r="F711" s="53"/>
      <c r="G711" s="53"/>
      <c r="H711" s="53"/>
      <c r="I711" s="53"/>
      <c r="J711" s="53"/>
      <c r="K711" s="61"/>
      <c r="L711" s="53"/>
      <c r="M711" s="53" t="str">
        <f>IFERROR(__xludf.DUMMYFUNCTION("""COMPUTED_VALUE"""),"")</f>
        <v/>
      </c>
      <c r="N711" s="53"/>
      <c r="O711" s="53"/>
      <c r="P711" s="53"/>
    </row>
    <row r="712">
      <c r="A712" s="60"/>
      <c r="B712" s="52"/>
      <c r="C712" s="53"/>
      <c r="D712" s="53"/>
      <c r="E712" s="53"/>
      <c r="F712" s="53"/>
      <c r="G712" s="53"/>
      <c r="H712" s="53"/>
      <c r="I712" s="53"/>
      <c r="J712" s="53"/>
      <c r="K712" s="61"/>
      <c r="L712" s="53"/>
      <c r="M712" s="53" t="str">
        <f>IFERROR(__xludf.DUMMYFUNCTION("""COMPUTED_VALUE"""),"")</f>
        <v/>
      </c>
      <c r="N712" s="53"/>
      <c r="O712" s="53"/>
      <c r="P712" s="53"/>
    </row>
    <row r="713">
      <c r="A713" s="60"/>
      <c r="B713" s="52"/>
      <c r="C713" s="53"/>
      <c r="D713" s="53"/>
      <c r="E713" s="53"/>
      <c r="F713" s="53"/>
      <c r="G713" s="53"/>
      <c r="H713" s="53"/>
      <c r="I713" s="53"/>
      <c r="J713" s="53"/>
      <c r="K713" s="61"/>
      <c r="L713" s="53"/>
      <c r="M713" s="53" t="str">
        <f>IFERROR(__xludf.DUMMYFUNCTION("""COMPUTED_VALUE"""),"")</f>
        <v/>
      </c>
      <c r="N713" s="53"/>
      <c r="O713" s="53"/>
      <c r="P713" s="53"/>
    </row>
    <row r="714">
      <c r="A714" s="60"/>
      <c r="B714" s="52"/>
      <c r="C714" s="53"/>
      <c r="D714" s="53"/>
      <c r="E714" s="53"/>
      <c r="F714" s="53"/>
      <c r="G714" s="53"/>
      <c r="H714" s="53"/>
      <c r="I714" s="53"/>
      <c r="J714" s="53"/>
      <c r="K714" s="61"/>
      <c r="L714" s="53"/>
      <c r="M714" s="53" t="str">
        <f>IFERROR(__xludf.DUMMYFUNCTION("""COMPUTED_VALUE"""),"")</f>
        <v/>
      </c>
      <c r="N714" s="53"/>
      <c r="O714" s="53"/>
      <c r="P714" s="53"/>
    </row>
    <row r="715">
      <c r="A715" s="60"/>
      <c r="B715" s="52"/>
      <c r="C715" s="53"/>
      <c r="D715" s="53"/>
      <c r="E715" s="53"/>
      <c r="F715" s="53"/>
      <c r="G715" s="53"/>
      <c r="H715" s="53"/>
      <c r="I715" s="53"/>
      <c r="J715" s="53"/>
      <c r="K715" s="61"/>
      <c r="L715" s="53"/>
      <c r="M715" s="53" t="str">
        <f>IFERROR(__xludf.DUMMYFUNCTION("""COMPUTED_VALUE"""),"")</f>
        <v/>
      </c>
      <c r="N715" s="53"/>
      <c r="O715" s="53"/>
      <c r="P715" s="53"/>
    </row>
    <row r="716">
      <c r="A716" s="60"/>
      <c r="B716" s="52"/>
      <c r="C716" s="53"/>
      <c r="D716" s="53"/>
      <c r="E716" s="53"/>
      <c r="F716" s="53"/>
      <c r="G716" s="53"/>
      <c r="H716" s="53"/>
      <c r="I716" s="53"/>
      <c r="J716" s="53"/>
      <c r="K716" s="61"/>
      <c r="L716" s="53"/>
      <c r="M716" s="53" t="str">
        <f>IFERROR(__xludf.DUMMYFUNCTION("""COMPUTED_VALUE"""),"")</f>
        <v/>
      </c>
      <c r="N716" s="53"/>
      <c r="O716" s="53"/>
      <c r="P716" s="53"/>
    </row>
    <row r="717">
      <c r="A717" s="60"/>
      <c r="B717" s="52"/>
      <c r="C717" s="53"/>
      <c r="D717" s="53"/>
      <c r="E717" s="53"/>
      <c r="F717" s="53"/>
      <c r="G717" s="53"/>
      <c r="H717" s="53"/>
      <c r="I717" s="53"/>
      <c r="J717" s="53"/>
      <c r="K717" s="61"/>
      <c r="L717" s="53"/>
      <c r="M717" s="53" t="str">
        <f>IFERROR(__xludf.DUMMYFUNCTION("""COMPUTED_VALUE"""),"")</f>
        <v/>
      </c>
      <c r="N717" s="53"/>
      <c r="O717" s="53"/>
      <c r="P717" s="53"/>
    </row>
    <row r="718">
      <c r="A718" s="60"/>
      <c r="B718" s="52"/>
      <c r="C718" s="53"/>
      <c r="D718" s="53"/>
      <c r="E718" s="53"/>
      <c r="F718" s="53"/>
      <c r="G718" s="53"/>
      <c r="H718" s="53"/>
      <c r="I718" s="53"/>
      <c r="J718" s="53"/>
      <c r="K718" s="61"/>
      <c r="L718" s="53"/>
      <c r="M718" s="53" t="str">
        <f>IFERROR(__xludf.DUMMYFUNCTION("""COMPUTED_VALUE"""),"")</f>
        <v/>
      </c>
      <c r="N718" s="53"/>
      <c r="O718" s="53"/>
      <c r="P718" s="53"/>
    </row>
    <row r="719">
      <c r="A719" s="60"/>
      <c r="B719" s="52"/>
      <c r="C719" s="53"/>
      <c r="D719" s="53"/>
      <c r="E719" s="53"/>
      <c r="F719" s="53"/>
      <c r="G719" s="53"/>
      <c r="H719" s="53"/>
      <c r="I719" s="53"/>
      <c r="J719" s="53"/>
      <c r="K719" s="61"/>
      <c r="L719" s="53"/>
      <c r="M719" s="53" t="str">
        <f>IFERROR(__xludf.DUMMYFUNCTION("""COMPUTED_VALUE"""),"")</f>
        <v/>
      </c>
      <c r="N719" s="53"/>
      <c r="O719" s="53"/>
      <c r="P719" s="53"/>
    </row>
    <row r="720">
      <c r="A720" s="60"/>
      <c r="B720" s="52"/>
      <c r="C720" s="53"/>
      <c r="D720" s="53"/>
      <c r="E720" s="53"/>
      <c r="F720" s="53"/>
      <c r="G720" s="53"/>
      <c r="H720" s="53"/>
      <c r="I720" s="53"/>
      <c r="J720" s="53"/>
      <c r="K720" s="61"/>
      <c r="L720" s="53"/>
      <c r="M720" s="53" t="str">
        <f>IFERROR(__xludf.DUMMYFUNCTION("""COMPUTED_VALUE"""),"")</f>
        <v/>
      </c>
      <c r="N720" s="53"/>
      <c r="O720" s="53"/>
      <c r="P720" s="53"/>
    </row>
    <row r="721">
      <c r="A721" s="60"/>
      <c r="B721" s="52"/>
      <c r="C721" s="53"/>
      <c r="D721" s="53"/>
      <c r="E721" s="53"/>
      <c r="F721" s="53"/>
      <c r="G721" s="53"/>
      <c r="H721" s="53"/>
      <c r="I721" s="53"/>
      <c r="J721" s="53"/>
      <c r="K721" s="61"/>
      <c r="L721" s="53"/>
      <c r="M721" s="53" t="str">
        <f>IFERROR(__xludf.DUMMYFUNCTION("""COMPUTED_VALUE"""),"")</f>
        <v/>
      </c>
      <c r="N721" s="53"/>
      <c r="O721" s="53"/>
      <c r="P721" s="53"/>
    </row>
    <row r="722">
      <c r="A722" s="60"/>
      <c r="B722" s="52"/>
      <c r="C722" s="53"/>
      <c r="D722" s="53"/>
      <c r="E722" s="53"/>
      <c r="F722" s="53"/>
      <c r="G722" s="53"/>
      <c r="H722" s="53"/>
      <c r="I722" s="53"/>
      <c r="J722" s="53"/>
      <c r="K722" s="61"/>
      <c r="L722" s="53"/>
      <c r="M722" s="53" t="str">
        <f>IFERROR(__xludf.DUMMYFUNCTION("""COMPUTED_VALUE"""),"")</f>
        <v/>
      </c>
      <c r="N722" s="53"/>
      <c r="O722" s="53"/>
      <c r="P722" s="53"/>
    </row>
    <row r="723">
      <c r="A723" s="60"/>
      <c r="B723" s="52"/>
      <c r="C723" s="53"/>
      <c r="D723" s="53"/>
      <c r="E723" s="53"/>
      <c r="F723" s="53"/>
      <c r="G723" s="53"/>
      <c r="H723" s="53"/>
      <c r="I723" s="53"/>
      <c r="J723" s="53"/>
      <c r="K723" s="61"/>
      <c r="L723" s="53"/>
      <c r="M723" s="53" t="str">
        <f>IFERROR(__xludf.DUMMYFUNCTION("""COMPUTED_VALUE"""),"")</f>
        <v/>
      </c>
      <c r="N723" s="53"/>
      <c r="O723" s="53"/>
      <c r="P723" s="53"/>
    </row>
    <row r="724">
      <c r="A724" s="60"/>
      <c r="B724" s="52"/>
      <c r="C724" s="53"/>
      <c r="D724" s="53"/>
      <c r="E724" s="53"/>
      <c r="F724" s="53"/>
      <c r="G724" s="53"/>
      <c r="H724" s="53"/>
      <c r="I724" s="53"/>
      <c r="J724" s="53"/>
      <c r="K724" s="61"/>
      <c r="L724" s="53"/>
      <c r="M724" s="53" t="str">
        <f>IFERROR(__xludf.DUMMYFUNCTION("""COMPUTED_VALUE"""),"")</f>
        <v/>
      </c>
      <c r="N724" s="53"/>
      <c r="O724" s="53"/>
      <c r="P724" s="53"/>
    </row>
    <row r="725">
      <c r="A725" s="60"/>
      <c r="B725" s="52"/>
      <c r="C725" s="53"/>
      <c r="D725" s="53"/>
      <c r="E725" s="53"/>
      <c r="F725" s="53"/>
      <c r="G725" s="53"/>
      <c r="H725" s="53"/>
      <c r="I725" s="53"/>
      <c r="J725" s="53"/>
      <c r="K725" s="61"/>
      <c r="L725" s="53"/>
      <c r="M725" s="53" t="str">
        <f>IFERROR(__xludf.DUMMYFUNCTION("""COMPUTED_VALUE"""),"")</f>
        <v/>
      </c>
      <c r="N725" s="53"/>
      <c r="O725" s="53"/>
      <c r="P725" s="53"/>
    </row>
    <row r="726">
      <c r="A726" s="60"/>
      <c r="B726" s="52"/>
      <c r="C726" s="53"/>
      <c r="D726" s="53"/>
      <c r="E726" s="53"/>
      <c r="F726" s="53"/>
      <c r="G726" s="53"/>
      <c r="H726" s="53"/>
      <c r="I726" s="53"/>
      <c r="J726" s="53"/>
      <c r="K726" s="61"/>
      <c r="L726" s="53"/>
      <c r="M726" s="53" t="str">
        <f>IFERROR(__xludf.DUMMYFUNCTION("""COMPUTED_VALUE"""),"")</f>
        <v/>
      </c>
      <c r="N726" s="53"/>
      <c r="O726" s="53"/>
      <c r="P726" s="53"/>
    </row>
    <row r="727">
      <c r="A727" s="60"/>
      <c r="B727" s="52"/>
      <c r="C727" s="53"/>
      <c r="D727" s="53"/>
      <c r="E727" s="53"/>
      <c r="F727" s="53"/>
      <c r="G727" s="53"/>
      <c r="H727" s="53"/>
      <c r="I727" s="53"/>
      <c r="J727" s="53"/>
      <c r="K727" s="61"/>
      <c r="L727" s="53"/>
      <c r="M727" s="53" t="str">
        <f>IFERROR(__xludf.DUMMYFUNCTION("""COMPUTED_VALUE"""),"")</f>
        <v/>
      </c>
      <c r="N727" s="53"/>
      <c r="O727" s="53"/>
      <c r="P727" s="53"/>
    </row>
    <row r="728">
      <c r="A728" s="60"/>
      <c r="B728" s="52"/>
      <c r="C728" s="53"/>
      <c r="D728" s="53"/>
      <c r="E728" s="53"/>
      <c r="F728" s="53"/>
      <c r="G728" s="53"/>
      <c r="H728" s="53"/>
      <c r="I728" s="53"/>
      <c r="J728" s="53"/>
      <c r="K728" s="61"/>
      <c r="L728" s="53"/>
      <c r="M728" s="53" t="str">
        <f>IFERROR(__xludf.DUMMYFUNCTION("""COMPUTED_VALUE"""),"")</f>
        <v/>
      </c>
      <c r="N728" s="53"/>
      <c r="O728" s="53"/>
      <c r="P728" s="53"/>
    </row>
    <row r="729">
      <c r="A729" s="60"/>
      <c r="B729" s="52"/>
      <c r="C729" s="53"/>
      <c r="D729" s="53"/>
      <c r="E729" s="53"/>
      <c r="F729" s="53"/>
      <c r="G729" s="53"/>
      <c r="H729" s="53"/>
      <c r="I729" s="53"/>
      <c r="J729" s="53"/>
      <c r="K729" s="61"/>
      <c r="L729" s="53"/>
      <c r="M729" s="53" t="str">
        <f>IFERROR(__xludf.DUMMYFUNCTION("""COMPUTED_VALUE"""),"")</f>
        <v/>
      </c>
      <c r="N729" s="53"/>
      <c r="O729" s="53"/>
      <c r="P729" s="53"/>
    </row>
    <row r="730">
      <c r="A730" s="60"/>
      <c r="B730" s="52"/>
      <c r="C730" s="53"/>
      <c r="D730" s="53"/>
      <c r="E730" s="53"/>
      <c r="F730" s="53"/>
      <c r="G730" s="53"/>
      <c r="H730" s="53"/>
      <c r="I730" s="53"/>
      <c r="J730" s="53"/>
      <c r="K730" s="61"/>
      <c r="L730" s="53"/>
      <c r="M730" s="53" t="str">
        <f>IFERROR(__xludf.DUMMYFUNCTION("""COMPUTED_VALUE"""),"")</f>
        <v/>
      </c>
      <c r="N730" s="53"/>
      <c r="O730" s="53"/>
      <c r="P730" s="53"/>
    </row>
    <row r="731">
      <c r="A731" s="60"/>
      <c r="B731" s="52"/>
      <c r="C731" s="53"/>
      <c r="D731" s="53"/>
      <c r="E731" s="53"/>
      <c r="F731" s="53"/>
      <c r="G731" s="53"/>
      <c r="H731" s="53"/>
      <c r="I731" s="53"/>
      <c r="J731" s="53"/>
      <c r="K731" s="61"/>
      <c r="L731" s="53"/>
      <c r="M731" s="53" t="str">
        <f>IFERROR(__xludf.DUMMYFUNCTION("""COMPUTED_VALUE"""),"")</f>
        <v/>
      </c>
      <c r="N731" s="53"/>
      <c r="O731" s="53"/>
      <c r="P731" s="53"/>
    </row>
    <row r="732">
      <c r="A732" s="60"/>
      <c r="B732" s="52"/>
      <c r="C732" s="53"/>
      <c r="D732" s="53"/>
      <c r="E732" s="53"/>
      <c r="F732" s="53"/>
      <c r="G732" s="53"/>
      <c r="H732" s="53"/>
      <c r="I732" s="53"/>
      <c r="J732" s="53"/>
      <c r="K732" s="61"/>
      <c r="L732" s="53"/>
      <c r="M732" s="53" t="str">
        <f>IFERROR(__xludf.DUMMYFUNCTION("""COMPUTED_VALUE"""),"")</f>
        <v/>
      </c>
      <c r="N732" s="53"/>
      <c r="O732" s="53"/>
      <c r="P732" s="53"/>
    </row>
    <row r="733">
      <c r="A733" s="60"/>
      <c r="B733" s="52"/>
      <c r="C733" s="53"/>
      <c r="D733" s="53"/>
      <c r="E733" s="53"/>
      <c r="F733" s="53"/>
      <c r="G733" s="53"/>
      <c r="H733" s="53"/>
      <c r="I733" s="53"/>
      <c r="J733" s="53"/>
      <c r="K733" s="61"/>
      <c r="L733" s="53"/>
      <c r="M733" s="53" t="str">
        <f>IFERROR(__xludf.DUMMYFUNCTION("""COMPUTED_VALUE"""),"")</f>
        <v/>
      </c>
      <c r="N733" s="53"/>
      <c r="O733" s="53"/>
      <c r="P733" s="53"/>
    </row>
    <row r="734">
      <c r="A734" s="60"/>
      <c r="B734" s="52"/>
      <c r="C734" s="53"/>
      <c r="D734" s="53"/>
      <c r="E734" s="53"/>
      <c r="F734" s="53"/>
      <c r="G734" s="53"/>
      <c r="H734" s="53"/>
      <c r="I734" s="53"/>
      <c r="J734" s="53"/>
      <c r="K734" s="61"/>
      <c r="L734" s="53"/>
      <c r="M734" s="53" t="str">
        <f>IFERROR(__xludf.DUMMYFUNCTION("""COMPUTED_VALUE"""),"")</f>
        <v/>
      </c>
      <c r="N734" s="53"/>
      <c r="O734" s="53"/>
      <c r="P734" s="53"/>
    </row>
    <row r="735">
      <c r="A735" s="60"/>
      <c r="B735" s="52"/>
      <c r="C735" s="53"/>
      <c r="D735" s="53"/>
      <c r="E735" s="53"/>
      <c r="F735" s="53"/>
      <c r="G735" s="53"/>
      <c r="H735" s="53"/>
      <c r="I735" s="53"/>
      <c r="J735" s="53"/>
      <c r="K735" s="61"/>
      <c r="L735" s="53"/>
      <c r="M735" s="53" t="str">
        <f>IFERROR(__xludf.DUMMYFUNCTION("""COMPUTED_VALUE"""),"")</f>
        <v/>
      </c>
      <c r="N735" s="53"/>
      <c r="O735" s="53"/>
      <c r="P735" s="53"/>
    </row>
    <row r="736">
      <c r="A736" s="60"/>
      <c r="B736" s="52"/>
      <c r="C736" s="53"/>
      <c r="D736" s="53"/>
      <c r="E736" s="53"/>
      <c r="F736" s="53"/>
      <c r="G736" s="53"/>
      <c r="H736" s="53"/>
      <c r="I736" s="53"/>
      <c r="J736" s="53"/>
      <c r="K736" s="61"/>
      <c r="L736" s="53"/>
      <c r="M736" s="53" t="str">
        <f>IFERROR(__xludf.DUMMYFUNCTION("""COMPUTED_VALUE"""),"")</f>
        <v/>
      </c>
      <c r="N736" s="53"/>
      <c r="O736" s="53"/>
      <c r="P736" s="53"/>
    </row>
    <row r="737">
      <c r="A737" s="60"/>
      <c r="B737" s="52"/>
      <c r="C737" s="53"/>
      <c r="D737" s="53"/>
      <c r="E737" s="53"/>
      <c r="F737" s="53"/>
      <c r="G737" s="53"/>
      <c r="H737" s="53"/>
      <c r="I737" s="53"/>
      <c r="J737" s="53"/>
      <c r="K737" s="61"/>
      <c r="L737" s="53"/>
      <c r="M737" s="53" t="str">
        <f>IFERROR(__xludf.DUMMYFUNCTION("""COMPUTED_VALUE"""),"")</f>
        <v/>
      </c>
      <c r="N737" s="53"/>
      <c r="O737" s="53"/>
      <c r="P737" s="53"/>
    </row>
    <row r="738">
      <c r="A738" s="60"/>
      <c r="B738" s="52"/>
      <c r="C738" s="53"/>
      <c r="D738" s="53"/>
      <c r="E738" s="53"/>
      <c r="F738" s="53"/>
      <c r="G738" s="53"/>
      <c r="H738" s="53"/>
      <c r="I738" s="53"/>
      <c r="J738" s="53"/>
      <c r="K738" s="61"/>
      <c r="L738" s="53"/>
      <c r="M738" s="53" t="str">
        <f>IFERROR(__xludf.DUMMYFUNCTION("""COMPUTED_VALUE"""),"")</f>
        <v/>
      </c>
      <c r="N738" s="53"/>
      <c r="O738" s="53"/>
      <c r="P738" s="53"/>
    </row>
    <row r="739">
      <c r="A739" s="60"/>
      <c r="B739" s="52"/>
      <c r="C739" s="53"/>
      <c r="D739" s="53"/>
      <c r="E739" s="53"/>
      <c r="F739" s="53"/>
      <c r="G739" s="53"/>
      <c r="H739" s="53"/>
      <c r="I739" s="53"/>
      <c r="J739" s="53"/>
      <c r="K739" s="61"/>
      <c r="L739" s="53"/>
      <c r="M739" s="53" t="str">
        <f>IFERROR(__xludf.DUMMYFUNCTION("""COMPUTED_VALUE"""),"")</f>
        <v/>
      </c>
      <c r="N739" s="53"/>
      <c r="O739" s="53"/>
      <c r="P739" s="53"/>
    </row>
    <row r="740">
      <c r="A740" s="60"/>
      <c r="B740" s="52"/>
      <c r="C740" s="53"/>
      <c r="D740" s="53"/>
      <c r="E740" s="53"/>
      <c r="F740" s="53"/>
      <c r="G740" s="53"/>
      <c r="H740" s="53"/>
      <c r="I740" s="53"/>
      <c r="J740" s="53"/>
      <c r="K740" s="61"/>
      <c r="L740" s="53"/>
      <c r="M740" s="53" t="str">
        <f>IFERROR(__xludf.DUMMYFUNCTION("""COMPUTED_VALUE"""),"")</f>
        <v/>
      </c>
      <c r="N740" s="53"/>
      <c r="O740" s="53"/>
      <c r="P740" s="53"/>
    </row>
    <row r="741">
      <c r="A741" s="60"/>
      <c r="B741" s="52"/>
      <c r="C741" s="53"/>
      <c r="D741" s="53"/>
      <c r="E741" s="53"/>
      <c r="F741" s="53"/>
      <c r="G741" s="53"/>
      <c r="H741" s="53"/>
      <c r="I741" s="53"/>
      <c r="J741" s="53"/>
      <c r="K741" s="61"/>
      <c r="L741" s="53"/>
      <c r="M741" s="53" t="str">
        <f>IFERROR(__xludf.DUMMYFUNCTION("""COMPUTED_VALUE"""),"")</f>
        <v/>
      </c>
      <c r="N741" s="53"/>
      <c r="O741" s="53"/>
      <c r="P741" s="53"/>
    </row>
    <row r="742">
      <c r="A742" s="60"/>
      <c r="B742" s="52"/>
      <c r="C742" s="53"/>
      <c r="D742" s="53"/>
      <c r="E742" s="53"/>
      <c r="F742" s="53"/>
      <c r="G742" s="53"/>
      <c r="H742" s="53"/>
      <c r="I742" s="53"/>
      <c r="J742" s="53"/>
      <c r="K742" s="61"/>
      <c r="L742" s="53"/>
      <c r="M742" s="53" t="str">
        <f>IFERROR(__xludf.DUMMYFUNCTION("""COMPUTED_VALUE"""),"")</f>
        <v/>
      </c>
      <c r="N742" s="53"/>
      <c r="O742" s="53"/>
      <c r="P742" s="53"/>
    </row>
    <row r="743">
      <c r="A743" s="60"/>
      <c r="B743" s="52"/>
      <c r="C743" s="53"/>
      <c r="D743" s="53"/>
      <c r="E743" s="53"/>
      <c r="F743" s="53"/>
      <c r="G743" s="53"/>
      <c r="H743" s="53"/>
      <c r="I743" s="53"/>
      <c r="J743" s="53"/>
      <c r="K743" s="61"/>
      <c r="L743" s="53"/>
      <c r="M743" s="53" t="str">
        <f>IFERROR(__xludf.DUMMYFUNCTION("""COMPUTED_VALUE"""),"")</f>
        <v/>
      </c>
      <c r="N743" s="53"/>
      <c r="O743" s="53"/>
      <c r="P743" s="53"/>
    </row>
    <row r="744">
      <c r="A744" s="60"/>
      <c r="B744" s="52"/>
      <c r="C744" s="53"/>
      <c r="D744" s="53"/>
      <c r="E744" s="53"/>
      <c r="F744" s="53"/>
      <c r="G744" s="53"/>
      <c r="H744" s="53"/>
      <c r="I744" s="53"/>
      <c r="J744" s="53"/>
      <c r="K744" s="61"/>
      <c r="L744" s="53"/>
      <c r="M744" s="53" t="str">
        <f>IFERROR(__xludf.DUMMYFUNCTION("""COMPUTED_VALUE"""),"")</f>
        <v/>
      </c>
      <c r="N744" s="53"/>
      <c r="O744" s="53"/>
      <c r="P744" s="53"/>
    </row>
    <row r="745">
      <c r="A745" s="60"/>
      <c r="B745" s="52"/>
      <c r="C745" s="53"/>
      <c r="D745" s="53"/>
      <c r="E745" s="53"/>
      <c r="F745" s="53"/>
      <c r="G745" s="53"/>
      <c r="H745" s="53"/>
      <c r="I745" s="53"/>
      <c r="J745" s="53"/>
      <c r="K745" s="61"/>
      <c r="L745" s="53"/>
      <c r="M745" s="53" t="str">
        <f>IFERROR(__xludf.DUMMYFUNCTION("""COMPUTED_VALUE"""),"")</f>
        <v/>
      </c>
      <c r="N745" s="53"/>
      <c r="O745" s="53"/>
      <c r="P745" s="53"/>
    </row>
    <row r="746">
      <c r="A746" s="60"/>
      <c r="B746" s="52"/>
      <c r="C746" s="53"/>
      <c r="D746" s="53"/>
      <c r="E746" s="53"/>
      <c r="F746" s="53"/>
      <c r="G746" s="53"/>
      <c r="H746" s="53"/>
      <c r="I746" s="53"/>
      <c r="J746" s="53"/>
      <c r="K746" s="61"/>
      <c r="L746" s="53"/>
      <c r="M746" s="53" t="str">
        <f>IFERROR(__xludf.DUMMYFUNCTION("""COMPUTED_VALUE"""),"")</f>
        <v/>
      </c>
      <c r="N746" s="53"/>
      <c r="O746" s="53"/>
      <c r="P746" s="53"/>
    </row>
    <row r="747">
      <c r="A747" s="60"/>
      <c r="B747" s="52"/>
      <c r="C747" s="53"/>
      <c r="D747" s="53"/>
      <c r="E747" s="53"/>
      <c r="F747" s="53"/>
      <c r="G747" s="53"/>
      <c r="H747" s="53"/>
      <c r="I747" s="53"/>
      <c r="J747" s="53"/>
      <c r="K747" s="61"/>
      <c r="L747" s="53"/>
      <c r="M747" s="53" t="str">
        <f>IFERROR(__xludf.DUMMYFUNCTION("""COMPUTED_VALUE"""),"")</f>
        <v/>
      </c>
      <c r="N747" s="53"/>
      <c r="O747" s="53"/>
      <c r="P747" s="53"/>
    </row>
    <row r="748">
      <c r="A748" s="60"/>
      <c r="B748" s="52"/>
      <c r="C748" s="53"/>
      <c r="D748" s="53"/>
      <c r="E748" s="53"/>
      <c r="F748" s="53"/>
      <c r="G748" s="53"/>
      <c r="H748" s="53"/>
      <c r="I748" s="53"/>
      <c r="J748" s="53"/>
      <c r="K748" s="61"/>
      <c r="L748" s="53"/>
      <c r="M748" s="53" t="str">
        <f>IFERROR(__xludf.DUMMYFUNCTION("""COMPUTED_VALUE"""),"")</f>
        <v/>
      </c>
      <c r="N748" s="53"/>
      <c r="O748" s="53"/>
      <c r="P748" s="53"/>
    </row>
    <row r="749">
      <c r="A749" s="60"/>
      <c r="B749" s="52"/>
      <c r="C749" s="53"/>
      <c r="D749" s="53"/>
      <c r="E749" s="53"/>
      <c r="F749" s="53"/>
      <c r="G749" s="53"/>
      <c r="H749" s="53"/>
      <c r="I749" s="53"/>
      <c r="J749" s="53"/>
      <c r="K749" s="61"/>
      <c r="L749" s="53"/>
      <c r="M749" s="53" t="str">
        <f>IFERROR(__xludf.DUMMYFUNCTION("""COMPUTED_VALUE"""),"")</f>
        <v/>
      </c>
      <c r="N749" s="53"/>
      <c r="O749" s="53"/>
      <c r="P749" s="53"/>
    </row>
    <row r="750">
      <c r="A750" s="60"/>
      <c r="B750" s="52"/>
      <c r="C750" s="53"/>
      <c r="D750" s="53"/>
      <c r="E750" s="53"/>
      <c r="F750" s="53"/>
      <c r="G750" s="53"/>
      <c r="H750" s="53"/>
      <c r="I750" s="53"/>
      <c r="J750" s="53"/>
      <c r="K750" s="61"/>
      <c r="L750" s="53"/>
      <c r="M750" s="53" t="str">
        <f>IFERROR(__xludf.DUMMYFUNCTION("""COMPUTED_VALUE"""),"")</f>
        <v/>
      </c>
      <c r="N750" s="53"/>
      <c r="O750" s="53"/>
      <c r="P750" s="53"/>
    </row>
    <row r="751">
      <c r="A751" s="60"/>
      <c r="B751" s="52"/>
      <c r="C751" s="53"/>
      <c r="D751" s="53"/>
      <c r="E751" s="53"/>
      <c r="F751" s="53"/>
      <c r="G751" s="53"/>
      <c r="H751" s="53"/>
      <c r="I751" s="53"/>
      <c r="J751" s="53"/>
      <c r="K751" s="61"/>
      <c r="L751" s="53"/>
      <c r="M751" s="53" t="str">
        <f>IFERROR(__xludf.DUMMYFUNCTION("""COMPUTED_VALUE"""),"")</f>
        <v/>
      </c>
      <c r="N751" s="53"/>
      <c r="O751" s="53"/>
      <c r="P751" s="53"/>
    </row>
    <row r="752">
      <c r="A752" s="60"/>
      <c r="B752" s="52"/>
      <c r="C752" s="53"/>
      <c r="D752" s="53"/>
      <c r="E752" s="53"/>
      <c r="F752" s="53"/>
      <c r="G752" s="53"/>
      <c r="H752" s="53"/>
      <c r="I752" s="53"/>
      <c r="J752" s="53"/>
      <c r="K752" s="61"/>
      <c r="L752" s="53"/>
      <c r="M752" s="53" t="str">
        <f>IFERROR(__xludf.DUMMYFUNCTION("""COMPUTED_VALUE"""),"")</f>
        <v/>
      </c>
      <c r="N752" s="53"/>
      <c r="O752" s="53"/>
      <c r="P752" s="53"/>
    </row>
    <row r="753">
      <c r="A753" s="60"/>
      <c r="B753" s="52"/>
      <c r="C753" s="53"/>
      <c r="D753" s="53"/>
      <c r="E753" s="53"/>
      <c r="F753" s="53"/>
      <c r="G753" s="53"/>
      <c r="H753" s="53"/>
      <c r="I753" s="53"/>
      <c r="J753" s="53"/>
      <c r="K753" s="61"/>
      <c r="L753" s="53"/>
      <c r="M753" s="53" t="str">
        <f>IFERROR(__xludf.DUMMYFUNCTION("""COMPUTED_VALUE"""),"")</f>
        <v/>
      </c>
      <c r="N753" s="53"/>
      <c r="O753" s="53"/>
      <c r="P753" s="53"/>
    </row>
    <row r="754">
      <c r="A754" s="60"/>
      <c r="B754" s="52"/>
      <c r="C754" s="53"/>
      <c r="D754" s="53"/>
      <c r="E754" s="53"/>
      <c r="F754" s="53"/>
      <c r="G754" s="53"/>
      <c r="H754" s="53"/>
      <c r="I754" s="53"/>
      <c r="J754" s="53"/>
      <c r="K754" s="61"/>
      <c r="L754" s="53"/>
      <c r="M754" s="53" t="str">
        <f>IFERROR(__xludf.DUMMYFUNCTION("""COMPUTED_VALUE"""),"")</f>
        <v/>
      </c>
      <c r="N754" s="53"/>
      <c r="O754" s="53"/>
      <c r="P754" s="53"/>
    </row>
    <row r="755">
      <c r="A755" s="60"/>
      <c r="B755" s="52"/>
      <c r="C755" s="53"/>
      <c r="D755" s="53"/>
      <c r="E755" s="53"/>
      <c r="F755" s="53"/>
      <c r="G755" s="53"/>
      <c r="H755" s="53"/>
      <c r="I755" s="53"/>
      <c r="J755" s="53"/>
      <c r="K755" s="61"/>
      <c r="L755" s="53"/>
      <c r="M755" s="53" t="str">
        <f>IFERROR(__xludf.DUMMYFUNCTION("""COMPUTED_VALUE"""),"")</f>
        <v/>
      </c>
      <c r="N755" s="53"/>
      <c r="O755" s="53"/>
      <c r="P755" s="53"/>
    </row>
    <row r="756">
      <c r="A756" s="60"/>
      <c r="B756" s="52"/>
      <c r="C756" s="53"/>
      <c r="D756" s="53"/>
      <c r="E756" s="53"/>
      <c r="F756" s="53"/>
      <c r="G756" s="53"/>
      <c r="H756" s="53"/>
      <c r="I756" s="53"/>
      <c r="J756" s="53"/>
      <c r="K756" s="61"/>
      <c r="L756" s="53"/>
      <c r="M756" s="53" t="str">
        <f>IFERROR(__xludf.DUMMYFUNCTION("""COMPUTED_VALUE"""),"")</f>
        <v/>
      </c>
      <c r="N756" s="53"/>
      <c r="O756" s="53"/>
      <c r="P756" s="53"/>
    </row>
    <row r="757">
      <c r="A757" s="60"/>
      <c r="B757" s="52"/>
      <c r="C757" s="53"/>
      <c r="D757" s="53"/>
      <c r="E757" s="53"/>
      <c r="F757" s="53"/>
      <c r="G757" s="53"/>
      <c r="H757" s="53"/>
      <c r="I757" s="53"/>
      <c r="J757" s="53"/>
      <c r="K757" s="61"/>
      <c r="L757" s="53"/>
      <c r="M757" s="53" t="str">
        <f>IFERROR(__xludf.DUMMYFUNCTION("""COMPUTED_VALUE"""),"")</f>
        <v/>
      </c>
      <c r="N757" s="53"/>
      <c r="O757" s="53"/>
      <c r="P757" s="53"/>
    </row>
    <row r="758">
      <c r="A758" s="60"/>
      <c r="B758" s="52"/>
      <c r="C758" s="53"/>
      <c r="D758" s="53"/>
      <c r="E758" s="53"/>
      <c r="F758" s="53"/>
      <c r="G758" s="53"/>
      <c r="H758" s="53"/>
      <c r="I758" s="53"/>
      <c r="J758" s="53"/>
      <c r="K758" s="61"/>
      <c r="L758" s="53"/>
      <c r="M758" s="53" t="str">
        <f>IFERROR(__xludf.DUMMYFUNCTION("""COMPUTED_VALUE"""),"")</f>
        <v/>
      </c>
      <c r="N758" s="53"/>
      <c r="O758" s="53"/>
      <c r="P758" s="53"/>
    </row>
    <row r="759">
      <c r="A759" s="60"/>
      <c r="B759" s="52"/>
      <c r="C759" s="53"/>
      <c r="D759" s="53"/>
      <c r="E759" s="53"/>
      <c r="F759" s="53"/>
      <c r="G759" s="53"/>
      <c r="H759" s="53"/>
      <c r="I759" s="53"/>
      <c r="J759" s="53"/>
      <c r="K759" s="61"/>
      <c r="L759" s="53"/>
      <c r="M759" s="53" t="str">
        <f>IFERROR(__xludf.DUMMYFUNCTION("""COMPUTED_VALUE"""),"")</f>
        <v/>
      </c>
      <c r="N759" s="53"/>
      <c r="O759" s="53"/>
      <c r="P759" s="53"/>
    </row>
    <row r="760">
      <c r="A760" s="60"/>
      <c r="B760" s="52"/>
      <c r="C760" s="53"/>
      <c r="D760" s="53"/>
      <c r="E760" s="53"/>
      <c r="F760" s="53"/>
      <c r="G760" s="53"/>
      <c r="H760" s="53"/>
      <c r="I760" s="53"/>
      <c r="J760" s="53"/>
      <c r="K760" s="61"/>
      <c r="L760" s="53"/>
      <c r="M760" s="53" t="str">
        <f>IFERROR(__xludf.DUMMYFUNCTION("""COMPUTED_VALUE"""),"")</f>
        <v/>
      </c>
      <c r="N760" s="53"/>
      <c r="O760" s="53"/>
      <c r="P760" s="53"/>
    </row>
    <row r="761">
      <c r="A761" s="60"/>
      <c r="B761" s="52"/>
      <c r="C761" s="53"/>
      <c r="D761" s="53"/>
      <c r="E761" s="53"/>
      <c r="F761" s="53"/>
      <c r="G761" s="53"/>
      <c r="H761" s="53"/>
      <c r="I761" s="53"/>
      <c r="J761" s="53"/>
      <c r="K761" s="61"/>
      <c r="L761" s="53"/>
      <c r="M761" s="53" t="str">
        <f>IFERROR(__xludf.DUMMYFUNCTION("""COMPUTED_VALUE"""),"")</f>
        <v/>
      </c>
      <c r="N761" s="53"/>
      <c r="O761" s="53"/>
      <c r="P761" s="53"/>
    </row>
    <row r="762">
      <c r="A762" s="60"/>
      <c r="B762" s="52"/>
      <c r="C762" s="53"/>
      <c r="D762" s="53"/>
      <c r="E762" s="53"/>
      <c r="F762" s="53"/>
      <c r="G762" s="53"/>
      <c r="H762" s="53"/>
      <c r="I762" s="53"/>
      <c r="J762" s="53"/>
      <c r="K762" s="61"/>
      <c r="L762" s="53"/>
      <c r="M762" s="53" t="str">
        <f>IFERROR(__xludf.DUMMYFUNCTION("""COMPUTED_VALUE"""),"")</f>
        <v/>
      </c>
      <c r="N762" s="53"/>
      <c r="O762" s="53"/>
      <c r="P762" s="53"/>
    </row>
    <row r="763">
      <c r="A763" s="60"/>
      <c r="B763" s="52"/>
      <c r="C763" s="53"/>
      <c r="D763" s="53"/>
      <c r="E763" s="53"/>
      <c r="F763" s="53"/>
      <c r="G763" s="53"/>
      <c r="H763" s="53"/>
      <c r="I763" s="53"/>
      <c r="J763" s="53"/>
      <c r="K763" s="61"/>
      <c r="L763" s="53"/>
      <c r="M763" s="53" t="str">
        <f>IFERROR(__xludf.DUMMYFUNCTION("""COMPUTED_VALUE"""),"")</f>
        <v/>
      </c>
      <c r="N763" s="53"/>
      <c r="O763" s="53"/>
      <c r="P763" s="53"/>
    </row>
    <row r="764">
      <c r="A764" s="60"/>
      <c r="B764" s="52"/>
      <c r="C764" s="53"/>
      <c r="D764" s="53"/>
      <c r="E764" s="53"/>
      <c r="F764" s="53"/>
      <c r="G764" s="53"/>
      <c r="H764" s="53"/>
      <c r="I764" s="53"/>
      <c r="J764" s="53"/>
      <c r="K764" s="61"/>
      <c r="L764" s="53"/>
      <c r="M764" s="53" t="str">
        <f>IFERROR(__xludf.DUMMYFUNCTION("""COMPUTED_VALUE"""),"")</f>
        <v/>
      </c>
      <c r="N764" s="53"/>
      <c r="O764" s="53"/>
      <c r="P764" s="53"/>
    </row>
    <row r="765">
      <c r="A765" s="60"/>
      <c r="B765" s="52"/>
      <c r="C765" s="53"/>
      <c r="D765" s="53"/>
      <c r="E765" s="53"/>
      <c r="F765" s="53"/>
      <c r="G765" s="53"/>
      <c r="H765" s="53"/>
      <c r="I765" s="53"/>
      <c r="J765" s="53"/>
      <c r="K765" s="61"/>
      <c r="L765" s="53"/>
      <c r="M765" s="53" t="str">
        <f>IFERROR(__xludf.DUMMYFUNCTION("""COMPUTED_VALUE"""),"")</f>
        <v/>
      </c>
      <c r="N765" s="53"/>
      <c r="O765" s="53"/>
      <c r="P765" s="53"/>
    </row>
    <row r="766">
      <c r="A766" s="60"/>
      <c r="B766" s="52"/>
      <c r="C766" s="53"/>
      <c r="D766" s="53"/>
      <c r="E766" s="53"/>
      <c r="F766" s="53"/>
      <c r="G766" s="53"/>
      <c r="H766" s="53"/>
      <c r="I766" s="53"/>
      <c r="J766" s="53"/>
      <c r="K766" s="61"/>
      <c r="L766" s="53"/>
      <c r="M766" s="53" t="str">
        <f>IFERROR(__xludf.DUMMYFUNCTION("""COMPUTED_VALUE"""),"")</f>
        <v/>
      </c>
      <c r="N766" s="53"/>
      <c r="O766" s="53"/>
      <c r="P766" s="53"/>
    </row>
    <row r="767">
      <c r="A767" s="60"/>
      <c r="B767" s="52"/>
      <c r="C767" s="53"/>
      <c r="D767" s="53"/>
      <c r="E767" s="53"/>
      <c r="F767" s="53"/>
      <c r="G767" s="53"/>
      <c r="H767" s="53"/>
      <c r="I767" s="53"/>
      <c r="J767" s="53"/>
      <c r="K767" s="61"/>
      <c r="L767" s="53"/>
      <c r="M767" s="53" t="str">
        <f>IFERROR(__xludf.DUMMYFUNCTION("""COMPUTED_VALUE"""),"")</f>
        <v/>
      </c>
      <c r="N767" s="53"/>
      <c r="O767" s="53"/>
      <c r="P767" s="53"/>
    </row>
    <row r="768">
      <c r="A768" s="60"/>
      <c r="B768" s="52"/>
      <c r="C768" s="53"/>
      <c r="D768" s="53"/>
      <c r="E768" s="53"/>
      <c r="F768" s="53"/>
      <c r="G768" s="53"/>
      <c r="H768" s="53"/>
      <c r="I768" s="53"/>
      <c r="J768" s="53"/>
      <c r="K768" s="61"/>
      <c r="L768" s="53"/>
      <c r="M768" s="53" t="str">
        <f>IFERROR(__xludf.DUMMYFUNCTION("""COMPUTED_VALUE"""),"")</f>
        <v/>
      </c>
      <c r="N768" s="53"/>
      <c r="O768" s="53"/>
      <c r="P768" s="53"/>
    </row>
    <row r="769">
      <c r="A769" s="60"/>
      <c r="B769" s="52"/>
      <c r="C769" s="53"/>
      <c r="D769" s="53"/>
      <c r="E769" s="53"/>
      <c r="F769" s="53"/>
      <c r="G769" s="53"/>
      <c r="H769" s="53"/>
      <c r="I769" s="53"/>
      <c r="J769" s="53"/>
      <c r="K769" s="61"/>
      <c r="L769" s="53"/>
      <c r="M769" s="53" t="str">
        <f>IFERROR(__xludf.DUMMYFUNCTION("""COMPUTED_VALUE"""),"")</f>
        <v/>
      </c>
      <c r="N769" s="53"/>
      <c r="O769" s="53"/>
      <c r="P769" s="53"/>
    </row>
    <row r="770">
      <c r="A770" s="60"/>
      <c r="B770" s="52"/>
      <c r="C770" s="53"/>
      <c r="D770" s="53"/>
      <c r="E770" s="53"/>
      <c r="F770" s="53"/>
      <c r="G770" s="53"/>
      <c r="H770" s="53"/>
      <c r="I770" s="53"/>
      <c r="J770" s="53"/>
      <c r="K770" s="61"/>
      <c r="L770" s="53"/>
      <c r="M770" s="53" t="str">
        <f>IFERROR(__xludf.DUMMYFUNCTION("""COMPUTED_VALUE"""),"")</f>
        <v/>
      </c>
      <c r="N770" s="53"/>
      <c r="O770" s="53"/>
      <c r="P770" s="53"/>
    </row>
    <row r="771">
      <c r="A771" s="60"/>
      <c r="B771" s="52"/>
      <c r="C771" s="53"/>
      <c r="D771" s="53"/>
      <c r="E771" s="53"/>
      <c r="F771" s="53"/>
      <c r="G771" s="53"/>
      <c r="H771" s="53"/>
      <c r="I771" s="53"/>
      <c r="J771" s="53"/>
      <c r="K771" s="61"/>
      <c r="L771" s="53"/>
      <c r="M771" s="53" t="str">
        <f>IFERROR(__xludf.DUMMYFUNCTION("""COMPUTED_VALUE"""),"")</f>
        <v/>
      </c>
      <c r="N771" s="53"/>
      <c r="O771" s="53"/>
      <c r="P771" s="53"/>
    </row>
    <row r="772">
      <c r="A772" s="60"/>
      <c r="B772" s="52"/>
      <c r="C772" s="53"/>
      <c r="D772" s="53"/>
      <c r="E772" s="53"/>
      <c r="F772" s="53"/>
      <c r="G772" s="53"/>
      <c r="H772" s="53"/>
      <c r="I772" s="53"/>
      <c r="J772" s="53"/>
      <c r="K772" s="61"/>
      <c r="L772" s="53"/>
      <c r="M772" s="53" t="str">
        <f>IFERROR(__xludf.DUMMYFUNCTION("""COMPUTED_VALUE"""),"")</f>
        <v/>
      </c>
      <c r="N772" s="53"/>
      <c r="O772" s="53"/>
      <c r="P772" s="53"/>
    </row>
    <row r="773">
      <c r="A773" s="60"/>
      <c r="B773" s="52"/>
      <c r="C773" s="53"/>
      <c r="D773" s="53"/>
      <c r="E773" s="53"/>
      <c r="F773" s="53"/>
      <c r="G773" s="53"/>
      <c r="H773" s="53"/>
      <c r="I773" s="53"/>
      <c r="J773" s="53"/>
      <c r="K773" s="61"/>
      <c r="L773" s="53"/>
      <c r="M773" s="53" t="str">
        <f>IFERROR(__xludf.DUMMYFUNCTION("""COMPUTED_VALUE"""),"")</f>
        <v/>
      </c>
      <c r="N773" s="53"/>
      <c r="O773" s="53"/>
      <c r="P773" s="53"/>
    </row>
    <row r="774">
      <c r="A774" s="60"/>
      <c r="B774" s="52"/>
      <c r="C774" s="53"/>
      <c r="D774" s="53"/>
      <c r="E774" s="53"/>
      <c r="F774" s="53"/>
      <c r="G774" s="53"/>
      <c r="H774" s="53"/>
      <c r="I774" s="53"/>
      <c r="J774" s="53"/>
      <c r="K774" s="61"/>
      <c r="L774" s="53"/>
      <c r="M774" s="53" t="str">
        <f>IFERROR(__xludf.DUMMYFUNCTION("""COMPUTED_VALUE"""),"")</f>
        <v/>
      </c>
      <c r="N774" s="53"/>
      <c r="O774" s="53"/>
      <c r="P774" s="53"/>
    </row>
    <row r="775">
      <c r="A775" s="60"/>
      <c r="B775" s="52"/>
      <c r="C775" s="53"/>
      <c r="D775" s="53"/>
      <c r="E775" s="53"/>
      <c r="F775" s="53"/>
      <c r="G775" s="53"/>
      <c r="H775" s="53"/>
      <c r="I775" s="53"/>
      <c r="J775" s="53"/>
      <c r="K775" s="61"/>
      <c r="L775" s="53"/>
      <c r="M775" s="53" t="str">
        <f>IFERROR(__xludf.DUMMYFUNCTION("""COMPUTED_VALUE"""),"")</f>
        <v/>
      </c>
      <c r="N775" s="53"/>
      <c r="O775" s="53"/>
      <c r="P775" s="53"/>
    </row>
    <row r="776">
      <c r="A776" s="60"/>
      <c r="B776" s="52"/>
      <c r="C776" s="53"/>
      <c r="D776" s="53"/>
      <c r="E776" s="53"/>
      <c r="F776" s="53"/>
      <c r="G776" s="53"/>
      <c r="H776" s="53"/>
      <c r="I776" s="53"/>
      <c r="J776" s="53"/>
      <c r="K776" s="61"/>
      <c r="L776" s="53"/>
      <c r="M776" s="53" t="str">
        <f>IFERROR(__xludf.DUMMYFUNCTION("""COMPUTED_VALUE"""),"")</f>
        <v/>
      </c>
      <c r="N776" s="53"/>
      <c r="O776" s="53"/>
      <c r="P776" s="53"/>
    </row>
    <row r="777">
      <c r="A777" s="60"/>
      <c r="B777" s="52"/>
      <c r="C777" s="53"/>
      <c r="D777" s="53"/>
      <c r="E777" s="53"/>
      <c r="F777" s="53"/>
      <c r="G777" s="53"/>
      <c r="H777" s="53"/>
      <c r="I777" s="53"/>
      <c r="J777" s="53"/>
      <c r="K777" s="61"/>
      <c r="L777" s="53"/>
      <c r="M777" s="53" t="str">
        <f>IFERROR(__xludf.DUMMYFUNCTION("""COMPUTED_VALUE"""),"")</f>
        <v/>
      </c>
      <c r="N777" s="53"/>
      <c r="O777" s="53"/>
      <c r="P777" s="53"/>
    </row>
    <row r="778">
      <c r="A778" s="60"/>
      <c r="B778" s="52"/>
      <c r="C778" s="53"/>
      <c r="D778" s="53"/>
      <c r="E778" s="53"/>
      <c r="F778" s="53"/>
      <c r="G778" s="53"/>
      <c r="H778" s="53"/>
      <c r="I778" s="53"/>
      <c r="J778" s="53"/>
      <c r="K778" s="61"/>
      <c r="L778" s="53"/>
      <c r="M778" s="53" t="str">
        <f>IFERROR(__xludf.DUMMYFUNCTION("""COMPUTED_VALUE"""),"")</f>
        <v/>
      </c>
      <c r="N778" s="53"/>
      <c r="O778" s="53"/>
      <c r="P778" s="53"/>
    </row>
    <row r="779">
      <c r="A779" s="60"/>
      <c r="B779" s="52"/>
      <c r="C779" s="53"/>
      <c r="D779" s="53"/>
      <c r="E779" s="53"/>
      <c r="F779" s="53"/>
      <c r="G779" s="53"/>
      <c r="H779" s="53"/>
      <c r="I779" s="53"/>
      <c r="J779" s="53"/>
      <c r="K779" s="61"/>
      <c r="L779" s="53"/>
      <c r="M779" s="53" t="str">
        <f>IFERROR(__xludf.DUMMYFUNCTION("""COMPUTED_VALUE"""),"")</f>
        <v/>
      </c>
      <c r="N779" s="53"/>
      <c r="O779" s="53"/>
      <c r="P779" s="53"/>
    </row>
    <row r="780">
      <c r="A780" s="60"/>
      <c r="B780" s="52"/>
      <c r="C780" s="53"/>
      <c r="D780" s="53"/>
      <c r="E780" s="53"/>
      <c r="F780" s="53"/>
      <c r="G780" s="53"/>
      <c r="H780" s="53"/>
      <c r="I780" s="53"/>
      <c r="J780" s="53"/>
      <c r="K780" s="61"/>
      <c r="L780" s="53"/>
      <c r="M780" s="53" t="str">
        <f>IFERROR(__xludf.DUMMYFUNCTION("""COMPUTED_VALUE"""),"")</f>
        <v/>
      </c>
      <c r="N780" s="53"/>
      <c r="O780" s="53"/>
      <c r="P780" s="53"/>
    </row>
    <row r="781">
      <c r="A781" s="60"/>
      <c r="B781" s="52"/>
      <c r="C781" s="53"/>
      <c r="D781" s="53"/>
      <c r="E781" s="53"/>
      <c r="F781" s="53"/>
      <c r="G781" s="53"/>
      <c r="H781" s="53"/>
      <c r="I781" s="53"/>
      <c r="J781" s="53"/>
      <c r="K781" s="61"/>
      <c r="L781" s="53"/>
      <c r="M781" s="53" t="str">
        <f>IFERROR(__xludf.DUMMYFUNCTION("""COMPUTED_VALUE"""),"")</f>
        <v/>
      </c>
      <c r="N781" s="53"/>
      <c r="O781" s="53"/>
      <c r="P781" s="53"/>
    </row>
    <row r="782">
      <c r="A782" s="60"/>
      <c r="B782" s="52"/>
      <c r="C782" s="53"/>
      <c r="D782" s="53"/>
      <c r="E782" s="53"/>
      <c r="F782" s="53"/>
      <c r="G782" s="53"/>
      <c r="H782" s="53"/>
      <c r="I782" s="53"/>
      <c r="J782" s="53"/>
      <c r="K782" s="61"/>
      <c r="L782" s="53"/>
      <c r="M782" s="53" t="str">
        <f>IFERROR(__xludf.DUMMYFUNCTION("""COMPUTED_VALUE"""),"")</f>
        <v/>
      </c>
      <c r="N782" s="53"/>
      <c r="O782" s="53"/>
      <c r="P782" s="53"/>
    </row>
  </sheetData>
  <conditionalFormatting sqref="C1:C782">
    <cfRule type="cellIs" dxfId="0" priority="1" operator="equal">
      <formula>"TRUE"</formula>
    </cfRule>
  </conditionalFormatting>
  <conditionalFormatting sqref="I1:I782">
    <cfRule type="cellIs" dxfId="1" priority="2" operator="greaterThanOrEqual">
      <formula>100</formula>
    </cfRule>
  </conditionalFormatting>
  <conditionalFormatting sqref="I1:I782">
    <cfRule type="cellIs" dxfId="2" priority="3" operator="greaterThanOrEqual">
      <formula>70</formula>
    </cfRule>
  </conditionalFormatting>
  <conditionalFormatting sqref="I1:I782">
    <cfRule type="cellIs" dxfId="3" priority="4" operator="lessThanOrEqual">
      <formula>25</formula>
    </cfRule>
  </conditionalFormatting>
  <conditionalFormatting sqref="I1:I782">
    <cfRule type="cellIs" dxfId="4" priority="5" operator="lessThanOrEqual">
      <formula>30</formula>
    </cfRule>
  </conditionalFormatting>
  <conditionalFormatting sqref="I1:I782">
    <cfRule type="cellIs" dxfId="5" priority="6" operator="lessThanOrEqual">
      <formula>40</formula>
    </cfRule>
  </conditionalFormatting>
  <conditionalFormatting sqref="J1:J782">
    <cfRule type="cellIs" dxfId="6" priority="7" operator="equal">
      <formula>"Breakfast"</formula>
    </cfRule>
  </conditionalFormatting>
  <conditionalFormatting sqref="J1:J782">
    <cfRule type="cellIs" dxfId="7" priority="8" operator="equal">
      <formula>"Breakfast/Lunch"</formula>
    </cfRule>
  </conditionalFormatting>
  <conditionalFormatting sqref="J1:J782">
    <cfRule type="cellIs" dxfId="8" priority="9" operator="equal">
      <formula>"Lunch"</formula>
    </cfRule>
  </conditionalFormatting>
  <conditionalFormatting sqref="J1:J782">
    <cfRule type="cellIs" dxfId="9" priority="10" operator="equal">
      <formula>"Lunch/Dinner"</formula>
    </cfRule>
  </conditionalFormatting>
  <conditionalFormatting sqref="J1:J782">
    <cfRule type="cellIs" dxfId="10" priority="11" operator="equal">
      <formula>"Dinner"</formula>
    </cfRule>
  </conditionalFormatting>
  <conditionalFormatting sqref="L1:P782">
    <cfRule type="cellIs" dxfId="11" priority="12" operator="equal">
      <formula>"Monday"</formula>
    </cfRule>
  </conditionalFormatting>
  <conditionalFormatting sqref="L1:P782">
    <cfRule type="cellIs" dxfId="12" priority="13" operator="equal">
      <formula>"Tuesday"</formula>
    </cfRule>
  </conditionalFormatting>
  <conditionalFormatting sqref="L1:P782">
    <cfRule type="cellIs" dxfId="13" priority="14" operator="equal">
      <formula>"Wednesday"</formula>
    </cfRule>
  </conditionalFormatting>
  <conditionalFormatting sqref="L1:P782">
    <cfRule type="cellIs" dxfId="14" priority="15" operator="equal">
      <formula>"Thursday"</formula>
    </cfRule>
  </conditionalFormatting>
  <conditionalFormatting sqref="L1:P782">
    <cfRule type="cellIs" dxfId="15" priority="16" operator="equal">
      <formula>"Friday"</formula>
    </cfRule>
  </conditionalFormatting>
  <conditionalFormatting sqref="K4:K782">
    <cfRule type="expression" dxfId="16" priority="17">
      <formula>AND(K4&lt;&gt;"", ISEVEN(SUMPRODUCT((K$4:K4&lt;&gt;OFFSET(K$4:K4,-1,0))*(K$4:K4&lt;&gt;""))))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7.88"/>
    <col customWidth="1" min="12" max="12" width="9.75"/>
    <col customWidth="1" min="13" max="13" width="7.0"/>
    <col customWidth="1" min="14" max="16" width="12.0"/>
    <col customWidth="1" min="17" max="19" width="24.25"/>
  </cols>
  <sheetData>
    <row r="1">
      <c r="A1" s="51" t="s">
        <v>115</v>
      </c>
      <c r="B1" s="52" t="s">
        <v>116</v>
      </c>
      <c r="C1" s="51" t="s">
        <v>117</v>
      </c>
      <c r="D1" s="51" t="s">
        <v>118</v>
      </c>
      <c r="E1" s="51" t="s">
        <v>119</v>
      </c>
      <c r="F1" s="51" t="s">
        <v>120</v>
      </c>
      <c r="G1" s="51" t="s">
        <v>121</v>
      </c>
      <c r="H1" s="51" t="s">
        <v>122</v>
      </c>
      <c r="I1" s="51" t="s">
        <v>123</v>
      </c>
      <c r="J1" s="51" t="s">
        <v>124</v>
      </c>
      <c r="K1" s="51" t="s">
        <v>125</v>
      </c>
      <c r="L1" s="51" t="s">
        <v>126</v>
      </c>
      <c r="M1" s="51" t="s">
        <v>145</v>
      </c>
      <c r="N1" s="51" t="s">
        <v>146</v>
      </c>
      <c r="O1" s="51" t="s">
        <v>147</v>
      </c>
      <c r="P1" s="51" t="s">
        <v>127</v>
      </c>
      <c r="Q1" s="63"/>
      <c r="R1" s="63"/>
      <c r="S1" s="63"/>
    </row>
    <row r="2">
      <c r="A2" s="60">
        <v>45544.86615630787</v>
      </c>
      <c r="B2" s="52" t="s">
        <v>148</v>
      </c>
      <c r="C2" s="53" t="b">
        <v>0</v>
      </c>
      <c r="D2" s="53"/>
      <c r="E2" s="53"/>
      <c r="F2" s="53"/>
      <c r="G2" s="53"/>
      <c r="H2" s="53">
        <v>87.0</v>
      </c>
      <c r="I2" s="53"/>
      <c r="J2" s="57" t="s">
        <v>12</v>
      </c>
      <c r="K2" s="61">
        <v>45544.0</v>
      </c>
      <c r="L2" s="53" t="s">
        <v>129</v>
      </c>
      <c r="M2" s="53" t="s">
        <v>18</v>
      </c>
      <c r="N2" s="59" t="str">
        <f>IFERROR(__xludf.DUMMYFUNCTION("BYROW('F24'!K2:K282, LAMBDA(r,
  IF(r="""","""",
    LET(
      nextVal, IFERROR(INDEX('F24'!K2:K282, ROW(r)-ROW('F24'!K2)+2), """"),
      IF(r &lt;&gt; nextVal,
         IFERROR(
           SUM(FILTER('F24'!H2:H282, 'F24'!K2:K282 = r, 'F24'!M2:M282 = ""MF""))"&amp;",
           """"
         ),
         """"
      )
    )
  )
))"),"")</f>
        <v/>
      </c>
      <c r="O2" s="59" t="str">
        <f>IFERROR(__xludf.DUMMYFUNCTION("BYROW('F24'!K2:K282, LAMBDA(r,
  IF(r="""","""",
    LET(
      nextVal, IFERROR(INDEX('F24'!K2:K282, ROW(r)-ROW('F24'!K2)+2), """"),
      IF(r &lt;&gt; nextVal,
         IFERROR(
           SUM(FILTER('F24'!H2:H282, 'F24'!K2:K282 = r, 'F24'!M2:M282 = ""BF""))"&amp;",
           """"
         ),
         """"
      )
    )
  )
))"),"")</f>
        <v/>
      </c>
      <c r="P2" s="59" t="str">
        <f>IFERROR(__xludf.DUMMYFUNCTION("BYROW('F24'!K2:K282, LAMBDA(r,
  IF(r="""","""",
    LET(
      nextVal, IFERROR(INDEX('F24'!K2:K282, ROW(r)-ROW('F24'!K2)+2), """"),
      IF(r &lt;&gt; nextVal,
         IFERROR(
           SUM(FILTER('F24'!H2:H282, 'F24'!K2:K282 = r)),
           """"
      "&amp;"   ),
         """"
      )
    )
  )
))
"),"")</f>
        <v/>
      </c>
      <c r="Q2" s="59"/>
      <c r="R2" s="59"/>
      <c r="S2" s="59"/>
    </row>
    <row r="3">
      <c r="A3" s="60">
        <v>45545.36308341436</v>
      </c>
      <c r="B3" s="52" t="s">
        <v>139</v>
      </c>
      <c r="C3" s="53" t="b">
        <v>0</v>
      </c>
      <c r="D3" s="53"/>
      <c r="E3" s="53"/>
      <c r="F3" s="53"/>
      <c r="G3" s="53"/>
      <c r="H3" s="62">
        <v>43.0</v>
      </c>
      <c r="I3" s="53"/>
      <c r="J3" s="53" t="s">
        <v>12</v>
      </c>
      <c r="K3" s="61">
        <v>45544.0</v>
      </c>
      <c r="L3" s="53" t="s">
        <v>129</v>
      </c>
      <c r="M3" s="53" t="s">
        <v>19</v>
      </c>
      <c r="N3" s="63">
        <f>IFERROR(__xludf.DUMMYFUNCTION("""COMPUTED_VALUE"""),87.0)</f>
        <v>87</v>
      </c>
      <c r="O3" s="63">
        <f>IFERROR(__xludf.DUMMYFUNCTION("""COMPUTED_VALUE"""),43.0)</f>
        <v>43</v>
      </c>
      <c r="P3" s="63">
        <f>IFERROR(__xludf.DUMMYFUNCTION("""COMPUTED_VALUE"""),130.0)</f>
        <v>130</v>
      </c>
      <c r="Q3" s="63"/>
      <c r="R3" s="63"/>
      <c r="S3" s="63"/>
    </row>
    <row r="4">
      <c r="A4" s="60">
        <v>45545.62025076389</v>
      </c>
      <c r="B4" s="52" t="s">
        <v>139</v>
      </c>
      <c r="C4" s="53" t="b">
        <v>0</v>
      </c>
      <c r="D4" s="53"/>
      <c r="E4" s="53"/>
      <c r="F4" s="53"/>
      <c r="G4" s="53"/>
      <c r="H4" s="62">
        <v>42.0</v>
      </c>
      <c r="I4" s="53"/>
      <c r="J4" s="53" t="s">
        <v>11</v>
      </c>
      <c r="K4" s="61">
        <v>45545.0</v>
      </c>
      <c r="L4" s="53" t="s">
        <v>132</v>
      </c>
      <c r="M4" s="53" t="s">
        <v>19</v>
      </c>
      <c r="N4" s="63" t="str">
        <f>IFERROR(__xludf.DUMMYFUNCTION("""COMPUTED_VALUE"""),"")</f>
        <v/>
      </c>
      <c r="O4" s="63" t="str">
        <f>IFERROR(__xludf.DUMMYFUNCTION("""COMPUTED_VALUE"""),"")</f>
        <v/>
      </c>
      <c r="P4" s="63" t="str">
        <f>IFERROR(__xludf.DUMMYFUNCTION("""COMPUTED_VALUE"""),"")</f>
        <v/>
      </c>
      <c r="Q4" s="63"/>
      <c r="R4" s="63"/>
      <c r="S4" s="63"/>
    </row>
    <row r="5">
      <c r="A5" s="60">
        <v>45545.87770733796</v>
      </c>
      <c r="B5" s="52" t="s">
        <v>149</v>
      </c>
      <c r="C5" s="53" t="b">
        <v>0</v>
      </c>
      <c r="D5" s="53"/>
      <c r="E5" s="53"/>
      <c r="F5" s="53"/>
      <c r="G5" s="53"/>
      <c r="H5" s="62">
        <v>61.0</v>
      </c>
      <c r="I5" s="53"/>
      <c r="J5" s="53" t="s">
        <v>12</v>
      </c>
      <c r="K5" s="61">
        <v>45545.0</v>
      </c>
      <c r="L5" s="53" t="s">
        <v>132</v>
      </c>
      <c r="M5" s="53" t="s">
        <v>19</v>
      </c>
      <c r="N5" s="63" t="str">
        <f>IFERROR(__xludf.DUMMYFUNCTION("""COMPUTED_VALUE"""),"")</f>
        <v/>
      </c>
      <c r="O5" s="63" t="str">
        <f>IFERROR(__xludf.DUMMYFUNCTION("""COMPUTED_VALUE"""),"")</f>
        <v/>
      </c>
      <c r="P5" s="63" t="str">
        <f>IFERROR(__xludf.DUMMYFUNCTION("""COMPUTED_VALUE"""),"")</f>
        <v/>
      </c>
      <c r="Q5" s="63"/>
      <c r="R5" s="63"/>
      <c r="S5" s="63"/>
    </row>
    <row r="6">
      <c r="A6" s="60">
        <v>45545.88722300926</v>
      </c>
      <c r="B6" s="52" t="s">
        <v>134</v>
      </c>
      <c r="C6" s="53" t="b">
        <v>0</v>
      </c>
      <c r="D6" s="53"/>
      <c r="E6" s="53"/>
      <c r="F6" s="53"/>
      <c r="G6" s="53"/>
      <c r="H6" s="62">
        <v>145.0</v>
      </c>
      <c r="I6" s="53"/>
      <c r="J6" s="53" t="s">
        <v>12</v>
      </c>
      <c r="K6" s="61">
        <v>45545.0</v>
      </c>
      <c r="L6" s="53" t="s">
        <v>132</v>
      </c>
      <c r="M6" s="53" t="s">
        <v>18</v>
      </c>
      <c r="N6" s="63">
        <f>IFERROR(__xludf.DUMMYFUNCTION("""COMPUTED_VALUE"""),145.0)</f>
        <v>145</v>
      </c>
      <c r="O6" s="63">
        <f>IFERROR(__xludf.DUMMYFUNCTION("""COMPUTED_VALUE"""),103.0)</f>
        <v>103</v>
      </c>
      <c r="P6" s="63">
        <f>IFERROR(__xludf.DUMMYFUNCTION("""COMPUTED_VALUE"""),248.0)</f>
        <v>248</v>
      </c>
      <c r="Q6" s="63"/>
      <c r="R6" s="63"/>
      <c r="S6" s="63"/>
    </row>
    <row r="7">
      <c r="A7" s="60">
        <v>45546.43262083334</v>
      </c>
      <c r="B7" s="52" t="s">
        <v>136</v>
      </c>
      <c r="C7" s="53" t="b">
        <v>0</v>
      </c>
      <c r="D7" s="53"/>
      <c r="E7" s="53"/>
      <c r="F7" s="53"/>
      <c r="G7" s="53"/>
      <c r="H7" s="62">
        <v>39.0</v>
      </c>
      <c r="I7" s="53"/>
      <c r="J7" s="53" t="s">
        <v>10</v>
      </c>
      <c r="K7" s="61">
        <v>45546.0</v>
      </c>
      <c r="L7" s="53" t="s">
        <v>135</v>
      </c>
      <c r="M7" s="53" t="s">
        <v>19</v>
      </c>
      <c r="N7" s="64" t="str">
        <f>IFERROR(__xludf.DUMMYFUNCTION("""COMPUTED_VALUE"""),"")</f>
        <v/>
      </c>
      <c r="O7" s="64" t="str">
        <f>IFERROR(__xludf.DUMMYFUNCTION("""COMPUTED_VALUE"""),"")</f>
        <v/>
      </c>
      <c r="P7" s="64" t="str">
        <f>IFERROR(__xludf.DUMMYFUNCTION("""COMPUTED_VALUE"""),"")</f>
        <v/>
      </c>
      <c r="Q7" s="64"/>
      <c r="R7" s="64"/>
      <c r="S7" s="64"/>
    </row>
    <row r="8">
      <c r="A8" s="60">
        <v>45546.62570864584</v>
      </c>
      <c r="B8" s="52" t="s">
        <v>149</v>
      </c>
      <c r="C8" s="53" t="b">
        <v>0</v>
      </c>
      <c r="D8" s="53"/>
      <c r="E8" s="53"/>
      <c r="F8" s="53"/>
      <c r="G8" s="53"/>
      <c r="H8" s="62">
        <v>38.0</v>
      </c>
      <c r="I8" s="53"/>
      <c r="J8" s="53" t="s">
        <v>11</v>
      </c>
      <c r="K8" s="61">
        <v>45546.0</v>
      </c>
      <c r="L8" s="53" t="s">
        <v>135</v>
      </c>
      <c r="M8" s="53" t="s">
        <v>19</v>
      </c>
      <c r="N8" s="64" t="str">
        <f>IFERROR(__xludf.DUMMYFUNCTION("""COMPUTED_VALUE"""),"")</f>
        <v/>
      </c>
      <c r="O8" s="64" t="str">
        <f>IFERROR(__xludf.DUMMYFUNCTION("""COMPUTED_VALUE"""),"")</f>
        <v/>
      </c>
      <c r="P8" s="64" t="str">
        <f>IFERROR(__xludf.DUMMYFUNCTION("""COMPUTED_VALUE"""),"")</f>
        <v/>
      </c>
      <c r="Q8" s="64"/>
      <c r="R8" s="64"/>
      <c r="S8" s="64"/>
    </row>
    <row r="9">
      <c r="A9" s="60">
        <v>45546.64865887731</v>
      </c>
      <c r="B9" s="52" t="s">
        <v>148</v>
      </c>
      <c r="C9" s="53" t="b">
        <v>0</v>
      </c>
      <c r="D9" s="53"/>
      <c r="E9" s="53"/>
      <c r="F9" s="53"/>
      <c r="G9" s="53"/>
      <c r="H9" s="62">
        <v>89.0</v>
      </c>
      <c r="I9" s="53"/>
      <c r="J9" s="53" t="s">
        <v>11</v>
      </c>
      <c r="K9" s="61">
        <v>45546.0</v>
      </c>
      <c r="L9" s="53" t="s">
        <v>135</v>
      </c>
      <c r="M9" s="53" t="s">
        <v>18</v>
      </c>
      <c r="N9" s="59" t="str">
        <f>IFERROR(__xludf.DUMMYFUNCTION("""COMPUTED_VALUE"""),"")</f>
        <v/>
      </c>
      <c r="O9" s="59" t="str">
        <f>IFERROR(__xludf.DUMMYFUNCTION("""COMPUTED_VALUE"""),"")</f>
        <v/>
      </c>
      <c r="P9" s="59" t="str">
        <f>IFERROR(__xludf.DUMMYFUNCTION("""COMPUTED_VALUE"""),"")</f>
        <v/>
      </c>
      <c r="Q9" s="59"/>
      <c r="R9" s="59"/>
      <c r="S9" s="59"/>
    </row>
    <row r="10">
      <c r="A10" s="60">
        <v>45546.78278149306</v>
      </c>
      <c r="B10" s="52" t="s">
        <v>150</v>
      </c>
      <c r="C10" s="53" t="b">
        <v>0</v>
      </c>
      <c r="D10" s="53"/>
      <c r="E10" s="53"/>
      <c r="F10" s="53"/>
      <c r="G10" s="53"/>
      <c r="H10" s="62">
        <v>27.0</v>
      </c>
      <c r="I10" s="53"/>
      <c r="J10" s="53" t="s">
        <v>12</v>
      </c>
      <c r="K10" s="61">
        <v>45546.0</v>
      </c>
      <c r="L10" s="53" t="s">
        <v>135</v>
      </c>
      <c r="M10" s="53" t="s">
        <v>19</v>
      </c>
      <c r="N10" s="64" t="str">
        <f>IFERROR(__xludf.DUMMYFUNCTION("""COMPUTED_VALUE"""),"")</f>
        <v/>
      </c>
      <c r="O10" s="64" t="str">
        <f>IFERROR(__xludf.DUMMYFUNCTION("""COMPUTED_VALUE"""),"")</f>
        <v/>
      </c>
      <c r="P10" s="64" t="str">
        <f>IFERROR(__xludf.DUMMYFUNCTION("""COMPUTED_VALUE"""),"")</f>
        <v/>
      </c>
      <c r="Q10" s="64"/>
      <c r="R10" s="64"/>
      <c r="S10" s="64"/>
    </row>
    <row r="11">
      <c r="A11" s="60">
        <v>45547.56181012731</v>
      </c>
      <c r="B11" s="52" t="s">
        <v>151</v>
      </c>
      <c r="C11" s="53" t="b">
        <v>0</v>
      </c>
      <c r="D11" s="53"/>
      <c r="E11" s="53"/>
      <c r="F11" s="53"/>
      <c r="G11" s="53"/>
      <c r="H11" s="62">
        <v>31.0</v>
      </c>
      <c r="I11" s="53"/>
      <c r="J11" s="53" t="s">
        <v>12</v>
      </c>
      <c r="K11" s="61">
        <v>45546.0</v>
      </c>
      <c r="L11" s="53" t="s">
        <v>135</v>
      </c>
      <c r="M11" s="53" t="s">
        <v>19</v>
      </c>
      <c r="N11" s="64">
        <f>IFERROR(__xludf.DUMMYFUNCTION("""COMPUTED_VALUE"""),89.0)</f>
        <v>89</v>
      </c>
      <c r="O11" s="64">
        <f>IFERROR(__xludf.DUMMYFUNCTION("""COMPUTED_VALUE"""),135.0)</f>
        <v>135</v>
      </c>
      <c r="P11" s="64">
        <f>IFERROR(__xludf.DUMMYFUNCTION("""COMPUTED_VALUE"""),224.0)</f>
        <v>224</v>
      </c>
      <c r="Q11" s="64"/>
      <c r="R11" s="64"/>
      <c r="S11" s="64"/>
    </row>
    <row r="12">
      <c r="A12" s="60">
        <v>45547.59639425926</v>
      </c>
      <c r="B12" s="52" t="s">
        <v>152</v>
      </c>
      <c r="C12" s="53" t="b">
        <v>0</v>
      </c>
      <c r="D12" s="53"/>
      <c r="E12" s="53"/>
      <c r="F12" s="53"/>
      <c r="G12" s="53"/>
      <c r="H12" s="62">
        <v>48.0</v>
      </c>
      <c r="I12" s="53"/>
      <c r="J12" s="53" t="s">
        <v>11</v>
      </c>
      <c r="K12" s="61">
        <v>45547.0</v>
      </c>
      <c r="L12" s="53" t="s">
        <v>137</v>
      </c>
      <c r="M12" s="53" t="s">
        <v>18</v>
      </c>
      <c r="N12" s="64" t="str">
        <f>IFERROR(__xludf.DUMMYFUNCTION("""COMPUTED_VALUE"""),"")</f>
        <v/>
      </c>
      <c r="O12" s="64" t="str">
        <f>IFERROR(__xludf.DUMMYFUNCTION("""COMPUTED_VALUE"""),"")</f>
        <v/>
      </c>
      <c r="P12" s="64" t="str">
        <f>IFERROR(__xludf.DUMMYFUNCTION("""COMPUTED_VALUE"""),"")</f>
        <v/>
      </c>
      <c r="Q12" s="64"/>
      <c r="R12" s="64"/>
      <c r="S12" s="64"/>
    </row>
    <row r="13">
      <c r="A13" s="60">
        <v>45547.62611564815</v>
      </c>
      <c r="B13" s="52" t="s">
        <v>149</v>
      </c>
      <c r="C13" s="53" t="b">
        <v>0</v>
      </c>
      <c r="D13" s="53"/>
      <c r="E13" s="53"/>
      <c r="F13" s="53"/>
      <c r="G13" s="53"/>
      <c r="H13" s="62">
        <v>66.0</v>
      </c>
      <c r="I13" s="53"/>
      <c r="J13" s="53" t="s">
        <v>11</v>
      </c>
      <c r="K13" s="61">
        <v>45547.0</v>
      </c>
      <c r="L13" s="53" t="s">
        <v>137</v>
      </c>
      <c r="M13" s="53" t="s">
        <v>19</v>
      </c>
      <c r="N13" s="64" t="str">
        <f>IFERROR(__xludf.DUMMYFUNCTION("""COMPUTED_VALUE"""),"")</f>
        <v/>
      </c>
      <c r="O13" s="64" t="str">
        <f>IFERROR(__xludf.DUMMYFUNCTION("""COMPUTED_VALUE"""),"")</f>
        <v/>
      </c>
      <c r="P13" s="64" t="str">
        <f>IFERROR(__xludf.DUMMYFUNCTION("""COMPUTED_VALUE"""),"")</f>
        <v/>
      </c>
      <c r="Q13" s="64"/>
      <c r="R13" s="64"/>
      <c r="S13" s="64"/>
    </row>
    <row r="14">
      <c r="A14" s="60">
        <v>45547.82239225695</v>
      </c>
      <c r="B14" s="52" t="s">
        <v>148</v>
      </c>
      <c r="C14" s="53" t="b">
        <v>0</v>
      </c>
      <c r="D14" s="53"/>
      <c r="E14" s="53"/>
      <c r="F14" s="53"/>
      <c r="G14" s="53"/>
      <c r="H14" s="62">
        <v>156.0</v>
      </c>
      <c r="I14" s="53"/>
      <c r="J14" s="53" t="s">
        <v>12</v>
      </c>
      <c r="K14" s="61">
        <v>45547.0</v>
      </c>
      <c r="L14" s="53" t="s">
        <v>137</v>
      </c>
      <c r="M14" s="53" t="s">
        <v>19</v>
      </c>
      <c r="N14" s="64" t="str">
        <f>IFERROR(__xludf.DUMMYFUNCTION("""COMPUTED_VALUE"""),"")</f>
        <v/>
      </c>
      <c r="O14" s="64" t="str">
        <f>IFERROR(__xludf.DUMMYFUNCTION("""COMPUTED_VALUE"""),"")</f>
        <v/>
      </c>
      <c r="P14" s="64" t="str">
        <f>IFERROR(__xludf.DUMMYFUNCTION("""COMPUTED_VALUE"""),"")</f>
        <v/>
      </c>
      <c r="Q14" s="64"/>
      <c r="R14" s="64"/>
      <c r="S14" s="64"/>
    </row>
    <row r="15">
      <c r="A15" s="60">
        <v>45547.87524983796</v>
      </c>
      <c r="B15" s="52" t="s">
        <v>148</v>
      </c>
      <c r="C15" s="53" t="b">
        <v>0</v>
      </c>
      <c r="D15" s="53"/>
      <c r="E15" s="53"/>
      <c r="F15" s="53"/>
      <c r="G15" s="53"/>
      <c r="H15" s="62">
        <v>52.0</v>
      </c>
      <c r="I15" s="53"/>
      <c r="J15" s="53" t="s">
        <v>12</v>
      </c>
      <c r="K15" s="61">
        <v>45547.0</v>
      </c>
      <c r="L15" s="53" t="s">
        <v>137</v>
      </c>
      <c r="M15" s="53" t="s">
        <v>19</v>
      </c>
      <c r="N15" s="64">
        <f>IFERROR(__xludf.DUMMYFUNCTION("""COMPUTED_VALUE"""),48.0)</f>
        <v>48</v>
      </c>
      <c r="O15" s="64">
        <f>IFERROR(__xludf.DUMMYFUNCTION("""COMPUTED_VALUE"""),274.0)</f>
        <v>274</v>
      </c>
      <c r="P15" s="64">
        <f>IFERROR(__xludf.DUMMYFUNCTION("""COMPUTED_VALUE"""),322.0)</f>
        <v>322</v>
      </c>
      <c r="Q15" s="64"/>
      <c r="R15" s="64"/>
      <c r="S15" s="64"/>
    </row>
    <row r="16">
      <c r="A16" s="60">
        <v>45548.39078780093</v>
      </c>
      <c r="B16" s="52" t="s">
        <v>136</v>
      </c>
      <c r="C16" s="53" t="b">
        <v>0</v>
      </c>
      <c r="D16" s="53"/>
      <c r="E16" s="53"/>
      <c r="F16" s="53"/>
      <c r="G16" s="53"/>
      <c r="H16" s="62">
        <v>31.0</v>
      </c>
      <c r="I16" s="53"/>
      <c r="J16" s="53" t="s">
        <v>10</v>
      </c>
      <c r="K16" s="61">
        <v>45548.0</v>
      </c>
      <c r="L16" s="53" t="s">
        <v>138</v>
      </c>
      <c r="M16" s="53" t="s">
        <v>19</v>
      </c>
      <c r="N16" s="64" t="str">
        <f>IFERROR(__xludf.DUMMYFUNCTION("""COMPUTED_VALUE"""),"")</f>
        <v/>
      </c>
      <c r="O16" s="64" t="str">
        <f>IFERROR(__xludf.DUMMYFUNCTION("""COMPUTED_VALUE"""),"")</f>
        <v/>
      </c>
      <c r="P16" s="64" t="str">
        <f>IFERROR(__xludf.DUMMYFUNCTION("""COMPUTED_VALUE"""),"")</f>
        <v/>
      </c>
      <c r="Q16" s="64"/>
      <c r="R16" s="64"/>
      <c r="S16" s="64"/>
    </row>
    <row r="17">
      <c r="A17" s="60">
        <v>45548.55851023148</v>
      </c>
      <c r="B17" s="52" t="s">
        <v>151</v>
      </c>
      <c r="C17" s="53" t="b">
        <v>0</v>
      </c>
      <c r="D17" s="53"/>
      <c r="E17" s="53"/>
      <c r="F17" s="53"/>
      <c r="G17" s="53"/>
      <c r="H17" s="62">
        <v>125.0</v>
      </c>
      <c r="I17" s="53"/>
      <c r="J17" s="53" t="s">
        <v>13</v>
      </c>
      <c r="K17" s="61">
        <v>45548.0</v>
      </c>
      <c r="L17" s="53" t="s">
        <v>138</v>
      </c>
      <c r="M17" s="53" t="s">
        <v>19</v>
      </c>
      <c r="N17" s="64" t="str">
        <f>IFERROR(__xludf.DUMMYFUNCTION("""COMPUTED_VALUE"""),"")</f>
        <v/>
      </c>
      <c r="O17" s="64" t="str">
        <f>IFERROR(__xludf.DUMMYFUNCTION("""COMPUTED_VALUE"""),"")</f>
        <v/>
      </c>
      <c r="P17" s="64" t="str">
        <f>IFERROR(__xludf.DUMMYFUNCTION("""COMPUTED_VALUE"""),"")</f>
        <v/>
      </c>
      <c r="Q17" s="64"/>
      <c r="R17" s="64"/>
      <c r="S17" s="64"/>
    </row>
    <row r="18">
      <c r="A18" s="60">
        <v>45548.64349383102</v>
      </c>
      <c r="B18" s="52" t="s">
        <v>130</v>
      </c>
      <c r="C18" s="53" t="b">
        <v>0</v>
      </c>
      <c r="D18" s="53"/>
      <c r="E18" s="53"/>
      <c r="F18" s="53"/>
      <c r="G18" s="53"/>
      <c r="H18" s="62">
        <v>86.0</v>
      </c>
      <c r="I18" s="53"/>
      <c r="J18" s="53" t="s">
        <v>11</v>
      </c>
      <c r="K18" s="61">
        <v>45548.0</v>
      </c>
      <c r="L18" s="53" t="s">
        <v>138</v>
      </c>
      <c r="M18" s="53" t="s">
        <v>18</v>
      </c>
      <c r="N18" s="64">
        <f>IFERROR(__xludf.DUMMYFUNCTION("""COMPUTED_VALUE"""),86.0)</f>
        <v>86</v>
      </c>
      <c r="O18" s="64">
        <f>IFERROR(__xludf.DUMMYFUNCTION("""COMPUTED_VALUE"""),156.0)</f>
        <v>156</v>
      </c>
      <c r="P18" s="64">
        <f>IFERROR(__xludf.DUMMYFUNCTION("""COMPUTED_VALUE"""),242.0)</f>
        <v>242</v>
      </c>
      <c r="Q18" s="64"/>
      <c r="R18" s="64"/>
      <c r="S18" s="64"/>
    </row>
    <row r="19">
      <c r="A19" s="60">
        <v>45551.61069817129</v>
      </c>
      <c r="B19" s="52" t="s">
        <v>149</v>
      </c>
      <c r="C19" s="53" t="b">
        <v>0</v>
      </c>
      <c r="D19" s="53"/>
      <c r="E19" s="53"/>
      <c r="F19" s="53"/>
      <c r="G19" s="53"/>
      <c r="H19" s="62">
        <v>23.0</v>
      </c>
      <c r="I19" s="53"/>
      <c r="J19" s="53" t="s">
        <v>11</v>
      </c>
      <c r="K19" s="61">
        <v>45551.0</v>
      </c>
      <c r="L19" s="53" t="s">
        <v>129</v>
      </c>
      <c r="M19" s="53" t="s">
        <v>19</v>
      </c>
      <c r="N19" s="64" t="str">
        <f>IFERROR(__xludf.DUMMYFUNCTION("""COMPUTED_VALUE"""),"")</f>
        <v/>
      </c>
      <c r="O19" s="64" t="str">
        <f>IFERROR(__xludf.DUMMYFUNCTION("""COMPUTED_VALUE"""),"")</f>
        <v/>
      </c>
      <c r="P19" s="64" t="str">
        <f>IFERROR(__xludf.DUMMYFUNCTION("""COMPUTED_VALUE"""),"")</f>
        <v/>
      </c>
      <c r="Q19" s="64"/>
      <c r="R19" s="64"/>
      <c r="S19" s="64"/>
    </row>
    <row r="20">
      <c r="A20" s="60">
        <v>45554.81459185185</v>
      </c>
      <c r="B20" s="52" t="s">
        <v>148</v>
      </c>
      <c r="C20" s="53" t="b">
        <v>0</v>
      </c>
      <c r="D20" s="53"/>
      <c r="E20" s="53"/>
      <c r="F20" s="53"/>
      <c r="G20" s="53"/>
      <c r="H20" s="62">
        <v>106.0</v>
      </c>
      <c r="I20" s="53"/>
      <c r="J20" s="53" t="s">
        <v>12</v>
      </c>
      <c r="K20" s="61">
        <v>45551.0</v>
      </c>
      <c r="L20" s="53" t="s">
        <v>129</v>
      </c>
      <c r="M20" s="53" t="s">
        <v>19</v>
      </c>
      <c r="N20" s="64" t="str">
        <f>IFERROR(__xludf.DUMMYFUNCTION("""COMPUTED_VALUE"""),"")</f>
        <v/>
      </c>
      <c r="O20" s="64" t="str">
        <f>IFERROR(__xludf.DUMMYFUNCTION("""COMPUTED_VALUE"""),"")</f>
        <v/>
      </c>
      <c r="P20" s="64" t="str">
        <f>IFERROR(__xludf.DUMMYFUNCTION("""COMPUTED_VALUE"""),"")</f>
        <v/>
      </c>
      <c r="Q20" s="64"/>
      <c r="R20" s="64"/>
      <c r="S20" s="64"/>
    </row>
    <row r="21">
      <c r="A21" s="60">
        <v>45551.64530604167</v>
      </c>
      <c r="B21" s="52" t="s">
        <v>148</v>
      </c>
      <c r="C21" s="53" t="b">
        <v>0</v>
      </c>
      <c r="D21" s="53"/>
      <c r="E21" s="53"/>
      <c r="F21" s="53"/>
      <c r="G21" s="53"/>
      <c r="H21" s="62">
        <v>110.0</v>
      </c>
      <c r="I21" s="53"/>
      <c r="J21" s="53" t="s">
        <v>11</v>
      </c>
      <c r="K21" s="61">
        <v>45551.0</v>
      </c>
      <c r="L21" s="53" t="s">
        <v>129</v>
      </c>
      <c r="M21" s="53" t="s">
        <v>18</v>
      </c>
      <c r="N21" s="64" t="str">
        <f>IFERROR(__xludf.DUMMYFUNCTION("""COMPUTED_VALUE"""),"")</f>
        <v/>
      </c>
      <c r="O21" s="64" t="str">
        <f>IFERROR(__xludf.DUMMYFUNCTION("""COMPUTED_VALUE"""),"")</f>
        <v/>
      </c>
      <c r="P21" s="64" t="str">
        <f>IFERROR(__xludf.DUMMYFUNCTION("""COMPUTED_VALUE"""),"")</f>
        <v/>
      </c>
      <c r="Q21" s="64"/>
      <c r="R21" s="64"/>
      <c r="S21" s="64"/>
    </row>
    <row r="22">
      <c r="A22" s="60">
        <v>45551.7566603588</v>
      </c>
      <c r="B22" s="52" t="s">
        <v>130</v>
      </c>
      <c r="C22" s="53" t="b">
        <v>0</v>
      </c>
      <c r="D22" s="53"/>
      <c r="E22" s="53"/>
      <c r="F22" s="53"/>
      <c r="G22" s="53"/>
      <c r="H22" s="62">
        <v>6.0</v>
      </c>
      <c r="I22" s="53"/>
      <c r="J22" s="53" t="s">
        <v>11</v>
      </c>
      <c r="K22" s="61">
        <v>45551.0</v>
      </c>
      <c r="L22" s="53" t="s">
        <v>129</v>
      </c>
      <c r="M22" s="53" t="s">
        <v>18</v>
      </c>
      <c r="N22" s="64" t="str">
        <f>IFERROR(__xludf.DUMMYFUNCTION("""COMPUTED_VALUE"""),"")</f>
        <v/>
      </c>
      <c r="O22" s="64" t="str">
        <f>IFERROR(__xludf.DUMMYFUNCTION("""COMPUTED_VALUE"""),"")</f>
        <v/>
      </c>
      <c r="P22" s="64" t="str">
        <f>IFERROR(__xludf.DUMMYFUNCTION("""COMPUTED_VALUE"""),"")</f>
        <v/>
      </c>
      <c r="Q22" s="64"/>
      <c r="R22" s="64"/>
      <c r="S22" s="64"/>
    </row>
    <row r="23">
      <c r="A23" s="60">
        <v>45552.01394332176</v>
      </c>
      <c r="B23" s="52" t="s">
        <v>151</v>
      </c>
      <c r="C23" s="53" t="b">
        <v>0</v>
      </c>
      <c r="D23" s="53"/>
      <c r="E23" s="53"/>
      <c r="F23" s="53"/>
      <c r="G23" s="53"/>
      <c r="H23" s="62">
        <v>41.0</v>
      </c>
      <c r="I23" s="53"/>
      <c r="J23" s="53" t="s">
        <v>12</v>
      </c>
      <c r="K23" s="61">
        <v>45551.0</v>
      </c>
      <c r="L23" s="53" t="s">
        <v>129</v>
      </c>
      <c r="M23" s="53" t="s">
        <v>19</v>
      </c>
      <c r="N23" s="64" t="str">
        <f>IFERROR(__xludf.DUMMYFUNCTION("""COMPUTED_VALUE"""),"")</f>
        <v/>
      </c>
      <c r="O23" s="64" t="str">
        <f>IFERROR(__xludf.DUMMYFUNCTION("""COMPUTED_VALUE"""),"")</f>
        <v/>
      </c>
      <c r="P23" s="64" t="str">
        <f>IFERROR(__xludf.DUMMYFUNCTION("""COMPUTED_VALUE"""),"")</f>
        <v/>
      </c>
      <c r="Q23" s="64"/>
      <c r="R23" s="64"/>
      <c r="S23" s="64"/>
    </row>
    <row r="24">
      <c r="A24" s="60">
        <v>45552.34760138889</v>
      </c>
      <c r="B24" s="52" t="s">
        <v>131</v>
      </c>
      <c r="C24" s="53" t="b">
        <v>0</v>
      </c>
      <c r="D24" s="53"/>
      <c r="E24" s="53"/>
      <c r="F24" s="53"/>
      <c r="G24" s="53"/>
      <c r="H24" s="62">
        <v>31.0</v>
      </c>
      <c r="I24" s="53"/>
      <c r="J24" s="53" t="s">
        <v>12</v>
      </c>
      <c r="K24" s="61">
        <v>45551.0</v>
      </c>
      <c r="L24" s="53" t="s">
        <v>129</v>
      </c>
      <c r="M24" s="53" t="s">
        <v>19</v>
      </c>
      <c r="N24" s="64" t="str">
        <f>IFERROR(__xludf.DUMMYFUNCTION("""COMPUTED_VALUE"""),"")</f>
        <v/>
      </c>
      <c r="O24" s="64" t="str">
        <f>IFERROR(__xludf.DUMMYFUNCTION("""COMPUTED_VALUE"""),"")</f>
        <v/>
      </c>
      <c r="P24" s="64" t="str">
        <f>IFERROR(__xludf.DUMMYFUNCTION("""COMPUTED_VALUE"""),"")</f>
        <v/>
      </c>
      <c r="Q24" s="64"/>
      <c r="R24" s="64"/>
      <c r="S24" s="64"/>
    </row>
    <row r="25">
      <c r="A25" s="60">
        <v>45554.32230869213</v>
      </c>
      <c r="B25" s="52" t="s">
        <v>153</v>
      </c>
      <c r="C25" s="53" t="b">
        <v>0</v>
      </c>
      <c r="D25" s="53"/>
      <c r="E25" s="53"/>
      <c r="F25" s="53"/>
      <c r="G25" s="53"/>
      <c r="H25" s="62">
        <v>60.0</v>
      </c>
      <c r="I25" s="53"/>
      <c r="J25" s="53" t="s">
        <v>10</v>
      </c>
      <c r="K25" s="61">
        <v>45551.0</v>
      </c>
      <c r="L25" s="53" t="s">
        <v>129</v>
      </c>
      <c r="M25" s="53" t="s">
        <v>19</v>
      </c>
      <c r="N25" s="64">
        <f>IFERROR(__xludf.DUMMYFUNCTION("""COMPUTED_VALUE"""),116.0)</f>
        <v>116</v>
      </c>
      <c r="O25" s="64">
        <f>IFERROR(__xludf.DUMMYFUNCTION("""COMPUTED_VALUE"""),261.0)</f>
        <v>261</v>
      </c>
      <c r="P25" s="64">
        <f>IFERROR(__xludf.DUMMYFUNCTION("""COMPUTED_VALUE"""),377.0)</f>
        <v>377</v>
      </c>
      <c r="Q25" s="64"/>
      <c r="R25" s="64"/>
      <c r="S25" s="64"/>
    </row>
    <row r="26">
      <c r="A26" s="60">
        <v>45552.54491509259</v>
      </c>
      <c r="B26" s="52" t="s">
        <v>150</v>
      </c>
      <c r="C26" s="53" t="b">
        <v>0</v>
      </c>
      <c r="D26" s="53"/>
      <c r="E26" s="53"/>
      <c r="F26" s="53"/>
      <c r="G26" s="53"/>
      <c r="H26" s="62">
        <v>72.0</v>
      </c>
      <c r="I26" s="53"/>
      <c r="J26" s="53" t="s">
        <v>11</v>
      </c>
      <c r="K26" s="61">
        <v>45552.0</v>
      </c>
      <c r="L26" s="53" t="s">
        <v>132</v>
      </c>
      <c r="M26" s="53" t="s">
        <v>18</v>
      </c>
      <c r="N26" s="64" t="str">
        <f>IFERROR(__xludf.DUMMYFUNCTION("""COMPUTED_VALUE"""),"")</f>
        <v/>
      </c>
      <c r="O26" s="64" t="str">
        <f>IFERROR(__xludf.DUMMYFUNCTION("""COMPUTED_VALUE"""),"")</f>
        <v/>
      </c>
      <c r="P26" s="64" t="str">
        <f>IFERROR(__xludf.DUMMYFUNCTION("""COMPUTED_VALUE"""),"")</f>
        <v/>
      </c>
      <c r="Q26" s="64"/>
      <c r="R26" s="64"/>
      <c r="S26" s="64"/>
    </row>
    <row r="27">
      <c r="A27" s="60">
        <v>45552.6205062963</v>
      </c>
      <c r="B27" s="52" t="s">
        <v>152</v>
      </c>
      <c r="C27" s="53" t="b">
        <v>0</v>
      </c>
      <c r="D27" s="53"/>
      <c r="E27" s="53"/>
      <c r="F27" s="53"/>
      <c r="G27" s="53"/>
      <c r="H27" s="62">
        <v>43.0</v>
      </c>
      <c r="I27" s="53"/>
      <c r="J27" s="53" t="s">
        <v>11</v>
      </c>
      <c r="K27" s="61">
        <v>45552.0</v>
      </c>
      <c r="L27" s="53" t="s">
        <v>132</v>
      </c>
      <c r="M27" s="53" t="s">
        <v>18</v>
      </c>
      <c r="N27" s="64" t="str">
        <f>IFERROR(__xludf.DUMMYFUNCTION("""COMPUTED_VALUE"""),"")</f>
        <v/>
      </c>
      <c r="O27" s="64" t="str">
        <f>IFERROR(__xludf.DUMMYFUNCTION("""COMPUTED_VALUE"""),"")</f>
        <v/>
      </c>
      <c r="P27" s="64" t="str">
        <f>IFERROR(__xludf.DUMMYFUNCTION("""COMPUTED_VALUE"""),"")</f>
        <v/>
      </c>
      <c r="Q27" s="64"/>
      <c r="R27" s="64"/>
      <c r="S27" s="64"/>
    </row>
    <row r="28">
      <c r="A28" s="60">
        <v>45552.62500240741</v>
      </c>
      <c r="B28" s="52" t="s">
        <v>131</v>
      </c>
      <c r="C28" s="53" t="b">
        <v>0</v>
      </c>
      <c r="D28" s="53"/>
      <c r="E28" s="53"/>
      <c r="F28" s="53"/>
      <c r="G28" s="53"/>
      <c r="H28" s="62">
        <v>66.0</v>
      </c>
      <c r="I28" s="53"/>
      <c r="J28" s="53" t="s">
        <v>11</v>
      </c>
      <c r="K28" s="61">
        <v>45552.0</v>
      </c>
      <c r="L28" s="53" t="s">
        <v>132</v>
      </c>
      <c r="M28" s="53" t="s">
        <v>19</v>
      </c>
      <c r="N28" s="64" t="str">
        <f>IFERROR(__xludf.DUMMYFUNCTION("""COMPUTED_VALUE"""),"")</f>
        <v/>
      </c>
      <c r="O28" s="64" t="str">
        <f>IFERROR(__xludf.DUMMYFUNCTION("""COMPUTED_VALUE"""),"")</f>
        <v/>
      </c>
      <c r="P28" s="64" t="str">
        <f>IFERROR(__xludf.DUMMYFUNCTION("""COMPUTED_VALUE"""),"")</f>
        <v/>
      </c>
      <c r="Q28" s="64"/>
      <c r="R28" s="64"/>
      <c r="S28" s="64"/>
    </row>
    <row r="29">
      <c r="A29" s="60">
        <v>45552.87054040509</v>
      </c>
      <c r="B29" s="52" t="s">
        <v>134</v>
      </c>
      <c r="C29" s="53" t="b">
        <v>0</v>
      </c>
      <c r="D29" s="53"/>
      <c r="E29" s="53"/>
      <c r="F29" s="53"/>
      <c r="G29" s="53"/>
      <c r="H29" s="62">
        <v>228.0</v>
      </c>
      <c r="I29" s="53"/>
      <c r="J29" s="53" t="s">
        <v>12</v>
      </c>
      <c r="K29" s="61">
        <v>45552.0</v>
      </c>
      <c r="L29" s="53" t="s">
        <v>132</v>
      </c>
      <c r="M29" s="53" t="s">
        <v>18</v>
      </c>
      <c r="N29" s="64" t="str">
        <f>IFERROR(__xludf.DUMMYFUNCTION("""COMPUTED_VALUE"""),"")</f>
        <v/>
      </c>
      <c r="O29" s="64" t="str">
        <f>IFERROR(__xludf.DUMMYFUNCTION("""COMPUTED_VALUE"""),"")</f>
        <v/>
      </c>
      <c r="P29" s="64" t="str">
        <f>IFERROR(__xludf.DUMMYFUNCTION("""COMPUTED_VALUE"""),"")</f>
        <v/>
      </c>
      <c r="Q29" s="64"/>
      <c r="R29" s="64"/>
      <c r="S29" s="64"/>
    </row>
    <row r="30">
      <c r="A30" s="60">
        <v>45552.8729933912</v>
      </c>
      <c r="B30" s="52" t="s">
        <v>149</v>
      </c>
      <c r="C30" s="53" t="b">
        <v>0</v>
      </c>
      <c r="D30" s="53"/>
      <c r="E30" s="53"/>
      <c r="F30" s="53"/>
      <c r="G30" s="53"/>
      <c r="H30" s="62">
        <v>58.0</v>
      </c>
      <c r="I30" s="53"/>
      <c r="J30" s="53" t="s">
        <v>12</v>
      </c>
      <c r="K30" s="61">
        <v>45552.0</v>
      </c>
      <c r="L30" s="53" t="s">
        <v>132</v>
      </c>
      <c r="M30" s="53" t="s">
        <v>19</v>
      </c>
      <c r="N30" s="64">
        <f>IFERROR(__xludf.DUMMYFUNCTION("""COMPUTED_VALUE"""),343.0)</f>
        <v>343</v>
      </c>
      <c r="O30" s="64">
        <f>IFERROR(__xludf.DUMMYFUNCTION("""COMPUTED_VALUE"""),124.0)</f>
        <v>124</v>
      </c>
      <c r="P30" s="64">
        <f>IFERROR(__xludf.DUMMYFUNCTION("""COMPUTED_VALUE"""),467.0)</f>
        <v>467</v>
      </c>
      <c r="Q30" s="64"/>
      <c r="R30" s="64"/>
      <c r="S30" s="64"/>
    </row>
    <row r="31">
      <c r="A31" s="60">
        <v>45553.42340201389</v>
      </c>
      <c r="B31" s="52" t="s">
        <v>154</v>
      </c>
      <c r="C31" s="53" t="b">
        <v>0</v>
      </c>
      <c r="D31" s="53"/>
      <c r="E31" s="53"/>
      <c r="F31" s="53"/>
      <c r="G31" s="53"/>
      <c r="H31" s="62">
        <v>56.0</v>
      </c>
      <c r="I31" s="53"/>
      <c r="J31" s="53" t="s">
        <v>10</v>
      </c>
      <c r="K31" s="61">
        <v>45553.0</v>
      </c>
      <c r="L31" s="53" t="s">
        <v>135</v>
      </c>
      <c r="M31" s="53" t="s">
        <v>19</v>
      </c>
      <c r="N31" s="64" t="str">
        <f>IFERROR(__xludf.DUMMYFUNCTION("""COMPUTED_VALUE"""),"")</f>
        <v/>
      </c>
      <c r="O31" s="64" t="str">
        <f>IFERROR(__xludf.DUMMYFUNCTION("""COMPUTED_VALUE"""),"")</f>
        <v/>
      </c>
      <c r="P31" s="64" t="str">
        <f>IFERROR(__xludf.DUMMYFUNCTION("""COMPUTED_VALUE"""),"")</f>
        <v/>
      </c>
      <c r="Q31" s="64"/>
      <c r="R31" s="64"/>
      <c r="S31" s="64"/>
    </row>
    <row r="32">
      <c r="A32" s="60">
        <v>45553.50043195602</v>
      </c>
      <c r="B32" s="52" t="s">
        <v>130</v>
      </c>
      <c r="C32" s="53" t="b">
        <v>0</v>
      </c>
      <c r="D32" s="53"/>
      <c r="E32" s="53"/>
      <c r="F32" s="53"/>
      <c r="G32" s="53"/>
      <c r="H32" s="62">
        <v>4.0</v>
      </c>
      <c r="I32" s="53"/>
      <c r="J32" s="53" t="s">
        <v>11</v>
      </c>
      <c r="K32" s="61">
        <v>45553.0</v>
      </c>
      <c r="L32" s="53" t="s">
        <v>135</v>
      </c>
      <c r="M32" s="53" t="s">
        <v>18</v>
      </c>
      <c r="N32" s="64" t="str">
        <f>IFERROR(__xludf.DUMMYFUNCTION("""COMPUTED_VALUE"""),"")</f>
        <v/>
      </c>
      <c r="O32" s="64" t="str">
        <f>IFERROR(__xludf.DUMMYFUNCTION("""COMPUTED_VALUE"""),"")</f>
        <v/>
      </c>
      <c r="P32" s="64" t="str">
        <f>IFERROR(__xludf.DUMMYFUNCTION("""COMPUTED_VALUE"""),"")</f>
        <v/>
      </c>
      <c r="Q32" s="64"/>
      <c r="R32" s="64"/>
      <c r="S32" s="64"/>
    </row>
    <row r="33">
      <c r="A33" s="60">
        <v>45553.64605501157</v>
      </c>
      <c r="B33" s="52" t="s">
        <v>148</v>
      </c>
      <c r="C33" s="53" t="b">
        <v>0</v>
      </c>
      <c r="D33" s="53"/>
      <c r="E33" s="53"/>
      <c r="F33" s="53"/>
      <c r="G33" s="53"/>
      <c r="H33" s="62">
        <v>102.0</v>
      </c>
      <c r="I33" s="53"/>
      <c r="J33" s="53" t="s">
        <v>11</v>
      </c>
      <c r="K33" s="61">
        <v>45553.0</v>
      </c>
      <c r="L33" s="53" t="s">
        <v>135</v>
      </c>
      <c r="M33" s="53" t="s">
        <v>18</v>
      </c>
      <c r="N33" s="64" t="str">
        <f>IFERROR(__xludf.DUMMYFUNCTION("""COMPUTED_VALUE"""),"")</f>
        <v/>
      </c>
      <c r="O33" s="64" t="str">
        <f>IFERROR(__xludf.DUMMYFUNCTION("""COMPUTED_VALUE"""),"")</f>
        <v/>
      </c>
      <c r="P33" s="64" t="str">
        <f>IFERROR(__xludf.DUMMYFUNCTION("""COMPUTED_VALUE"""),"")</f>
        <v/>
      </c>
      <c r="Q33" s="64"/>
      <c r="R33" s="64"/>
      <c r="S33" s="64"/>
    </row>
    <row r="34">
      <c r="A34" s="60">
        <v>45554.75354304398</v>
      </c>
      <c r="B34" s="52" t="s">
        <v>151</v>
      </c>
      <c r="C34" s="53" t="b">
        <v>0</v>
      </c>
      <c r="D34" s="53"/>
      <c r="E34" s="53"/>
      <c r="F34" s="53"/>
      <c r="G34" s="53"/>
      <c r="H34" s="62">
        <v>60.0</v>
      </c>
      <c r="I34" s="53"/>
      <c r="J34" s="53" t="s">
        <v>12</v>
      </c>
      <c r="K34" s="61">
        <v>45553.0</v>
      </c>
      <c r="L34" s="53" t="s">
        <v>135</v>
      </c>
      <c r="M34" s="53" t="s">
        <v>19</v>
      </c>
      <c r="N34" s="64">
        <f>IFERROR(__xludf.DUMMYFUNCTION("""COMPUTED_VALUE"""),106.0)</f>
        <v>106</v>
      </c>
      <c r="O34" s="64">
        <f>IFERROR(__xludf.DUMMYFUNCTION("""COMPUTED_VALUE"""),116.0)</f>
        <v>116</v>
      </c>
      <c r="P34" s="64">
        <f>IFERROR(__xludf.DUMMYFUNCTION("""COMPUTED_VALUE"""),222.0)</f>
        <v>222</v>
      </c>
      <c r="Q34" s="64"/>
      <c r="R34" s="64"/>
      <c r="S34" s="64"/>
    </row>
    <row r="35">
      <c r="A35" s="60">
        <v>45554.4743065625</v>
      </c>
      <c r="B35" s="52" t="s">
        <v>153</v>
      </c>
      <c r="C35" s="53" t="b">
        <v>0</v>
      </c>
      <c r="D35" s="53"/>
      <c r="E35" s="53"/>
      <c r="F35" s="53"/>
      <c r="G35" s="53"/>
      <c r="H35" s="62">
        <v>52.0</v>
      </c>
      <c r="I35" s="53"/>
      <c r="J35" s="53" t="s">
        <v>10</v>
      </c>
      <c r="K35" s="61">
        <v>45554.0</v>
      </c>
      <c r="L35" s="53" t="s">
        <v>137</v>
      </c>
      <c r="M35" s="53" t="s">
        <v>19</v>
      </c>
      <c r="N35" s="64" t="str">
        <f>IFERROR(__xludf.DUMMYFUNCTION("""COMPUTED_VALUE"""),"")</f>
        <v/>
      </c>
      <c r="O35" s="64" t="str">
        <f>IFERROR(__xludf.DUMMYFUNCTION("""COMPUTED_VALUE"""),"")</f>
        <v/>
      </c>
      <c r="P35" s="64" t="str">
        <f>IFERROR(__xludf.DUMMYFUNCTION("""COMPUTED_VALUE"""),"")</f>
        <v/>
      </c>
      <c r="Q35" s="64"/>
      <c r="R35" s="64"/>
      <c r="S35" s="64"/>
    </row>
    <row r="36">
      <c r="A36" s="60">
        <v>45554.5587539699</v>
      </c>
      <c r="B36" s="52" t="s">
        <v>150</v>
      </c>
      <c r="C36" s="53" t="b">
        <v>0</v>
      </c>
      <c r="D36" s="53"/>
      <c r="E36" s="53"/>
      <c r="F36" s="53"/>
      <c r="G36" s="53"/>
      <c r="H36" s="62">
        <v>43.0</v>
      </c>
      <c r="I36" s="53"/>
      <c r="J36" s="53" t="s">
        <v>11</v>
      </c>
      <c r="K36" s="61">
        <v>45554.0</v>
      </c>
      <c r="L36" s="53" t="s">
        <v>137</v>
      </c>
      <c r="M36" s="53" t="s">
        <v>18</v>
      </c>
      <c r="N36" s="64" t="str">
        <f>IFERROR(__xludf.DUMMYFUNCTION("""COMPUTED_VALUE"""),"")</f>
        <v/>
      </c>
      <c r="O36" s="64" t="str">
        <f>IFERROR(__xludf.DUMMYFUNCTION("""COMPUTED_VALUE"""),"")</f>
        <v/>
      </c>
      <c r="P36" s="64" t="str">
        <f>IFERROR(__xludf.DUMMYFUNCTION("""COMPUTED_VALUE"""),"")</f>
        <v/>
      </c>
      <c r="Q36" s="64"/>
      <c r="R36" s="64"/>
      <c r="S36" s="64"/>
    </row>
    <row r="37">
      <c r="A37" s="60">
        <v>45554.62659813657</v>
      </c>
      <c r="B37" s="52" t="s">
        <v>149</v>
      </c>
      <c r="C37" s="53" t="b">
        <v>0</v>
      </c>
      <c r="D37" s="53"/>
      <c r="E37" s="53"/>
      <c r="F37" s="53"/>
      <c r="G37" s="53"/>
      <c r="H37" s="62">
        <v>66.0</v>
      </c>
      <c r="I37" s="53"/>
      <c r="J37" s="53" t="s">
        <v>11</v>
      </c>
      <c r="K37" s="61">
        <v>45554.0</v>
      </c>
      <c r="L37" s="53" t="s">
        <v>137</v>
      </c>
      <c r="M37" s="53" t="s">
        <v>19</v>
      </c>
      <c r="N37" s="64" t="str">
        <f>IFERROR(__xludf.DUMMYFUNCTION("""COMPUTED_VALUE"""),"")</f>
        <v/>
      </c>
      <c r="O37" s="64" t="str">
        <f>IFERROR(__xludf.DUMMYFUNCTION("""COMPUTED_VALUE"""),"")</f>
        <v/>
      </c>
      <c r="P37" s="64" t="str">
        <f>IFERROR(__xludf.DUMMYFUNCTION("""COMPUTED_VALUE"""),"")</f>
        <v/>
      </c>
      <c r="Q37" s="64"/>
      <c r="R37" s="64"/>
      <c r="S37" s="64"/>
    </row>
    <row r="38">
      <c r="A38" s="60">
        <v>45554.87533193287</v>
      </c>
      <c r="B38" s="52" t="s">
        <v>148</v>
      </c>
      <c r="C38" s="53" t="b">
        <v>0</v>
      </c>
      <c r="D38" s="53"/>
      <c r="E38" s="53"/>
      <c r="F38" s="53"/>
      <c r="G38" s="53"/>
      <c r="H38" s="62">
        <v>37.0</v>
      </c>
      <c r="I38" s="53"/>
      <c r="J38" s="53" t="s">
        <v>12</v>
      </c>
      <c r="K38" s="61">
        <v>45554.0</v>
      </c>
      <c r="L38" s="53" t="s">
        <v>137</v>
      </c>
      <c r="M38" s="53" t="s">
        <v>18</v>
      </c>
      <c r="N38" s="64" t="str">
        <f>IFERROR(__xludf.DUMMYFUNCTION("""COMPUTED_VALUE"""),"")</f>
        <v/>
      </c>
      <c r="O38" s="64" t="str">
        <f>IFERROR(__xludf.DUMMYFUNCTION("""COMPUTED_VALUE"""),"")</f>
        <v/>
      </c>
      <c r="P38" s="64" t="str">
        <f>IFERROR(__xludf.DUMMYFUNCTION("""COMPUTED_VALUE"""),"")</f>
        <v/>
      </c>
      <c r="Q38" s="64"/>
      <c r="R38" s="64"/>
      <c r="S38" s="64"/>
    </row>
    <row r="39">
      <c r="A39" s="60">
        <v>45554.95315145834</v>
      </c>
      <c r="B39" s="52" t="s">
        <v>152</v>
      </c>
      <c r="C39" s="53" t="b">
        <v>0</v>
      </c>
      <c r="D39" s="53"/>
      <c r="E39" s="53"/>
      <c r="F39" s="53"/>
      <c r="G39" s="53"/>
      <c r="H39" s="62">
        <v>54.0</v>
      </c>
      <c r="I39" s="53"/>
      <c r="J39" s="53" t="s">
        <v>11</v>
      </c>
      <c r="K39" s="61">
        <v>45554.0</v>
      </c>
      <c r="L39" s="53" t="s">
        <v>137</v>
      </c>
      <c r="M39" s="53" t="s">
        <v>18</v>
      </c>
      <c r="N39" s="64">
        <f>IFERROR(__xludf.DUMMYFUNCTION("""COMPUTED_VALUE"""),134.0)</f>
        <v>134</v>
      </c>
      <c r="O39" s="64">
        <f>IFERROR(__xludf.DUMMYFUNCTION("""COMPUTED_VALUE"""),118.0)</f>
        <v>118</v>
      </c>
      <c r="P39" s="64">
        <f>IFERROR(__xludf.DUMMYFUNCTION("""COMPUTED_VALUE"""),252.0)</f>
        <v>252</v>
      </c>
      <c r="Q39" s="64"/>
      <c r="R39" s="64"/>
      <c r="S39" s="64"/>
    </row>
    <row r="40">
      <c r="A40" s="60">
        <v>45555.39507326389</v>
      </c>
      <c r="B40" s="52" t="s">
        <v>136</v>
      </c>
      <c r="C40" s="53" t="b">
        <v>0</v>
      </c>
      <c r="D40" s="53"/>
      <c r="E40" s="53"/>
      <c r="F40" s="53"/>
      <c r="G40" s="53"/>
      <c r="H40" s="62">
        <v>46.0</v>
      </c>
      <c r="I40" s="53"/>
      <c r="J40" s="53" t="s">
        <v>10</v>
      </c>
      <c r="K40" s="61">
        <v>45555.0</v>
      </c>
      <c r="L40" s="53" t="s">
        <v>138</v>
      </c>
      <c r="M40" s="53" t="s">
        <v>19</v>
      </c>
      <c r="N40" s="64" t="str">
        <f>IFERROR(__xludf.DUMMYFUNCTION("""COMPUTED_VALUE"""),"")</f>
        <v/>
      </c>
      <c r="O40" s="64" t="str">
        <f>IFERROR(__xludf.DUMMYFUNCTION("""COMPUTED_VALUE"""),"")</f>
        <v/>
      </c>
      <c r="P40" s="64" t="str">
        <f>IFERROR(__xludf.DUMMYFUNCTION("""COMPUTED_VALUE"""),"")</f>
        <v/>
      </c>
      <c r="Q40" s="64"/>
      <c r="R40" s="64"/>
      <c r="S40" s="64"/>
    </row>
    <row r="41">
      <c r="A41" s="60">
        <v>45555.64845209491</v>
      </c>
      <c r="B41" s="52" t="s">
        <v>130</v>
      </c>
      <c r="C41" s="53" t="b">
        <v>0</v>
      </c>
      <c r="D41" s="53"/>
      <c r="E41" s="53"/>
      <c r="F41" s="53"/>
      <c r="G41" s="53"/>
      <c r="H41" s="62">
        <v>129.0</v>
      </c>
      <c r="I41" s="53"/>
      <c r="J41" s="53" t="s">
        <v>11</v>
      </c>
      <c r="K41" s="61">
        <v>45555.0</v>
      </c>
      <c r="L41" s="53" t="s">
        <v>138</v>
      </c>
      <c r="M41" s="53" t="s">
        <v>18</v>
      </c>
      <c r="N41" s="64" t="str">
        <f>IFERROR(__xludf.DUMMYFUNCTION("""COMPUTED_VALUE"""),"")</f>
        <v/>
      </c>
      <c r="O41" s="64" t="str">
        <f>IFERROR(__xludf.DUMMYFUNCTION("""COMPUTED_VALUE"""),"")</f>
        <v/>
      </c>
      <c r="P41" s="64" t="str">
        <f>IFERROR(__xludf.DUMMYFUNCTION("""COMPUTED_VALUE"""),"")</f>
        <v/>
      </c>
      <c r="Q41" s="64"/>
      <c r="R41" s="64"/>
      <c r="S41" s="64"/>
    </row>
    <row r="42">
      <c r="A42" s="60">
        <v>45555.72886400463</v>
      </c>
      <c r="B42" s="52" t="s">
        <v>148</v>
      </c>
      <c r="C42" s="53" t="b">
        <v>0</v>
      </c>
      <c r="D42" s="53"/>
      <c r="E42" s="53"/>
      <c r="F42" s="53"/>
      <c r="G42" s="53"/>
      <c r="H42" s="62">
        <v>25.0</v>
      </c>
      <c r="I42" s="53"/>
      <c r="J42" s="53" t="s">
        <v>12</v>
      </c>
      <c r="K42" s="61">
        <v>45555.0</v>
      </c>
      <c r="L42" s="53" t="s">
        <v>138</v>
      </c>
      <c r="M42" s="53" t="s">
        <v>18</v>
      </c>
      <c r="N42" s="64" t="str">
        <f>IFERROR(__xludf.DUMMYFUNCTION("""COMPUTED_VALUE"""),"")</f>
        <v/>
      </c>
      <c r="O42" s="64" t="str">
        <f>IFERROR(__xludf.DUMMYFUNCTION("""COMPUTED_VALUE"""),"")</f>
        <v/>
      </c>
      <c r="P42" s="64" t="str">
        <f>IFERROR(__xludf.DUMMYFUNCTION("""COMPUTED_VALUE"""),"")</f>
        <v/>
      </c>
      <c r="Q42" s="64"/>
      <c r="R42" s="64"/>
      <c r="S42" s="64"/>
    </row>
    <row r="43">
      <c r="A43" s="60">
        <v>45555.83370684028</v>
      </c>
      <c r="B43" s="52" t="s">
        <v>148</v>
      </c>
      <c r="C43" s="53" t="b">
        <v>0</v>
      </c>
      <c r="D43" s="53"/>
      <c r="E43" s="53"/>
      <c r="F43" s="53"/>
      <c r="G43" s="53"/>
      <c r="H43" s="62">
        <v>116.0</v>
      </c>
      <c r="I43" s="53"/>
      <c r="J43" s="53" t="s">
        <v>12</v>
      </c>
      <c r="K43" s="61">
        <v>45555.0</v>
      </c>
      <c r="L43" s="53" t="s">
        <v>138</v>
      </c>
      <c r="M43" s="53" t="s">
        <v>18</v>
      </c>
      <c r="N43" s="64">
        <f>IFERROR(__xludf.DUMMYFUNCTION("""COMPUTED_VALUE"""),270.0)</f>
        <v>270</v>
      </c>
      <c r="O43" s="64">
        <f>IFERROR(__xludf.DUMMYFUNCTION("""COMPUTED_VALUE"""),46.0)</f>
        <v>46</v>
      </c>
      <c r="P43" s="64">
        <f>IFERROR(__xludf.DUMMYFUNCTION("""COMPUTED_VALUE"""),316.0)</f>
        <v>316</v>
      </c>
      <c r="Q43" s="64"/>
      <c r="R43" s="64"/>
      <c r="S43" s="64"/>
    </row>
    <row r="44">
      <c r="A44" s="60">
        <v>45558.42487266204</v>
      </c>
      <c r="B44" s="52" t="s">
        <v>136</v>
      </c>
      <c r="C44" s="53" t="b">
        <v>0</v>
      </c>
      <c r="D44" s="53"/>
      <c r="E44" s="53"/>
      <c r="F44" s="53"/>
      <c r="G44" s="53"/>
      <c r="H44" s="62">
        <v>44.0</v>
      </c>
      <c r="I44" s="53"/>
      <c r="J44" s="53" t="s">
        <v>10</v>
      </c>
      <c r="K44" s="61">
        <v>45558.0</v>
      </c>
      <c r="L44" s="53" t="s">
        <v>129</v>
      </c>
      <c r="M44" s="53" t="s">
        <v>19</v>
      </c>
      <c r="N44" s="64" t="str">
        <f>IFERROR(__xludf.DUMMYFUNCTION("""COMPUTED_VALUE"""),"")</f>
        <v/>
      </c>
      <c r="O44" s="64" t="str">
        <f>IFERROR(__xludf.DUMMYFUNCTION("""COMPUTED_VALUE"""),"")</f>
        <v/>
      </c>
      <c r="P44" s="64" t="str">
        <f>IFERROR(__xludf.DUMMYFUNCTION("""COMPUTED_VALUE"""),"")</f>
        <v/>
      </c>
      <c r="Q44" s="64"/>
      <c r="R44" s="64"/>
      <c r="S44" s="64"/>
    </row>
    <row r="45">
      <c r="A45" s="60">
        <v>45558.50047752315</v>
      </c>
      <c r="B45" s="52" t="s">
        <v>130</v>
      </c>
      <c r="C45" s="53" t="b">
        <v>0</v>
      </c>
      <c r="D45" s="53"/>
      <c r="E45" s="53"/>
      <c r="F45" s="53"/>
      <c r="G45" s="53"/>
      <c r="H45" s="62">
        <v>5.0</v>
      </c>
      <c r="I45" s="53"/>
      <c r="J45" s="53" t="s">
        <v>11</v>
      </c>
      <c r="K45" s="61">
        <v>45558.0</v>
      </c>
      <c r="L45" s="53" t="s">
        <v>129</v>
      </c>
      <c r="M45" s="53" t="s">
        <v>18</v>
      </c>
      <c r="N45" s="64" t="str">
        <f>IFERROR(__xludf.DUMMYFUNCTION("""COMPUTED_VALUE"""),"")</f>
        <v/>
      </c>
      <c r="O45" s="64" t="str">
        <f>IFERROR(__xludf.DUMMYFUNCTION("""COMPUTED_VALUE"""),"")</f>
        <v/>
      </c>
      <c r="P45" s="64" t="str">
        <f>IFERROR(__xludf.DUMMYFUNCTION("""COMPUTED_VALUE"""),"")</f>
        <v/>
      </c>
      <c r="Q45" s="64"/>
      <c r="R45" s="64"/>
      <c r="S45" s="64"/>
    </row>
    <row r="46">
      <c r="A46" s="60">
        <v>45558.61324780092</v>
      </c>
      <c r="B46" s="52" t="s">
        <v>149</v>
      </c>
      <c r="C46" s="53" t="b">
        <v>0</v>
      </c>
      <c r="D46" s="53"/>
      <c r="E46" s="53"/>
      <c r="F46" s="53"/>
      <c r="G46" s="53"/>
      <c r="H46" s="62">
        <v>24.0</v>
      </c>
      <c r="I46" s="53"/>
      <c r="J46" s="53" t="s">
        <v>11</v>
      </c>
      <c r="K46" s="61">
        <v>45558.0</v>
      </c>
      <c r="L46" s="53" t="s">
        <v>129</v>
      </c>
      <c r="M46" s="53" t="s">
        <v>19</v>
      </c>
      <c r="N46" s="64" t="str">
        <f>IFERROR(__xludf.DUMMYFUNCTION("""COMPUTED_VALUE"""),"")</f>
        <v/>
      </c>
      <c r="O46" s="64" t="str">
        <f>IFERROR(__xludf.DUMMYFUNCTION("""COMPUTED_VALUE"""),"")</f>
        <v/>
      </c>
      <c r="P46" s="64" t="str">
        <f>IFERROR(__xludf.DUMMYFUNCTION("""COMPUTED_VALUE"""),"")</f>
        <v/>
      </c>
      <c r="Q46" s="64"/>
      <c r="R46" s="64"/>
      <c r="S46" s="64"/>
    </row>
    <row r="47">
      <c r="A47" s="60">
        <v>45558.64593916666</v>
      </c>
      <c r="B47" s="52" t="s">
        <v>148</v>
      </c>
      <c r="C47" s="53" t="b">
        <v>0</v>
      </c>
      <c r="D47" s="53"/>
      <c r="E47" s="53"/>
      <c r="F47" s="53"/>
      <c r="G47" s="53"/>
      <c r="H47" s="62">
        <v>125.0</v>
      </c>
      <c r="I47" s="53"/>
      <c r="J47" s="53" t="s">
        <v>11</v>
      </c>
      <c r="K47" s="61">
        <v>45558.0</v>
      </c>
      <c r="L47" s="53" t="s">
        <v>129</v>
      </c>
      <c r="M47" s="53" t="s">
        <v>18</v>
      </c>
      <c r="N47" s="64" t="str">
        <f>IFERROR(__xludf.DUMMYFUNCTION("""COMPUTED_VALUE"""),"")</f>
        <v/>
      </c>
      <c r="O47" s="64" t="str">
        <f>IFERROR(__xludf.DUMMYFUNCTION("""COMPUTED_VALUE"""),"")</f>
        <v/>
      </c>
      <c r="P47" s="64" t="str">
        <f>IFERROR(__xludf.DUMMYFUNCTION("""COMPUTED_VALUE"""),"")</f>
        <v/>
      </c>
      <c r="Q47" s="64"/>
      <c r="R47" s="64"/>
      <c r="S47" s="64"/>
    </row>
    <row r="48">
      <c r="A48" s="60">
        <v>45558.79197914352</v>
      </c>
      <c r="B48" s="52" t="s">
        <v>139</v>
      </c>
      <c r="C48" s="53" t="b">
        <v>0</v>
      </c>
      <c r="D48" s="53"/>
      <c r="E48" s="53"/>
      <c r="F48" s="53"/>
      <c r="G48" s="53"/>
      <c r="H48" s="62">
        <v>60.0</v>
      </c>
      <c r="I48" s="53"/>
      <c r="J48" s="53" t="s">
        <v>12</v>
      </c>
      <c r="K48" s="61">
        <v>45558.0</v>
      </c>
      <c r="L48" s="53" t="s">
        <v>129</v>
      </c>
      <c r="M48" s="53" t="s">
        <v>19</v>
      </c>
      <c r="N48" s="64" t="str">
        <f>IFERROR(__xludf.DUMMYFUNCTION("""COMPUTED_VALUE"""),"")</f>
        <v/>
      </c>
      <c r="O48" s="64" t="str">
        <f>IFERROR(__xludf.DUMMYFUNCTION("""COMPUTED_VALUE"""),"")</f>
        <v/>
      </c>
      <c r="P48" s="64" t="str">
        <f>IFERROR(__xludf.DUMMYFUNCTION("""COMPUTED_VALUE"""),"")</f>
        <v/>
      </c>
      <c r="Q48" s="64"/>
      <c r="R48" s="64"/>
      <c r="S48" s="64"/>
    </row>
    <row r="49">
      <c r="A49" s="60">
        <v>45558.92174229167</v>
      </c>
      <c r="B49" s="52" t="s">
        <v>152</v>
      </c>
      <c r="C49" s="53" t="b">
        <v>0</v>
      </c>
      <c r="D49" s="53"/>
      <c r="E49" s="53"/>
      <c r="F49" s="53"/>
      <c r="G49" s="53"/>
      <c r="H49" s="62">
        <v>75.0</v>
      </c>
      <c r="I49" s="53"/>
      <c r="J49" s="53" t="s">
        <v>12</v>
      </c>
      <c r="K49" s="61">
        <v>45558.0</v>
      </c>
      <c r="L49" s="53" t="s">
        <v>129</v>
      </c>
      <c r="M49" s="53" t="s">
        <v>18</v>
      </c>
      <c r="N49" s="64">
        <f>IFERROR(__xludf.DUMMYFUNCTION("""COMPUTED_VALUE"""),205.0)</f>
        <v>205</v>
      </c>
      <c r="O49" s="64">
        <f>IFERROR(__xludf.DUMMYFUNCTION("""COMPUTED_VALUE"""),128.0)</f>
        <v>128</v>
      </c>
      <c r="P49" s="64">
        <f>IFERROR(__xludf.DUMMYFUNCTION("""COMPUTED_VALUE"""),333.0)</f>
        <v>333</v>
      </c>
      <c r="Q49" s="64"/>
      <c r="R49" s="64"/>
      <c r="S49" s="64"/>
    </row>
    <row r="50">
      <c r="A50" s="60">
        <v>45559.6239921875</v>
      </c>
      <c r="B50" s="52" t="s">
        <v>139</v>
      </c>
      <c r="C50" s="53" t="b">
        <v>0</v>
      </c>
      <c r="D50" s="53"/>
      <c r="E50" s="53"/>
      <c r="F50" s="53"/>
      <c r="G50" s="53"/>
      <c r="H50" s="62">
        <v>67.0</v>
      </c>
      <c r="I50" s="53"/>
      <c r="J50" s="53" t="s">
        <v>11</v>
      </c>
      <c r="K50" s="61">
        <v>45559.0</v>
      </c>
      <c r="L50" s="53" t="s">
        <v>132</v>
      </c>
      <c r="M50" s="53" t="s">
        <v>19</v>
      </c>
      <c r="N50" s="64" t="str">
        <f>IFERROR(__xludf.DUMMYFUNCTION("""COMPUTED_VALUE"""),"")</f>
        <v/>
      </c>
      <c r="O50" s="64" t="str">
        <f>IFERROR(__xludf.DUMMYFUNCTION("""COMPUTED_VALUE"""),"")</f>
        <v/>
      </c>
      <c r="P50" s="64" t="str">
        <f>IFERROR(__xludf.DUMMYFUNCTION("""COMPUTED_VALUE"""),"")</f>
        <v/>
      </c>
      <c r="Q50" s="64"/>
      <c r="R50" s="64"/>
      <c r="S50" s="64"/>
    </row>
    <row r="51">
      <c r="A51" s="60">
        <v>45559.67859037037</v>
      </c>
      <c r="B51" s="52" t="s">
        <v>152</v>
      </c>
      <c r="C51" s="53" t="b">
        <v>0</v>
      </c>
      <c r="D51" s="53"/>
      <c r="E51" s="53"/>
      <c r="F51" s="53"/>
      <c r="G51" s="53"/>
      <c r="H51" s="62">
        <v>25.0</v>
      </c>
      <c r="I51" s="53"/>
      <c r="J51" s="53" t="s">
        <v>11</v>
      </c>
      <c r="K51" s="61">
        <v>45559.0</v>
      </c>
      <c r="L51" s="53" t="s">
        <v>132</v>
      </c>
      <c r="M51" s="53" t="s">
        <v>18</v>
      </c>
      <c r="N51" s="64" t="str">
        <f>IFERROR(__xludf.DUMMYFUNCTION("""COMPUTED_VALUE"""),"")</f>
        <v/>
      </c>
      <c r="O51" s="64" t="str">
        <f>IFERROR(__xludf.DUMMYFUNCTION("""COMPUTED_VALUE"""),"")</f>
        <v/>
      </c>
      <c r="P51" s="64" t="str">
        <f>IFERROR(__xludf.DUMMYFUNCTION("""COMPUTED_VALUE"""),"")</f>
        <v/>
      </c>
      <c r="Q51" s="64"/>
      <c r="R51" s="64"/>
      <c r="S51" s="64"/>
    </row>
    <row r="52">
      <c r="A52" s="60">
        <v>45559.87689609954</v>
      </c>
      <c r="B52" s="52" t="s">
        <v>149</v>
      </c>
      <c r="C52" s="53" t="b">
        <v>0</v>
      </c>
      <c r="D52" s="53"/>
      <c r="E52" s="53"/>
      <c r="F52" s="53"/>
      <c r="G52" s="53"/>
      <c r="H52" s="62">
        <v>81.0</v>
      </c>
      <c r="I52" s="53"/>
      <c r="J52" s="53" t="s">
        <v>12</v>
      </c>
      <c r="K52" s="61">
        <v>45559.0</v>
      </c>
      <c r="L52" s="53" t="s">
        <v>132</v>
      </c>
      <c r="M52" s="53" t="s">
        <v>19</v>
      </c>
      <c r="N52" s="64" t="str">
        <f>IFERROR(__xludf.DUMMYFUNCTION("""COMPUTED_VALUE"""),"")</f>
        <v/>
      </c>
      <c r="O52" s="64" t="str">
        <f>IFERROR(__xludf.DUMMYFUNCTION("""COMPUTED_VALUE"""),"")</f>
        <v/>
      </c>
      <c r="P52" s="64" t="str">
        <f>IFERROR(__xludf.DUMMYFUNCTION("""COMPUTED_VALUE"""),"")</f>
        <v/>
      </c>
      <c r="Q52" s="64"/>
      <c r="R52" s="64"/>
      <c r="S52" s="64"/>
    </row>
    <row r="53">
      <c r="A53" s="60">
        <v>45561.8036357176</v>
      </c>
      <c r="B53" s="52" t="s">
        <v>153</v>
      </c>
      <c r="C53" s="53" t="b">
        <v>0</v>
      </c>
      <c r="D53" s="53"/>
      <c r="E53" s="53"/>
      <c r="F53" s="53"/>
      <c r="G53" s="53"/>
      <c r="H53" s="62">
        <v>57.0</v>
      </c>
      <c r="I53" s="53"/>
      <c r="J53" s="53" t="s">
        <v>10</v>
      </c>
      <c r="K53" s="61">
        <v>45559.0</v>
      </c>
      <c r="L53" s="53" t="s">
        <v>132</v>
      </c>
      <c r="M53" s="53" t="s">
        <v>19</v>
      </c>
      <c r="N53" s="64">
        <f>IFERROR(__xludf.DUMMYFUNCTION("""COMPUTED_VALUE"""),25.0)</f>
        <v>25</v>
      </c>
      <c r="O53" s="64">
        <f>IFERROR(__xludf.DUMMYFUNCTION("""COMPUTED_VALUE"""),205.0)</f>
        <v>205</v>
      </c>
      <c r="P53" s="64">
        <f>IFERROR(__xludf.DUMMYFUNCTION("""COMPUTED_VALUE"""),230.0)</f>
        <v>230</v>
      </c>
      <c r="Q53" s="64"/>
      <c r="R53" s="64"/>
      <c r="S53" s="64"/>
    </row>
    <row r="54">
      <c r="A54" s="60">
        <v>45560.5155919213</v>
      </c>
      <c r="B54" s="52" t="s">
        <v>130</v>
      </c>
      <c r="C54" s="53" t="b">
        <v>0</v>
      </c>
      <c r="D54" s="53"/>
      <c r="E54" s="53"/>
      <c r="F54" s="53"/>
      <c r="G54" s="53"/>
      <c r="H54" s="62">
        <v>4.0</v>
      </c>
      <c r="I54" s="53"/>
      <c r="J54" s="53" t="s">
        <v>11</v>
      </c>
      <c r="K54" s="61">
        <v>45560.0</v>
      </c>
      <c r="L54" s="53" t="s">
        <v>135</v>
      </c>
      <c r="M54" s="53" t="s">
        <v>18</v>
      </c>
      <c r="N54" s="64" t="str">
        <f>IFERROR(__xludf.DUMMYFUNCTION("""COMPUTED_VALUE"""),"")</f>
        <v/>
      </c>
      <c r="O54" s="64" t="str">
        <f>IFERROR(__xludf.DUMMYFUNCTION("""COMPUTED_VALUE"""),"")</f>
        <v/>
      </c>
      <c r="P54" s="64" t="str">
        <f>IFERROR(__xludf.DUMMYFUNCTION("""COMPUTED_VALUE"""),"")</f>
        <v/>
      </c>
      <c r="Q54" s="64"/>
      <c r="R54" s="64"/>
      <c r="S54" s="64"/>
    </row>
    <row r="55">
      <c r="A55" s="60">
        <v>45560.62556248843</v>
      </c>
      <c r="B55" s="52" t="s">
        <v>149</v>
      </c>
      <c r="C55" s="53" t="b">
        <v>0</v>
      </c>
      <c r="D55" s="53"/>
      <c r="E55" s="53"/>
      <c r="F55" s="53"/>
      <c r="G55" s="53"/>
      <c r="H55" s="62">
        <v>71.0</v>
      </c>
      <c r="I55" s="53"/>
      <c r="J55" s="53" t="s">
        <v>11</v>
      </c>
      <c r="K55" s="61">
        <v>45560.0</v>
      </c>
      <c r="L55" s="53" t="s">
        <v>135</v>
      </c>
      <c r="M55" s="53" t="s">
        <v>19</v>
      </c>
      <c r="N55" s="64" t="str">
        <f>IFERROR(__xludf.DUMMYFUNCTION("""COMPUTED_VALUE"""),"")</f>
        <v/>
      </c>
      <c r="O55" s="64" t="str">
        <f>IFERROR(__xludf.DUMMYFUNCTION("""COMPUTED_VALUE"""),"")</f>
        <v/>
      </c>
      <c r="P55" s="64" t="str">
        <f>IFERROR(__xludf.DUMMYFUNCTION("""COMPUTED_VALUE"""),"")</f>
        <v/>
      </c>
      <c r="Q55" s="64"/>
      <c r="R55" s="64"/>
      <c r="S55" s="64"/>
    </row>
    <row r="56">
      <c r="A56" s="60">
        <v>45560.6461778125</v>
      </c>
      <c r="B56" s="52" t="s">
        <v>148</v>
      </c>
      <c r="C56" s="53" t="b">
        <v>0</v>
      </c>
      <c r="D56" s="53"/>
      <c r="E56" s="53"/>
      <c r="F56" s="53"/>
      <c r="G56" s="53"/>
      <c r="H56" s="62">
        <v>61.0</v>
      </c>
      <c r="I56" s="53"/>
      <c r="J56" s="53" t="s">
        <v>11</v>
      </c>
      <c r="K56" s="61">
        <v>45560.0</v>
      </c>
      <c r="L56" s="53" t="s">
        <v>135</v>
      </c>
      <c r="M56" s="53" t="s">
        <v>18</v>
      </c>
      <c r="N56" s="64">
        <f>IFERROR(__xludf.DUMMYFUNCTION("""COMPUTED_VALUE"""),65.0)</f>
        <v>65</v>
      </c>
      <c r="O56" s="64">
        <f>IFERROR(__xludf.DUMMYFUNCTION("""COMPUTED_VALUE"""),71.0)</f>
        <v>71</v>
      </c>
      <c r="P56" s="64">
        <f>IFERROR(__xludf.DUMMYFUNCTION("""COMPUTED_VALUE"""),136.0)</f>
        <v>136</v>
      </c>
      <c r="Q56" s="64"/>
      <c r="R56" s="64"/>
      <c r="S56" s="64"/>
    </row>
    <row r="57">
      <c r="A57" s="60">
        <v>45561.59317541667</v>
      </c>
      <c r="B57" s="52" t="s">
        <v>150</v>
      </c>
      <c r="C57" s="53" t="b">
        <v>0</v>
      </c>
      <c r="D57" s="53"/>
      <c r="E57" s="53"/>
      <c r="F57" s="53"/>
      <c r="G57" s="53"/>
      <c r="H57" s="62">
        <v>51.0</v>
      </c>
      <c r="I57" s="53"/>
      <c r="J57" s="53" t="s">
        <v>11</v>
      </c>
      <c r="K57" s="61">
        <v>45561.0</v>
      </c>
      <c r="L57" s="53" t="s">
        <v>137</v>
      </c>
      <c r="M57" s="53" t="s">
        <v>18</v>
      </c>
      <c r="N57" s="64" t="str">
        <f>IFERROR(__xludf.DUMMYFUNCTION("""COMPUTED_VALUE"""),"")</f>
        <v/>
      </c>
      <c r="O57" s="64" t="str">
        <f>IFERROR(__xludf.DUMMYFUNCTION("""COMPUTED_VALUE"""),"")</f>
        <v/>
      </c>
      <c r="P57" s="64" t="str">
        <f>IFERROR(__xludf.DUMMYFUNCTION("""COMPUTED_VALUE"""),"")</f>
        <v/>
      </c>
      <c r="Q57" s="64"/>
      <c r="R57" s="64"/>
      <c r="S57" s="64"/>
    </row>
    <row r="58">
      <c r="A58" s="60">
        <v>45561.62541203704</v>
      </c>
      <c r="B58" s="52" t="s">
        <v>149</v>
      </c>
      <c r="C58" s="53" t="b">
        <v>0</v>
      </c>
      <c r="D58" s="53"/>
      <c r="E58" s="53"/>
      <c r="F58" s="53"/>
      <c r="G58" s="53"/>
      <c r="H58" s="62">
        <v>131.0</v>
      </c>
      <c r="I58" s="53"/>
      <c r="J58" s="53" t="s">
        <v>11</v>
      </c>
      <c r="K58" s="61">
        <v>45561.0</v>
      </c>
      <c r="L58" s="53" t="s">
        <v>137</v>
      </c>
      <c r="M58" s="53" t="s">
        <v>19</v>
      </c>
      <c r="N58" s="64" t="str">
        <f>IFERROR(__xludf.DUMMYFUNCTION("""COMPUTED_VALUE"""),"")</f>
        <v/>
      </c>
      <c r="O58" s="64" t="str">
        <f>IFERROR(__xludf.DUMMYFUNCTION("""COMPUTED_VALUE"""),"")</f>
        <v/>
      </c>
      <c r="P58" s="64" t="str">
        <f>IFERROR(__xludf.DUMMYFUNCTION("""COMPUTED_VALUE"""),"")</f>
        <v/>
      </c>
      <c r="Q58" s="64"/>
      <c r="R58" s="64"/>
      <c r="S58" s="64"/>
    </row>
    <row r="59">
      <c r="A59" s="60">
        <v>45561.63828810185</v>
      </c>
      <c r="B59" s="52" t="s">
        <v>152</v>
      </c>
      <c r="C59" s="53" t="b">
        <v>0</v>
      </c>
      <c r="D59" s="53"/>
      <c r="E59" s="53"/>
      <c r="F59" s="53"/>
      <c r="G59" s="53"/>
      <c r="H59" s="62">
        <v>55.0</v>
      </c>
      <c r="I59" s="53"/>
      <c r="J59" s="53" t="s">
        <v>11</v>
      </c>
      <c r="K59" s="61">
        <v>45561.0</v>
      </c>
      <c r="L59" s="53" t="s">
        <v>137</v>
      </c>
      <c r="M59" s="53" t="s">
        <v>18</v>
      </c>
      <c r="N59" s="64" t="str">
        <f>IFERROR(__xludf.DUMMYFUNCTION("""COMPUTED_VALUE"""),"")</f>
        <v/>
      </c>
      <c r="O59" s="64" t="str">
        <f>IFERROR(__xludf.DUMMYFUNCTION("""COMPUTED_VALUE"""),"")</f>
        <v/>
      </c>
      <c r="P59" s="64" t="str">
        <f>IFERROR(__xludf.DUMMYFUNCTION("""COMPUTED_VALUE"""),"")</f>
        <v/>
      </c>
      <c r="Q59" s="64"/>
      <c r="R59" s="64"/>
      <c r="S59" s="64"/>
    </row>
    <row r="60">
      <c r="A60" s="60">
        <v>45561.80443417824</v>
      </c>
      <c r="B60" s="52" t="s">
        <v>153</v>
      </c>
      <c r="C60" s="53" t="b">
        <v>0</v>
      </c>
      <c r="D60" s="53"/>
      <c r="E60" s="53"/>
      <c r="F60" s="53"/>
      <c r="G60" s="53"/>
      <c r="H60" s="62">
        <v>53.0</v>
      </c>
      <c r="I60" s="53"/>
      <c r="J60" s="53" t="s">
        <v>10</v>
      </c>
      <c r="K60" s="61">
        <v>45561.0</v>
      </c>
      <c r="L60" s="53" t="s">
        <v>137</v>
      </c>
      <c r="M60" s="53" t="s">
        <v>19</v>
      </c>
      <c r="N60" s="64" t="str">
        <f>IFERROR(__xludf.DUMMYFUNCTION("""COMPUTED_VALUE"""),"")</f>
        <v/>
      </c>
      <c r="O60" s="64" t="str">
        <f>IFERROR(__xludf.DUMMYFUNCTION("""COMPUTED_VALUE"""),"")</f>
        <v/>
      </c>
      <c r="P60" s="64" t="str">
        <f>IFERROR(__xludf.DUMMYFUNCTION("""COMPUTED_VALUE"""),"")</f>
        <v/>
      </c>
      <c r="Q60" s="64"/>
      <c r="R60" s="64"/>
      <c r="S60" s="64"/>
    </row>
    <row r="61">
      <c r="A61" s="60">
        <v>45561.87399503472</v>
      </c>
      <c r="B61" s="52" t="s">
        <v>148</v>
      </c>
      <c r="C61" s="53" t="b">
        <v>0</v>
      </c>
      <c r="D61" s="53"/>
      <c r="E61" s="53"/>
      <c r="F61" s="53"/>
      <c r="G61" s="53"/>
      <c r="H61" s="62">
        <v>146.0</v>
      </c>
      <c r="I61" s="53"/>
      <c r="J61" s="53" t="s">
        <v>12</v>
      </c>
      <c r="K61" s="61">
        <v>45561.0</v>
      </c>
      <c r="L61" s="53" t="s">
        <v>137</v>
      </c>
      <c r="M61" s="53" t="s">
        <v>19</v>
      </c>
      <c r="N61" s="64">
        <f>IFERROR(__xludf.DUMMYFUNCTION("""COMPUTED_VALUE"""),106.0)</f>
        <v>106</v>
      </c>
      <c r="O61" s="64">
        <f>IFERROR(__xludf.DUMMYFUNCTION("""COMPUTED_VALUE"""),330.0)</f>
        <v>330</v>
      </c>
      <c r="P61" s="64">
        <f>IFERROR(__xludf.DUMMYFUNCTION("""COMPUTED_VALUE"""),436.0)</f>
        <v>436</v>
      </c>
      <c r="Q61" s="64"/>
      <c r="R61" s="64"/>
      <c r="S61" s="64"/>
    </row>
    <row r="62">
      <c r="A62" s="60">
        <v>45562.39118490741</v>
      </c>
      <c r="B62" s="52" t="s">
        <v>136</v>
      </c>
      <c r="C62" s="53" t="b">
        <v>0</v>
      </c>
      <c r="D62" s="53"/>
      <c r="E62" s="53"/>
      <c r="F62" s="53"/>
      <c r="G62" s="53"/>
      <c r="H62" s="62">
        <v>37.0</v>
      </c>
      <c r="I62" s="53"/>
      <c r="J62" s="53" t="s">
        <v>10</v>
      </c>
      <c r="K62" s="61">
        <v>45562.0</v>
      </c>
      <c r="L62" s="53" t="s">
        <v>138</v>
      </c>
      <c r="M62" s="53" t="s">
        <v>19</v>
      </c>
      <c r="N62" s="64" t="str">
        <f>IFERROR(__xludf.DUMMYFUNCTION("""COMPUTED_VALUE"""),"")</f>
        <v/>
      </c>
      <c r="O62" s="64" t="str">
        <f>IFERROR(__xludf.DUMMYFUNCTION("""COMPUTED_VALUE"""),"")</f>
        <v/>
      </c>
      <c r="P62" s="64" t="str">
        <f>IFERROR(__xludf.DUMMYFUNCTION("""COMPUTED_VALUE"""),"")</f>
        <v/>
      </c>
      <c r="Q62" s="64"/>
      <c r="R62" s="64"/>
      <c r="S62" s="64"/>
    </row>
    <row r="63">
      <c r="A63" s="60">
        <v>45562.64364069444</v>
      </c>
      <c r="B63" s="52" t="s">
        <v>130</v>
      </c>
      <c r="C63" s="53" t="b">
        <v>0</v>
      </c>
      <c r="D63" s="53"/>
      <c r="E63" s="53"/>
      <c r="F63" s="53"/>
      <c r="G63" s="53"/>
      <c r="H63" s="62">
        <v>129.0</v>
      </c>
      <c r="I63" s="53"/>
      <c r="J63" s="53" t="s">
        <v>11</v>
      </c>
      <c r="K63" s="61">
        <v>45562.0</v>
      </c>
      <c r="L63" s="53" t="s">
        <v>138</v>
      </c>
      <c r="M63" s="53" t="s">
        <v>18</v>
      </c>
      <c r="N63" s="64" t="str">
        <f>IFERROR(__xludf.DUMMYFUNCTION("""COMPUTED_VALUE"""),"")</f>
        <v/>
      </c>
      <c r="O63" s="64" t="str">
        <f>IFERROR(__xludf.DUMMYFUNCTION("""COMPUTED_VALUE"""),"")</f>
        <v/>
      </c>
      <c r="P63" s="64" t="str">
        <f>IFERROR(__xludf.DUMMYFUNCTION("""COMPUTED_VALUE"""),"")</f>
        <v/>
      </c>
      <c r="Q63" s="64"/>
      <c r="R63" s="64"/>
      <c r="S63" s="64"/>
    </row>
    <row r="64">
      <c r="A64" s="60">
        <v>45562.71993104167</v>
      </c>
      <c r="B64" s="52" t="s">
        <v>151</v>
      </c>
      <c r="C64" s="53" t="b">
        <v>0</v>
      </c>
      <c r="D64" s="53"/>
      <c r="E64" s="53"/>
      <c r="F64" s="53"/>
      <c r="G64" s="53"/>
      <c r="H64" s="62">
        <v>57.0</v>
      </c>
      <c r="I64" s="53"/>
      <c r="J64" s="53" t="s">
        <v>13</v>
      </c>
      <c r="K64" s="61">
        <v>45562.0</v>
      </c>
      <c r="L64" s="53" t="s">
        <v>138</v>
      </c>
      <c r="M64" s="53" t="s">
        <v>19</v>
      </c>
      <c r="N64" s="64" t="str">
        <f>IFERROR(__xludf.DUMMYFUNCTION("""COMPUTED_VALUE"""),"")</f>
        <v/>
      </c>
      <c r="O64" s="64" t="str">
        <f>IFERROR(__xludf.DUMMYFUNCTION("""COMPUTED_VALUE"""),"")</f>
        <v/>
      </c>
      <c r="P64" s="64" t="str">
        <f>IFERROR(__xludf.DUMMYFUNCTION("""COMPUTED_VALUE"""),"")</f>
        <v/>
      </c>
      <c r="Q64" s="64"/>
      <c r="R64" s="64"/>
      <c r="S64" s="64"/>
    </row>
    <row r="65">
      <c r="A65" s="60">
        <v>45562.83345502314</v>
      </c>
      <c r="B65" s="52" t="s">
        <v>148</v>
      </c>
      <c r="C65" s="53" t="b">
        <v>0</v>
      </c>
      <c r="D65" s="53"/>
      <c r="E65" s="53"/>
      <c r="F65" s="53"/>
      <c r="G65" s="53"/>
      <c r="H65" s="62">
        <v>144.0</v>
      </c>
      <c r="I65" s="53"/>
      <c r="J65" s="53" t="s">
        <v>12</v>
      </c>
      <c r="K65" s="61">
        <v>45562.0</v>
      </c>
      <c r="L65" s="53" t="s">
        <v>138</v>
      </c>
      <c r="M65" s="53" t="s">
        <v>18</v>
      </c>
      <c r="N65" s="64">
        <f>IFERROR(__xludf.DUMMYFUNCTION("""COMPUTED_VALUE"""),273.0)</f>
        <v>273</v>
      </c>
      <c r="O65" s="64">
        <f>IFERROR(__xludf.DUMMYFUNCTION("""COMPUTED_VALUE"""),94.0)</f>
        <v>94</v>
      </c>
      <c r="P65" s="64">
        <f>IFERROR(__xludf.DUMMYFUNCTION("""COMPUTED_VALUE"""),367.0)</f>
        <v>367</v>
      </c>
      <c r="Q65" s="64"/>
      <c r="R65" s="64"/>
      <c r="S65" s="64"/>
    </row>
    <row r="66">
      <c r="A66" s="60">
        <v>45565.41947628473</v>
      </c>
      <c r="B66" s="52" t="s">
        <v>136</v>
      </c>
      <c r="C66" s="53" t="b">
        <v>0</v>
      </c>
      <c r="D66" s="53"/>
      <c r="E66" s="53"/>
      <c r="F66" s="53"/>
      <c r="G66" s="53"/>
      <c r="H66" s="62">
        <v>82.0</v>
      </c>
      <c r="I66" s="53"/>
      <c r="J66" s="53" t="s">
        <v>10</v>
      </c>
      <c r="K66" s="61">
        <v>45565.0</v>
      </c>
      <c r="L66" s="53" t="s">
        <v>129</v>
      </c>
      <c r="M66" s="53" t="s">
        <v>19</v>
      </c>
      <c r="N66" s="64" t="str">
        <f>IFERROR(__xludf.DUMMYFUNCTION("""COMPUTED_VALUE"""),"")</f>
        <v/>
      </c>
      <c r="O66" s="64" t="str">
        <f>IFERROR(__xludf.DUMMYFUNCTION("""COMPUTED_VALUE"""),"")</f>
        <v/>
      </c>
      <c r="P66" s="64" t="str">
        <f>IFERROR(__xludf.DUMMYFUNCTION("""COMPUTED_VALUE"""),"")</f>
        <v/>
      </c>
      <c r="Q66" s="64"/>
      <c r="R66" s="64"/>
      <c r="S66" s="64"/>
    </row>
    <row r="67">
      <c r="A67" s="60">
        <v>45560.59333439815</v>
      </c>
      <c r="B67" s="52" t="s">
        <v>148</v>
      </c>
      <c r="C67" s="53" t="b">
        <v>0</v>
      </c>
      <c r="D67" s="53"/>
      <c r="E67" s="53"/>
      <c r="F67" s="53"/>
      <c r="G67" s="53"/>
      <c r="H67" s="62">
        <v>129.0</v>
      </c>
      <c r="I67" s="53"/>
      <c r="J67" s="53" t="s">
        <v>11</v>
      </c>
      <c r="K67" s="61">
        <v>45565.0</v>
      </c>
      <c r="L67" s="53" t="s">
        <v>129</v>
      </c>
      <c r="M67" s="53" t="s">
        <v>18</v>
      </c>
      <c r="N67" s="64" t="str">
        <f>IFERROR(__xludf.DUMMYFUNCTION("""COMPUTED_VALUE"""),"")</f>
        <v/>
      </c>
      <c r="O67" s="64" t="str">
        <f>IFERROR(__xludf.DUMMYFUNCTION("""COMPUTED_VALUE"""),"")</f>
        <v/>
      </c>
      <c r="P67" s="64" t="str">
        <f>IFERROR(__xludf.DUMMYFUNCTION("""COMPUTED_VALUE"""),"")</f>
        <v/>
      </c>
      <c r="Q67" s="64"/>
      <c r="R67" s="64"/>
      <c r="S67" s="64"/>
    </row>
    <row r="68">
      <c r="A68" s="60">
        <v>45565.50256039352</v>
      </c>
      <c r="B68" s="52" t="s">
        <v>130</v>
      </c>
      <c r="C68" s="53" t="b">
        <v>0</v>
      </c>
      <c r="D68" s="53"/>
      <c r="E68" s="53"/>
      <c r="F68" s="53"/>
      <c r="G68" s="53"/>
      <c r="H68" s="62">
        <v>5.0</v>
      </c>
      <c r="I68" s="53"/>
      <c r="J68" s="53" t="s">
        <v>11</v>
      </c>
      <c r="K68" s="61">
        <v>45565.0</v>
      </c>
      <c r="L68" s="53" t="s">
        <v>129</v>
      </c>
      <c r="M68" s="53" t="s">
        <v>18</v>
      </c>
      <c r="N68" s="64" t="str">
        <f>IFERROR(__xludf.DUMMYFUNCTION("""COMPUTED_VALUE"""),"")</f>
        <v/>
      </c>
      <c r="O68" s="64" t="str">
        <f>IFERROR(__xludf.DUMMYFUNCTION("""COMPUTED_VALUE"""),"")</f>
        <v/>
      </c>
      <c r="P68" s="64" t="str">
        <f>IFERROR(__xludf.DUMMYFUNCTION("""COMPUTED_VALUE"""),"")</f>
        <v/>
      </c>
      <c r="Q68" s="64"/>
      <c r="R68" s="64"/>
      <c r="S68" s="64"/>
    </row>
    <row r="69">
      <c r="A69" s="60">
        <v>45565.64490814815</v>
      </c>
      <c r="B69" s="52" t="s">
        <v>148</v>
      </c>
      <c r="C69" s="53" t="b">
        <v>0</v>
      </c>
      <c r="D69" s="53"/>
      <c r="E69" s="53"/>
      <c r="F69" s="53"/>
      <c r="G69" s="53"/>
      <c r="H69" s="62">
        <v>174.0</v>
      </c>
      <c r="I69" s="53"/>
      <c r="J69" s="53" t="s">
        <v>11</v>
      </c>
      <c r="K69" s="61">
        <v>45565.0</v>
      </c>
      <c r="L69" s="53" t="s">
        <v>129</v>
      </c>
      <c r="M69" s="53" t="s">
        <v>18</v>
      </c>
      <c r="N69" s="64" t="str">
        <f>IFERROR(__xludf.DUMMYFUNCTION("""COMPUTED_VALUE"""),"")</f>
        <v/>
      </c>
      <c r="O69" s="64" t="str">
        <f>IFERROR(__xludf.DUMMYFUNCTION("""COMPUTED_VALUE"""),"")</f>
        <v/>
      </c>
      <c r="P69" s="64" t="str">
        <f>IFERROR(__xludf.DUMMYFUNCTION("""COMPUTED_VALUE"""),"")</f>
        <v/>
      </c>
      <c r="Q69" s="64"/>
      <c r="R69" s="64"/>
      <c r="S69" s="64"/>
    </row>
    <row r="70">
      <c r="A70" s="60">
        <v>45565.75448940972</v>
      </c>
      <c r="B70" s="52" t="s">
        <v>149</v>
      </c>
      <c r="C70" s="53" t="b">
        <v>0</v>
      </c>
      <c r="D70" s="53"/>
      <c r="E70" s="53"/>
      <c r="F70" s="53"/>
      <c r="G70" s="53"/>
      <c r="H70" s="53">
        <v>51.0</v>
      </c>
      <c r="I70" s="53"/>
      <c r="J70" s="53" t="s">
        <v>11</v>
      </c>
      <c r="K70" s="61">
        <v>45565.0</v>
      </c>
      <c r="L70" s="53" t="s">
        <v>129</v>
      </c>
      <c r="M70" s="53" t="s">
        <v>19</v>
      </c>
      <c r="N70" s="64" t="str">
        <f>IFERROR(__xludf.DUMMYFUNCTION("""COMPUTED_VALUE"""),"")</f>
        <v/>
      </c>
      <c r="O70" s="64" t="str">
        <f>IFERROR(__xludf.DUMMYFUNCTION("""COMPUTED_VALUE"""),"")</f>
        <v/>
      </c>
      <c r="P70" s="64" t="str">
        <f>IFERROR(__xludf.DUMMYFUNCTION("""COMPUTED_VALUE"""),"")</f>
        <v/>
      </c>
      <c r="Q70" s="64"/>
      <c r="R70" s="64"/>
      <c r="S70" s="64"/>
    </row>
    <row r="71">
      <c r="A71" s="60">
        <v>45565.75571971065</v>
      </c>
      <c r="B71" s="52" t="s">
        <v>152</v>
      </c>
      <c r="C71" s="53" t="b">
        <v>0</v>
      </c>
      <c r="D71" s="53"/>
      <c r="E71" s="53"/>
      <c r="F71" s="53"/>
      <c r="G71" s="53"/>
      <c r="H71" s="53">
        <v>55.0</v>
      </c>
      <c r="I71" s="53"/>
      <c r="J71" s="53" t="s">
        <v>12</v>
      </c>
      <c r="K71" s="61">
        <v>45565.0</v>
      </c>
      <c r="L71" s="53" t="s">
        <v>129</v>
      </c>
      <c r="M71" s="53" t="s">
        <v>18</v>
      </c>
      <c r="N71" s="64" t="str">
        <f>IFERROR(__xludf.DUMMYFUNCTION("""COMPUTED_VALUE"""),"")</f>
        <v/>
      </c>
      <c r="O71" s="64" t="str">
        <f>IFERROR(__xludf.DUMMYFUNCTION("""COMPUTED_VALUE"""),"")</f>
        <v/>
      </c>
      <c r="P71" s="64" t="str">
        <f>IFERROR(__xludf.DUMMYFUNCTION("""COMPUTED_VALUE"""),"")</f>
        <v/>
      </c>
      <c r="Q71" s="64"/>
      <c r="R71" s="64"/>
      <c r="S71" s="64"/>
    </row>
    <row r="72">
      <c r="A72" s="60">
        <v>45565.94228159722</v>
      </c>
      <c r="B72" s="52" t="s">
        <v>151</v>
      </c>
      <c r="C72" s="53" t="b">
        <v>0</v>
      </c>
      <c r="D72" s="53"/>
      <c r="E72" s="53"/>
      <c r="F72" s="53"/>
      <c r="G72" s="53"/>
      <c r="H72" s="53">
        <v>31.0</v>
      </c>
      <c r="I72" s="53"/>
      <c r="J72" s="53" t="s">
        <v>12</v>
      </c>
      <c r="K72" s="61">
        <v>45565.0</v>
      </c>
      <c r="L72" s="53" t="s">
        <v>129</v>
      </c>
      <c r="M72" s="53" t="s">
        <v>19</v>
      </c>
      <c r="N72" s="64">
        <f>IFERROR(__xludf.DUMMYFUNCTION("""COMPUTED_VALUE"""),363.0)</f>
        <v>363</v>
      </c>
      <c r="O72" s="64">
        <f>IFERROR(__xludf.DUMMYFUNCTION("""COMPUTED_VALUE"""),164.0)</f>
        <v>164</v>
      </c>
      <c r="P72" s="64">
        <f>IFERROR(__xludf.DUMMYFUNCTION("""COMPUTED_VALUE"""),527.0)</f>
        <v>527</v>
      </c>
      <c r="Q72" s="64"/>
      <c r="R72" s="64"/>
      <c r="S72" s="64"/>
    </row>
    <row r="73">
      <c r="A73" s="60">
        <v>45566.64233320601</v>
      </c>
      <c r="B73" s="52" t="s">
        <v>152</v>
      </c>
      <c r="C73" s="53" t="b">
        <v>0</v>
      </c>
      <c r="D73" s="53"/>
      <c r="E73" s="53"/>
      <c r="F73" s="53"/>
      <c r="G73" s="53"/>
      <c r="H73" s="53">
        <v>65.0</v>
      </c>
      <c r="I73" s="53"/>
      <c r="J73" s="53" t="s">
        <v>11</v>
      </c>
      <c r="K73" s="61">
        <v>45566.0</v>
      </c>
      <c r="L73" s="53" t="s">
        <v>132</v>
      </c>
      <c r="M73" s="53" t="s">
        <v>18</v>
      </c>
      <c r="N73" s="64" t="str">
        <f>IFERROR(__xludf.DUMMYFUNCTION("""COMPUTED_VALUE"""),"")</f>
        <v/>
      </c>
      <c r="O73" s="64" t="str">
        <f>IFERROR(__xludf.DUMMYFUNCTION("""COMPUTED_VALUE"""),"")</f>
        <v/>
      </c>
      <c r="P73" s="64" t="str">
        <f>IFERROR(__xludf.DUMMYFUNCTION("""COMPUTED_VALUE"""),"")</f>
        <v/>
      </c>
      <c r="Q73" s="64"/>
      <c r="R73" s="64"/>
      <c r="S73" s="64"/>
    </row>
    <row r="74">
      <c r="A74" s="60">
        <v>45566.7738962037</v>
      </c>
      <c r="B74" s="52" t="s">
        <v>149</v>
      </c>
      <c r="C74" s="53" t="b">
        <v>0</v>
      </c>
      <c r="D74" s="53"/>
      <c r="E74" s="53"/>
      <c r="F74" s="53"/>
      <c r="G74" s="53"/>
      <c r="H74" s="53">
        <v>97.0</v>
      </c>
      <c r="I74" s="53"/>
      <c r="J74" s="53" t="s">
        <v>12</v>
      </c>
      <c r="K74" s="61">
        <v>45566.0</v>
      </c>
      <c r="L74" s="53" t="s">
        <v>132</v>
      </c>
      <c r="M74" s="53" t="s">
        <v>19</v>
      </c>
      <c r="N74" s="64" t="str">
        <f>IFERROR(__xludf.DUMMYFUNCTION("""COMPUTED_VALUE"""),"")</f>
        <v/>
      </c>
      <c r="O74" s="64" t="str">
        <f>IFERROR(__xludf.DUMMYFUNCTION("""COMPUTED_VALUE"""),"")</f>
        <v/>
      </c>
      <c r="P74" s="64" t="str">
        <f>IFERROR(__xludf.DUMMYFUNCTION("""COMPUTED_VALUE"""),"")</f>
        <v/>
      </c>
      <c r="Q74" s="64"/>
      <c r="R74" s="64"/>
      <c r="S74" s="64"/>
    </row>
    <row r="75">
      <c r="A75" s="60">
        <v>45566.87787091435</v>
      </c>
      <c r="B75" s="52" t="s">
        <v>134</v>
      </c>
      <c r="C75" s="53" t="b">
        <v>0</v>
      </c>
      <c r="D75" s="53"/>
      <c r="E75" s="53"/>
      <c r="F75" s="53"/>
      <c r="G75" s="53"/>
      <c r="H75" s="53">
        <v>237.0</v>
      </c>
      <c r="I75" s="53"/>
      <c r="J75" s="53" t="s">
        <v>12</v>
      </c>
      <c r="K75" s="61">
        <v>45566.0</v>
      </c>
      <c r="L75" s="53" t="s">
        <v>132</v>
      </c>
      <c r="M75" s="53" t="s">
        <v>18</v>
      </c>
      <c r="N75" s="64" t="str">
        <f>IFERROR(__xludf.DUMMYFUNCTION("""COMPUTED_VALUE"""),"")</f>
        <v/>
      </c>
      <c r="O75" s="64" t="str">
        <f>IFERROR(__xludf.DUMMYFUNCTION("""COMPUTED_VALUE"""),"")</f>
        <v/>
      </c>
      <c r="P75" s="64" t="str">
        <f>IFERROR(__xludf.DUMMYFUNCTION("""COMPUTED_VALUE"""),"")</f>
        <v/>
      </c>
      <c r="Q75" s="64"/>
      <c r="R75" s="64"/>
      <c r="S75" s="64"/>
    </row>
    <row r="76">
      <c r="A76" s="60">
        <v>45566.89440203704</v>
      </c>
      <c r="B76" s="52" t="s">
        <v>149</v>
      </c>
      <c r="C76" s="53" t="b">
        <v>0</v>
      </c>
      <c r="D76" s="53"/>
      <c r="E76" s="53"/>
      <c r="F76" s="53"/>
      <c r="G76" s="53"/>
      <c r="H76" s="53">
        <v>90.0</v>
      </c>
      <c r="I76" s="53"/>
      <c r="J76" s="53" t="s">
        <v>12</v>
      </c>
      <c r="K76" s="61">
        <v>45566.0</v>
      </c>
      <c r="L76" s="53" t="s">
        <v>132</v>
      </c>
      <c r="M76" s="53" t="s">
        <v>19</v>
      </c>
      <c r="N76" s="64">
        <f>IFERROR(__xludf.DUMMYFUNCTION("""COMPUTED_VALUE"""),302.0)</f>
        <v>302</v>
      </c>
      <c r="O76" s="64">
        <f>IFERROR(__xludf.DUMMYFUNCTION("""COMPUTED_VALUE"""),187.0)</f>
        <v>187</v>
      </c>
      <c r="P76" s="64">
        <f>IFERROR(__xludf.DUMMYFUNCTION("""COMPUTED_VALUE"""),489.0)</f>
        <v>489</v>
      </c>
      <c r="Q76" s="64"/>
      <c r="R76" s="64"/>
      <c r="S76" s="64"/>
    </row>
    <row r="77">
      <c r="A77" s="60">
        <v>45567.42279282407</v>
      </c>
      <c r="B77" s="52" t="s">
        <v>136</v>
      </c>
      <c r="C77" s="53" t="b">
        <v>0</v>
      </c>
      <c r="D77" s="53"/>
      <c r="E77" s="53"/>
      <c r="F77" s="53"/>
      <c r="G77" s="53"/>
      <c r="H77" s="53">
        <v>80.0</v>
      </c>
      <c r="I77" s="53"/>
      <c r="J77" s="53" t="s">
        <v>10</v>
      </c>
      <c r="K77" s="61">
        <v>45567.0</v>
      </c>
      <c r="L77" s="53" t="s">
        <v>135</v>
      </c>
      <c r="M77" s="53" t="s">
        <v>19</v>
      </c>
      <c r="N77" s="64" t="str">
        <f>IFERROR(__xludf.DUMMYFUNCTION("""COMPUTED_VALUE"""),"")</f>
        <v/>
      </c>
      <c r="O77" s="64" t="str">
        <f>IFERROR(__xludf.DUMMYFUNCTION("""COMPUTED_VALUE"""),"")</f>
        <v/>
      </c>
      <c r="P77" s="64" t="str">
        <f>IFERROR(__xludf.DUMMYFUNCTION("""COMPUTED_VALUE"""),"")</f>
        <v/>
      </c>
      <c r="Q77" s="64"/>
      <c r="R77" s="64"/>
      <c r="S77" s="64"/>
    </row>
    <row r="78">
      <c r="A78" s="60">
        <v>45567.50752015047</v>
      </c>
      <c r="B78" s="52" t="s">
        <v>130</v>
      </c>
      <c r="C78" s="53" t="b">
        <v>0</v>
      </c>
      <c r="D78" s="53"/>
      <c r="E78" s="53"/>
      <c r="F78" s="53"/>
      <c r="G78" s="53"/>
      <c r="H78" s="53">
        <v>6.0</v>
      </c>
      <c r="I78" s="53"/>
      <c r="J78" s="53" t="s">
        <v>11</v>
      </c>
      <c r="K78" s="61">
        <v>45567.0</v>
      </c>
      <c r="L78" s="53" t="s">
        <v>135</v>
      </c>
      <c r="M78" s="53" t="s">
        <v>18</v>
      </c>
      <c r="N78" s="64" t="str">
        <f>IFERROR(__xludf.DUMMYFUNCTION("""COMPUTED_VALUE"""),"")</f>
        <v/>
      </c>
      <c r="O78" s="64" t="str">
        <f>IFERROR(__xludf.DUMMYFUNCTION("""COMPUTED_VALUE"""),"")</f>
        <v/>
      </c>
      <c r="P78" s="64" t="str">
        <f>IFERROR(__xludf.DUMMYFUNCTION("""COMPUTED_VALUE"""),"")</f>
        <v/>
      </c>
      <c r="Q78" s="64"/>
      <c r="R78" s="64"/>
      <c r="S78" s="64"/>
    </row>
    <row r="79">
      <c r="A79" s="60">
        <v>45567.62774652777</v>
      </c>
      <c r="B79" s="52" t="s">
        <v>149</v>
      </c>
      <c r="C79" s="53" t="b">
        <v>0</v>
      </c>
      <c r="D79" s="53"/>
      <c r="E79" s="53"/>
      <c r="F79" s="53"/>
      <c r="G79" s="53"/>
      <c r="H79" s="53">
        <v>161.0</v>
      </c>
      <c r="I79" s="53"/>
      <c r="J79" s="53" t="s">
        <v>11</v>
      </c>
      <c r="K79" s="61">
        <v>45567.0</v>
      </c>
      <c r="L79" s="53" t="s">
        <v>135</v>
      </c>
      <c r="M79" s="53" t="s">
        <v>19</v>
      </c>
      <c r="N79" s="64" t="str">
        <f>IFERROR(__xludf.DUMMYFUNCTION("""COMPUTED_VALUE"""),"")</f>
        <v/>
      </c>
      <c r="O79" s="64" t="str">
        <f>IFERROR(__xludf.DUMMYFUNCTION("""COMPUTED_VALUE"""),"")</f>
        <v/>
      </c>
      <c r="P79" s="64" t="str">
        <f>IFERROR(__xludf.DUMMYFUNCTION("""COMPUTED_VALUE"""),"")</f>
        <v/>
      </c>
      <c r="Q79" s="64"/>
      <c r="R79" s="64"/>
      <c r="S79" s="64"/>
    </row>
    <row r="80">
      <c r="A80" s="60">
        <v>45567.6440274537</v>
      </c>
      <c r="B80" s="52" t="s">
        <v>148</v>
      </c>
      <c r="C80" s="53" t="b">
        <v>0</v>
      </c>
      <c r="D80" s="53"/>
      <c r="E80" s="53"/>
      <c r="F80" s="53"/>
      <c r="G80" s="53"/>
      <c r="H80" s="53">
        <v>147.0</v>
      </c>
      <c r="I80" s="53"/>
      <c r="J80" s="53" t="s">
        <v>11</v>
      </c>
      <c r="K80" s="61">
        <v>45567.0</v>
      </c>
      <c r="L80" s="53" t="s">
        <v>135</v>
      </c>
      <c r="M80" s="53" t="s">
        <v>18</v>
      </c>
      <c r="N80" s="64">
        <f>IFERROR(__xludf.DUMMYFUNCTION("""COMPUTED_VALUE"""),153.0)</f>
        <v>153</v>
      </c>
      <c r="O80" s="64">
        <f>IFERROR(__xludf.DUMMYFUNCTION("""COMPUTED_VALUE"""),241.0)</f>
        <v>241</v>
      </c>
      <c r="P80" s="64">
        <f>IFERROR(__xludf.DUMMYFUNCTION("""COMPUTED_VALUE"""),394.0)</f>
        <v>394</v>
      </c>
      <c r="Q80" s="64"/>
      <c r="R80" s="64"/>
      <c r="S80" s="64"/>
    </row>
    <row r="81">
      <c r="A81" s="60">
        <v>45568.56047146991</v>
      </c>
      <c r="B81" s="52" t="s">
        <v>150</v>
      </c>
      <c r="C81" s="53" t="b">
        <v>0</v>
      </c>
      <c r="D81" s="53"/>
      <c r="E81" s="53"/>
      <c r="F81" s="53"/>
      <c r="G81" s="53"/>
      <c r="H81" s="53">
        <v>91.0</v>
      </c>
      <c r="I81" s="53"/>
      <c r="J81" s="53" t="s">
        <v>11</v>
      </c>
      <c r="K81" s="61">
        <v>45568.0</v>
      </c>
      <c r="L81" s="53" t="s">
        <v>137</v>
      </c>
      <c r="M81" s="53" t="s">
        <v>18</v>
      </c>
      <c r="N81" s="64" t="str">
        <f>IFERROR(__xludf.DUMMYFUNCTION("""COMPUTED_VALUE"""),"")</f>
        <v/>
      </c>
      <c r="O81" s="64" t="str">
        <f>IFERROR(__xludf.DUMMYFUNCTION("""COMPUTED_VALUE"""),"")</f>
        <v/>
      </c>
      <c r="P81" s="64" t="str">
        <f>IFERROR(__xludf.DUMMYFUNCTION("""COMPUTED_VALUE"""),"")</f>
        <v/>
      </c>
      <c r="Q81" s="64"/>
      <c r="R81" s="64"/>
      <c r="S81" s="64"/>
    </row>
    <row r="82">
      <c r="A82" s="60">
        <v>45568.6285291551</v>
      </c>
      <c r="B82" s="52" t="s">
        <v>149</v>
      </c>
      <c r="C82" s="53" t="b">
        <v>0</v>
      </c>
      <c r="D82" s="53"/>
      <c r="E82" s="53"/>
      <c r="F82" s="53"/>
      <c r="G82" s="53"/>
      <c r="H82" s="53">
        <v>165.0</v>
      </c>
      <c r="I82" s="53"/>
      <c r="J82" s="53" t="s">
        <v>11</v>
      </c>
      <c r="K82" s="61">
        <v>45568.0</v>
      </c>
      <c r="L82" s="53" t="s">
        <v>137</v>
      </c>
      <c r="M82" s="53" t="s">
        <v>19</v>
      </c>
      <c r="N82" s="64" t="str">
        <f>IFERROR(__xludf.DUMMYFUNCTION("""COMPUTED_VALUE"""),"")</f>
        <v/>
      </c>
      <c r="O82" s="64" t="str">
        <f>IFERROR(__xludf.DUMMYFUNCTION("""COMPUTED_VALUE"""),"")</f>
        <v/>
      </c>
      <c r="P82" s="64" t="str">
        <f>IFERROR(__xludf.DUMMYFUNCTION("""COMPUTED_VALUE"""),"")</f>
        <v/>
      </c>
      <c r="Q82" s="64"/>
      <c r="R82" s="64"/>
      <c r="S82" s="64"/>
    </row>
    <row r="83">
      <c r="A83" s="60">
        <v>45568.87377942129</v>
      </c>
      <c r="B83" s="52" t="s">
        <v>134</v>
      </c>
      <c r="C83" s="53" t="b">
        <v>0</v>
      </c>
      <c r="D83" s="53"/>
      <c r="E83" s="53"/>
      <c r="F83" s="53"/>
      <c r="G83" s="53"/>
      <c r="H83" s="53">
        <v>83.0</v>
      </c>
      <c r="I83" s="53"/>
      <c r="J83" s="53" t="s">
        <v>12</v>
      </c>
      <c r="K83" s="61">
        <v>45568.0</v>
      </c>
      <c r="L83" s="53" t="s">
        <v>137</v>
      </c>
      <c r="M83" s="53" t="s">
        <v>18</v>
      </c>
      <c r="N83" s="64" t="str">
        <f>IFERROR(__xludf.DUMMYFUNCTION("""COMPUTED_VALUE"""),"")</f>
        <v/>
      </c>
      <c r="O83" s="64" t="str">
        <f>IFERROR(__xludf.DUMMYFUNCTION("""COMPUTED_VALUE"""),"")</f>
        <v/>
      </c>
      <c r="P83" s="64" t="str">
        <f>IFERROR(__xludf.DUMMYFUNCTION("""COMPUTED_VALUE"""),"")</f>
        <v/>
      </c>
      <c r="Q83" s="64"/>
      <c r="R83" s="64"/>
      <c r="S83" s="64"/>
    </row>
    <row r="84">
      <c r="A84" s="60">
        <v>45568.87627254629</v>
      </c>
      <c r="B84" s="52" t="s">
        <v>148</v>
      </c>
      <c r="C84" s="53" t="b">
        <v>0</v>
      </c>
      <c r="D84" s="53"/>
      <c r="E84" s="53"/>
      <c r="F84" s="53"/>
      <c r="G84" s="53"/>
      <c r="H84" s="53">
        <v>249.0</v>
      </c>
      <c r="I84" s="53"/>
      <c r="J84" s="53" t="s">
        <v>12</v>
      </c>
      <c r="K84" s="61">
        <v>45568.0</v>
      </c>
      <c r="L84" s="53" t="s">
        <v>137</v>
      </c>
      <c r="M84" s="53" t="s">
        <v>19</v>
      </c>
      <c r="N84" s="64" t="str">
        <f>IFERROR(__xludf.DUMMYFUNCTION("""COMPUTED_VALUE"""),"")</f>
        <v/>
      </c>
      <c r="O84" s="64" t="str">
        <f>IFERROR(__xludf.DUMMYFUNCTION("""COMPUTED_VALUE"""),"")</f>
        <v/>
      </c>
      <c r="P84" s="64" t="str">
        <f>IFERROR(__xludf.DUMMYFUNCTION("""COMPUTED_VALUE"""),"")</f>
        <v/>
      </c>
      <c r="Q84" s="64"/>
      <c r="R84" s="64"/>
      <c r="S84" s="64"/>
    </row>
    <row r="85">
      <c r="A85" s="60">
        <v>45569.41708613426</v>
      </c>
      <c r="B85" s="52" t="s">
        <v>152</v>
      </c>
      <c r="C85" s="53" t="b">
        <v>0</v>
      </c>
      <c r="D85" s="53"/>
      <c r="E85" s="53"/>
      <c r="F85" s="53"/>
      <c r="G85" s="53"/>
      <c r="H85" s="53">
        <v>20.0</v>
      </c>
      <c r="I85" s="53"/>
      <c r="J85" s="53" t="s">
        <v>11</v>
      </c>
      <c r="K85" s="61">
        <v>45568.0</v>
      </c>
      <c r="L85" s="53" t="s">
        <v>137</v>
      </c>
      <c r="M85" s="53" t="s">
        <v>18</v>
      </c>
      <c r="N85" s="64">
        <f>IFERROR(__xludf.DUMMYFUNCTION("""COMPUTED_VALUE"""),194.0)</f>
        <v>194</v>
      </c>
      <c r="O85" s="64">
        <f>IFERROR(__xludf.DUMMYFUNCTION("""COMPUTED_VALUE"""),414.0)</f>
        <v>414</v>
      </c>
      <c r="P85" s="64">
        <f>IFERROR(__xludf.DUMMYFUNCTION("""COMPUTED_VALUE"""),608.0)</f>
        <v>608</v>
      </c>
      <c r="Q85" s="64"/>
      <c r="R85" s="64"/>
      <c r="S85" s="64"/>
    </row>
    <row r="86">
      <c r="A86" s="60">
        <v>45569.39198671297</v>
      </c>
      <c r="B86" s="52" t="s">
        <v>136</v>
      </c>
      <c r="C86" s="53" t="b">
        <v>0</v>
      </c>
      <c r="D86" s="53"/>
      <c r="E86" s="53"/>
      <c r="F86" s="53"/>
      <c r="G86" s="53"/>
      <c r="H86" s="53">
        <v>57.0</v>
      </c>
      <c r="I86" s="53"/>
      <c r="J86" s="53" t="s">
        <v>10</v>
      </c>
      <c r="K86" s="61">
        <v>45569.0</v>
      </c>
      <c r="L86" s="53" t="s">
        <v>138</v>
      </c>
      <c r="M86" s="53" t="s">
        <v>19</v>
      </c>
      <c r="N86" s="64" t="str">
        <f>IFERROR(__xludf.DUMMYFUNCTION("""COMPUTED_VALUE"""),"")</f>
        <v/>
      </c>
      <c r="O86" s="64" t="str">
        <f>IFERROR(__xludf.DUMMYFUNCTION("""COMPUTED_VALUE"""),"")</f>
        <v/>
      </c>
      <c r="P86" s="64" t="str">
        <f>IFERROR(__xludf.DUMMYFUNCTION("""COMPUTED_VALUE"""),"")</f>
        <v/>
      </c>
      <c r="Q86" s="64"/>
      <c r="R86" s="64"/>
      <c r="S86" s="64"/>
    </row>
    <row r="87">
      <c r="A87" s="60">
        <v>45569.48882921296</v>
      </c>
      <c r="B87" s="52" t="s">
        <v>151</v>
      </c>
      <c r="C87" s="53" t="b">
        <v>0</v>
      </c>
      <c r="D87" s="53"/>
      <c r="E87" s="53"/>
      <c r="F87" s="53"/>
      <c r="G87" s="53"/>
      <c r="H87" s="53">
        <v>104.0</v>
      </c>
      <c r="I87" s="53"/>
      <c r="J87" s="53" t="s">
        <v>13</v>
      </c>
      <c r="K87" s="61">
        <v>45569.0</v>
      </c>
      <c r="L87" s="53" t="s">
        <v>138</v>
      </c>
      <c r="M87" s="53" t="s">
        <v>19</v>
      </c>
      <c r="N87" s="64" t="str">
        <f>IFERROR(__xludf.DUMMYFUNCTION("""COMPUTED_VALUE"""),"")</f>
        <v/>
      </c>
      <c r="O87" s="64" t="str">
        <f>IFERROR(__xludf.DUMMYFUNCTION("""COMPUTED_VALUE"""),"")</f>
        <v/>
      </c>
      <c r="P87" s="64" t="str">
        <f>IFERROR(__xludf.DUMMYFUNCTION("""COMPUTED_VALUE"""),"")</f>
        <v/>
      </c>
      <c r="Q87" s="64"/>
      <c r="R87" s="64"/>
      <c r="S87" s="64"/>
    </row>
    <row r="88">
      <c r="A88" s="60">
        <v>45569.6028175463</v>
      </c>
      <c r="B88" s="52" t="s">
        <v>130</v>
      </c>
      <c r="C88" s="53" t="b">
        <v>0</v>
      </c>
      <c r="D88" s="53"/>
      <c r="E88" s="53"/>
      <c r="F88" s="53"/>
      <c r="G88" s="53"/>
      <c r="H88" s="53">
        <v>97.0</v>
      </c>
      <c r="I88" s="53"/>
      <c r="J88" s="53" t="s">
        <v>11</v>
      </c>
      <c r="K88" s="61">
        <v>45569.0</v>
      </c>
      <c r="L88" s="53" t="s">
        <v>138</v>
      </c>
      <c r="M88" s="53" t="s">
        <v>18</v>
      </c>
      <c r="N88" s="64" t="str">
        <f>IFERROR(__xludf.DUMMYFUNCTION("""COMPUTED_VALUE"""),"")</f>
        <v/>
      </c>
      <c r="O88" s="64" t="str">
        <f>IFERROR(__xludf.DUMMYFUNCTION("""COMPUTED_VALUE"""),"")</f>
        <v/>
      </c>
      <c r="P88" s="64" t="str">
        <f>IFERROR(__xludf.DUMMYFUNCTION("""COMPUTED_VALUE"""),"")</f>
        <v/>
      </c>
      <c r="Q88" s="64"/>
      <c r="R88" s="64"/>
      <c r="S88" s="64"/>
    </row>
    <row r="89">
      <c r="A89" s="60">
        <v>45569.83277579861</v>
      </c>
      <c r="B89" s="52" t="s">
        <v>148</v>
      </c>
      <c r="C89" s="53" t="b">
        <v>0</v>
      </c>
      <c r="D89" s="53"/>
      <c r="E89" s="53"/>
      <c r="F89" s="53"/>
      <c r="G89" s="53"/>
      <c r="H89" s="53">
        <v>208.0</v>
      </c>
      <c r="I89" s="53"/>
      <c r="J89" s="53" t="s">
        <v>12</v>
      </c>
      <c r="K89" s="61">
        <v>45569.0</v>
      </c>
      <c r="L89" s="53" t="s">
        <v>138</v>
      </c>
      <c r="M89" s="53" t="s">
        <v>18</v>
      </c>
      <c r="N89" s="64" t="str">
        <f>IFERROR(__xludf.DUMMYFUNCTION("""COMPUTED_VALUE"""),"")</f>
        <v/>
      </c>
      <c r="O89" s="64" t="str">
        <f>IFERROR(__xludf.DUMMYFUNCTION("""COMPUTED_VALUE"""),"")</f>
        <v/>
      </c>
      <c r="P89" s="64" t="str">
        <f>IFERROR(__xludf.DUMMYFUNCTION("""COMPUTED_VALUE"""),"")</f>
        <v/>
      </c>
      <c r="Q89" s="64"/>
      <c r="R89" s="64"/>
      <c r="S89" s="64"/>
    </row>
    <row r="90">
      <c r="A90" s="60">
        <v>45569.84868024306</v>
      </c>
      <c r="B90" s="52" t="s">
        <v>151</v>
      </c>
      <c r="C90" s="53" t="b">
        <v>0</v>
      </c>
      <c r="D90" s="53"/>
      <c r="E90" s="53"/>
      <c r="F90" s="53"/>
      <c r="G90" s="53"/>
      <c r="H90" s="53">
        <v>37.0</v>
      </c>
      <c r="I90" s="53"/>
      <c r="J90" s="53" t="s">
        <v>11</v>
      </c>
      <c r="K90" s="61">
        <v>45569.0</v>
      </c>
      <c r="L90" s="53" t="s">
        <v>138</v>
      </c>
      <c r="M90" s="53" t="s">
        <v>19</v>
      </c>
      <c r="N90" s="64">
        <f>IFERROR(__xludf.DUMMYFUNCTION("""COMPUTED_VALUE"""),305.0)</f>
        <v>305</v>
      </c>
      <c r="O90" s="64">
        <f>IFERROR(__xludf.DUMMYFUNCTION("""COMPUTED_VALUE"""),198.0)</f>
        <v>198</v>
      </c>
      <c r="P90" s="64">
        <f>IFERROR(__xludf.DUMMYFUNCTION("""COMPUTED_VALUE"""),503.0)</f>
        <v>503</v>
      </c>
      <c r="Q90" s="64"/>
      <c r="R90" s="64"/>
      <c r="S90" s="64"/>
    </row>
    <row r="91">
      <c r="A91" s="60">
        <v>45572.43347887731</v>
      </c>
      <c r="B91" s="52" t="s">
        <v>136</v>
      </c>
      <c r="C91" s="53" t="b">
        <v>0</v>
      </c>
      <c r="D91" s="53"/>
      <c r="E91" s="53"/>
      <c r="F91" s="53"/>
      <c r="G91" s="53"/>
      <c r="H91" s="53">
        <v>77.0</v>
      </c>
      <c r="I91" s="53"/>
      <c r="J91" s="53" t="s">
        <v>10</v>
      </c>
      <c r="K91" s="61">
        <v>45572.0</v>
      </c>
      <c r="L91" s="53" t="s">
        <v>129</v>
      </c>
      <c r="M91" s="53" t="s">
        <v>19</v>
      </c>
      <c r="N91" s="64" t="str">
        <f>IFERROR(__xludf.DUMMYFUNCTION("""COMPUTED_VALUE"""),"")</f>
        <v/>
      </c>
      <c r="O91" s="64" t="str">
        <f>IFERROR(__xludf.DUMMYFUNCTION("""COMPUTED_VALUE"""),"")</f>
        <v/>
      </c>
      <c r="P91" s="64" t="str">
        <f>IFERROR(__xludf.DUMMYFUNCTION("""COMPUTED_VALUE"""),"")</f>
        <v/>
      </c>
      <c r="Q91" s="64"/>
      <c r="R91" s="64"/>
      <c r="S91" s="64"/>
    </row>
    <row r="92">
      <c r="A92" s="60">
        <v>45572.49977847222</v>
      </c>
      <c r="B92" s="52" t="s">
        <v>130</v>
      </c>
      <c r="C92" s="53" t="b">
        <v>0</v>
      </c>
      <c r="D92" s="53"/>
      <c r="E92" s="53"/>
      <c r="F92" s="53"/>
      <c r="G92" s="53"/>
      <c r="H92" s="53">
        <v>5.0</v>
      </c>
      <c r="I92" s="53"/>
      <c r="J92" s="53" t="s">
        <v>11</v>
      </c>
      <c r="K92" s="61">
        <v>45572.0</v>
      </c>
      <c r="L92" s="53" t="s">
        <v>129</v>
      </c>
      <c r="M92" s="53" t="s">
        <v>18</v>
      </c>
      <c r="N92" s="64" t="str">
        <f>IFERROR(__xludf.DUMMYFUNCTION("""COMPUTED_VALUE"""),"")</f>
        <v/>
      </c>
      <c r="O92" s="64" t="str">
        <f>IFERROR(__xludf.DUMMYFUNCTION("""COMPUTED_VALUE"""),"")</f>
        <v/>
      </c>
      <c r="P92" s="64" t="str">
        <f>IFERROR(__xludf.DUMMYFUNCTION("""COMPUTED_VALUE"""),"")</f>
        <v/>
      </c>
      <c r="Q92" s="64"/>
      <c r="R92" s="64"/>
      <c r="S92" s="64"/>
    </row>
    <row r="93">
      <c r="A93" s="60">
        <v>45572.54378520833</v>
      </c>
      <c r="B93" s="52" t="s">
        <v>134</v>
      </c>
      <c r="C93" s="53" t="b">
        <v>0</v>
      </c>
      <c r="D93" s="53"/>
      <c r="E93" s="53"/>
      <c r="F93" s="53"/>
      <c r="G93" s="53"/>
      <c r="H93" s="53">
        <v>109.0</v>
      </c>
      <c r="I93" s="53"/>
      <c r="J93" s="53" t="s">
        <v>11</v>
      </c>
      <c r="K93" s="61">
        <v>45572.0</v>
      </c>
      <c r="L93" s="53" t="s">
        <v>129</v>
      </c>
      <c r="M93" s="53" t="s">
        <v>19</v>
      </c>
      <c r="N93" s="64" t="str">
        <f>IFERROR(__xludf.DUMMYFUNCTION("""COMPUTED_VALUE"""),"")</f>
        <v/>
      </c>
      <c r="O93" s="64" t="str">
        <f>IFERROR(__xludf.DUMMYFUNCTION("""COMPUTED_VALUE"""),"")</f>
        <v/>
      </c>
      <c r="P93" s="64" t="str">
        <f>IFERROR(__xludf.DUMMYFUNCTION("""COMPUTED_VALUE"""),"")</f>
        <v/>
      </c>
      <c r="Q93" s="64"/>
      <c r="R93" s="64"/>
      <c r="S93" s="64"/>
    </row>
    <row r="94">
      <c r="A94" s="60">
        <v>45572.60619048611</v>
      </c>
      <c r="B94" s="52" t="s">
        <v>149</v>
      </c>
      <c r="C94" s="53" t="b">
        <v>0</v>
      </c>
      <c r="D94" s="53"/>
      <c r="E94" s="53"/>
      <c r="F94" s="53"/>
      <c r="G94" s="53"/>
      <c r="H94" s="53">
        <v>74.0</v>
      </c>
      <c r="I94" s="53"/>
      <c r="J94" s="53" t="s">
        <v>11</v>
      </c>
      <c r="K94" s="61">
        <v>45572.0</v>
      </c>
      <c r="L94" s="53" t="s">
        <v>129</v>
      </c>
      <c r="M94" s="53" t="s">
        <v>19</v>
      </c>
      <c r="N94" s="64" t="str">
        <f>IFERROR(__xludf.DUMMYFUNCTION("""COMPUTED_VALUE"""),"")</f>
        <v/>
      </c>
      <c r="O94" s="64" t="str">
        <f>IFERROR(__xludf.DUMMYFUNCTION("""COMPUTED_VALUE"""),"")</f>
        <v/>
      </c>
      <c r="P94" s="64" t="str">
        <f>IFERROR(__xludf.DUMMYFUNCTION("""COMPUTED_VALUE"""),"")</f>
        <v/>
      </c>
      <c r="Q94" s="64"/>
      <c r="R94" s="64"/>
      <c r="S94" s="64"/>
    </row>
    <row r="95">
      <c r="A95" s="60">
        <v>45572.64530560185</v>
      </c>
      <c r="B95" s="52" t="s">
        <v>148</v>
      </c>
      <c r="C95" s="53" t="b">
        <v>0</v>
      </c>
      <c r="D95" s="53"/>
      <c r="E95" s="53"/>
      <c r="F95" s="53"/>
      <c r="G95" s="53"/>
      <c r="H95" s="53">
        <v>129.0</v>
      </c>
      <c r="I95" s="53"/>
      <c r="J95" s="53" t="s">
        <v>11</v>
      </c>
      <c r="K95" s="61">
        <v>45572.0</v>
      </c>
      <c r="L95" s="53" t="s">
        <v>129</v>
      </c>
      <c r="M95" s="53" t="s">
        <v>18</v>
      </c>
      <c r="N95" s="64">
        <f>IFERROR(__xludf.DUMMYFUNCTION("""COMPUTED_VALUE"""),134.0)</f>
        <v>134</v>
      </c>
      <c r="O95" s="64">
        <f>IFERROR(__xludf.DUMMYFUNCTION("""COMPUTED_VALUE"""),260.0)</f>
        <v>260</v>
      </c>
      <c r="P95" s="64">
        <f>IFERROR(__xludf.DUMMYFUNCTION("""COMPUTED_VALUE"""),394.0)</f>
        <v>394</v>
      </c>
      <c r="Q95" s="64"/>
      <c r="R95" s="64"/>
      <c r="S95" s="64"/>
    </row>
    <row r="96">
      <c r="A96" s="60">
        <v>45573.41651083333</v>
      </c>
      <c r="B96" s="52" t="s">
        <v>153</v>
      </c>
      <c r="C96" s="53" t="b">
        <v>0</v>
      </c>
      <c r="D96" s="53"/>
      <c r="E96" s="53"/>
      <c r="F96" s="53"/>
      <c r="G96" s="53"/>
      <c r="H96" s="53">
        <v>66.0</v>
      </c>
      <c r="I96" s="53"/>
      <c r="J96" s="53" t="s">
        <v>10</v>
      </c>
      <c r="K96" s="61">
        <v>45573.0</v>
      </c>
      <c r="L96" s="53" t="s">
        <v>132</v>
      </c>
      <c r="M96" s="53" t="s">
        <v>19</v>
      </c>
      <c r="N96" s="64" t="str">
        <f>IFERROR(__xludf.DUMMYFUNCTION("""COMPUTED_VALUE"""),"")</f>
        <v/>
      </c>
      <c r="O96" s="64" t="str">
        <f>IFERROR(__xludf.DUMMYFUNCTION("""COMPUTED_VALUE"""),"")</f>
        <v/>
      </c>
      <c r="P96" s="64" t="str">
        <f>IFERROR(__xludf.DUMMYFUNCTION("""COMPUTED_VALUE"""),"")</f>
        <v/>
      </c>
      <c r="Q96" s="64"/>
      <c r="R96" s="64"/>
      <c r="S96" s="64"/>
    </row>
    <row r="97">
      <c r="A97" s="60">
        <v>45573.5609447338</v>
      </c>
      <c r="B97" s="52" t="s">
        <v>150</v>
      </c>
      <c r="C97" s="53" t="b">
        <v>0</v>
      </c>
      <c r="D97" s="53"/>
      <c r="E97" s="53"/>
      <c r="F97" s="53"/>
      <c r="G97" s="53"/>
      <c r="H97" s="53">
        <v>68.0</v>
      </c>
      <c r="I97" s="53"/>
      <c r="J97" s="53" t="s">
        <v>11</v>
      </c>
      <c r="K97" s="61">
        <v>45573.0</v>
      </c>
      <c r="L97" s="53" t="s">
        <v>132</v>
      </c>
      <c r="M97" s="53" t="s">
        <v>18</v>
      </c>
      <c r="N97" s="64" t="str">
        <f>IFERROR(__xludf.DUMMYFUNCTION("""COMPUTED_VALUE"""),"")</f>
        <v/>
      </c>
      <c r="O97" s="64" t="str">
        <f>IFERROR(__xludf.DUMMYFUNCTION("""COMPUTED_VALUE"""),"")</f>
        <v/>
      </c>
      <c r="P97" s="64" t="str">
        <f>IFERROR(__xludf.DUMMYFUNCTION("""COMPUTED_VALUE"""),"")</f>
        <v/>
      </c>
      <c r="Q97" s="64"/>
      <c r="R97" s="64"/>
      <c r="S97" s="64"/>
    </row>
    <row r="98">
      <c r="A98" s="60">
        <v>45573.62546179398</v>
      </c>
      <c r="B98" s="52" t="s">
        <v>139</v>
      </c>
      <c r="C98" s="53" t="b">
        <v>0</v>
      </c>
      <c r="D98" s="53"/>
      <c r="E98" s="53"/>
      <c r="F98" s="53"/>
      <c r="G98" s="53"/>
      <c r="H98" s="53">
        <v>92.0</v>
      </c>
      <c r="I98" s="53"/>
      <c r="J98" s="53" t="s">
        <v>11</v>
      </c>
      <c r="K98" s="61">
        <v>45573.0</v>
      </c>
      <c r="L98" s="53" t="s">
        <v>132</v>
      </c>
      <c r="M98" s="53" t="s">
        <v>19</v>
      </c>
      <c r="N98" s="64" t="str">
        <f>IFERROR(__xludf.DUMMYFUNCTION("""COMPUTED_VALUE"""),"")</f>
        <v/>
      </c>
      <c r="O98" s="64" t="str">
        <f>IFERROR(__xludf.DUMMYFUNCTION("""COMPUTED_VALUE"""),"")</f>
        <v/>
      </c>
      <c r="P98" s="64" t="str">
        <f>IFERROR(__xludf.DUMMYFUNCTION("""COMPUTED_VALUE"""),"")</f>
        <v/>
      </c>
      <c r="Q98" s="64"/>
      <c r="R98" s="64"/>
      <c r="S98" s="64"/>
    </row>
    <row r="99">
      <c r="A99" s="60">
        <v>45573.77034628472</v>
      </c>
      <c r="B99" s="52" t="s">
        <v>149</v>
      </c>
      <c r="C99" s="53" t="b">
        <v>0</v>
      </c>
      <c r="D99" s="53"/>
      <c r="E99" s="53"/>
      <c r="F99" s="53"/>
      <c r="G99" s="53"/>
      <c r="H99" s="53">
        <v>75.0</v>
      </c>
      <c r="I99" s="53"/>
      <c r="J99" s="53" t="s">
        <v>12</v>
      </c>
      <c r="K99" s="61">
        <v>45573.0</v>
      </c>
      <c r="L99" s="53" t="s">
        <v>132</v>
      </c>
      <c r="M99" s="53" t="s">
        <v>19</v>
      </c>
      <c r="N99" s="64" t="str">
        <f>IFERROR(__xludf.DUMMYFUNCTION("""COMPUTED_VALUE"""),"")</f>
        <v/>
      </c>
      <c r="O99" s="64" t="str">
        <f>IFERROR(__xludf.DUMMYFUNCTION("""COMPUTED_VALUE"""),"")</f>
        <v/>
      </c>
      <c r="P99" s="64" t="str">
        <f>IFERROR(__xludf.DUMMYFUNCTION("""COMPUTED_VALUE"""),"")</f>
        <v/>
      </c>
      <c r="Q99" s="64"/>
      <c r="R99" s="64"/>
      <c r="S99" s="64"/>
    </row>
    <row r="100">
      <c r="A100" s="60">
        <v>45573.87598920139</v>
      </c>
      <c r="B100" s="52" t="s">
        <v>149</v>
      </c>
      <c r="C100" s="53" t="b">
        <v>0</v>
      </c>
      <c r="D100" s="53"/>
      <c r="E100" s="53"/>
      <c r="F100" s="53"/>
      <c r="G100" s="53"/>
      <c r="H100" s="53">
        <v>88.0</v>
      </c>
      <c r="I100" s="53"/>
      <c r="J100" s="53" t="s">
        <v>12</v>
      </c>
      <c r="K100" s="61">
        <v>45573.0</v>
      </c>
      <c r="L100" s="53" t="s">
        <v>132</v>
      </c>
      <c r="M100" s="53" t="s">
        <v>19</v>
      </c>
      <c r="N100" s="64">
        <f>IFERROR(__xludf.DUMMYFUNCTION("""COMPUTED_VALUE"""),68.0)</f>
        <v>68</v>
      </c>
      <c r="O100" s="64">
        <f>IFERROR(__xludf.DUMMYFUNCTION("""COMPUTED_VALUE"""),321.0)</f>
        <v>321</v>
      </c>
      <c r="P100" s="64">
        <f>IFERROR(__xludf.DUMMYFUNCTION("""COMPUTED_VALUE"""),389.0)</f>
        <v>389</v>
      </c>
      <c r="Q100" s="64"/>
      <c r="R100" s="64"/>
      <c r="S100" s="64"/>
    </row>
    <row r="101">
      <c r="A101" s="60">
        <v>45574.43019420139</v>
      </c>
      <c r="B101" s="52" t="s">
        <v>136</v>
      </c>
      <c r="C101" s="53" t="b">
        <v>0</v>
      </c>
      <c r="D101" s="53"/>
      <c r="E101" s="53"/>
      <c r="F101" s="53"/>
      <c r="G101" s="53"/>
      <c r="H101" s="53">
        <v>71.0</v>
      </c>
      <c r="I101" s="53"/>
      <c r="J101" s="53" t="s">
        <v>10</v>
      </c>
      <c r="K101" s="61">
        <v>45574.0</v>
      </c>
      <c r="L101" s="53" t="s">
        <v>135</v>
      </c>
      <c r="M101" s="53" t="s">
        <v>19</v>
      </c>
      <c r="N101" s="64" t="str">
        <f>IFERROR(__xludf.DUMMYFUNCTION("""COMPUTED_VALUE"""),"")</f>
        <v/>
      </c>
      <c r="O101" s="64" t="str">
        <f>IFERROR(__xludf.DUMMYFUNCTION("""COMPUTED_VALUE"""),"")</f>
        <v/>
      </c>
      <c r="P101" s="64" t="str">
        <f>IFERROR(__xludf.DUMMYFUNCTION("""COMPUTED_VALUE"""),"")</f>
        <v/>
      </c>
      <c r="Q101" s="64"/>
      <c r="R101" s="64"/>
      <c r="S101" s="64"/>
    </row>
    <row r="102">
      <c r="A102" s="60">
        <v>45574.60536373842</v>
      </c>
      <c r="B102" s="52" t="s">
        <v>148</v>
      </c>
      <c r="C102" s="53" t="b">
        <v>0</v>
      </c>
      <c r="D102" s="53"/>
      <c r="E102" s="53"/>
      <c r="F102" s="53"/>
      <c r="G102" s="53"/>
      <c r="H102" s="53">
        <v>129.0</v>
      </c>
      <c r="I102" s="53"/>
      <c r="J102" s="53" t="s">
        <v>11</v>
      </c>
      <c r="K102" s="61">
        <v>45574.0</v>
      </c>
      <c r="L102" s="53" t="s">
        <v>135</v>
      </c>
      <c r="M102" s="53" t="s">
        <v>18</v>
      </c>
      <c r="N102" s="64" t="str">
        <f>IFERROR(__xludf.DUMMYFUNCTION("""COMPUTED_VALUE"""),"")</f>
        <v/>
      </c>
      <c r="O102" s="64" t="str">
        <f>IFERROR(__xludf.DUMMYFUNCTION("""COMPUTED_VALUE"""),"")</f>
        <v/>
      </c>
      <c r="P102" s="64" t="str">
        <f>IFERROR(__xludf.DUMMYFUNCTION("""COMPUTED_VALUE"""),"")</f>
        <v/>
      </c>
      <c r="Q102" s="64"/>
      <c r="R102" s="64"/>
      <c r="S102" s="64"/>
    </row>
    <row r="103">
      <c r="A103" s="60">
        <v>45574.62770040509</v>
      </c>
      <c r="B103" s="52" t="s">
        <v>149</v>
      </c>
      <c r="C103" s="53" t="b">
        <v>0</v>
      </c>
      <c r="D103" s="53"/>
      <c r="E103" s="53"/>
      <c r="F103" s="53"/>
      <c r="G103" s="53"/>
      <c r="H103" s="53">
        <v>118.0</v>
      </c>
      <c r="I103" s="53"/>
      <c r="J103" s="53" t="s">
        <v>11</v>
      </c>
      <c r="K103" s="61">
        <v>45574.0</v>
      </c>
      <c r="L103" s="53" t="s">
        <v>135</v>
      </c>
      <c r="M103" s="53" t="s">
        <v>19</v>
      </c>
      <c r="N103" s="64" t="str">
        <f>IFERROR(__xludf.DUMMYFUNCTION("""COMPUTED_VALUE"""),"")</f>
        <v/>
      </c>
      <c r="O103" s="64" t="str">
        <f>IFERROR(__xludf.DUMMYFUNCTION("""COMPUTED_VALUE"""),"")</f>
        <v/>
      </c>
      <c r="P103" s="64" t="str">
        <f>IFERROR(__xludf.DUMMYFUNCTION("""COMPUTED_VALUE"""),"")</f>
        <v/>
      </c>
      <c r="Q103" s="64"/>
      <c r="R103" s="64"/>
      <c r="S103" s="64"/>
    </row>
    <row r="104">
      <c r="A104" s="60">
        <v>45574.64550340277</v>
      </c>
      <c r="B104" s="52" t="s">
        <v>148</v>
      </c>
      <c r="C104" s="53" t="b">
        <v>0</v>
      </c>
      <c r="D104" s="53"/>
      <c r="E104" s="53"/>
      <c r="F104" s="53"/>
      <c r="G104" s="53"/>
      <c r="H104" s="53">
        <v>42.0</v>
      </c>
      <c r="I104" s="53"/>
      <c r="J104" s="53" t="s">
        <v>11</v>
      </c>
      <c r="K104" s="61">
        <v>45574.0</v>
      </c>
      <c r="L104" s="53" t="s">
        <v>135</v>
      </c>
      <c r="M104" s="53" t="s">
        <v>18</v>
      </c>
      <c r="N104" s="64" t="str">
        <f>IFERROR(__xludf.DUMMYFUNCTION("""COMPUTED_VALUE"""),"")</f>
        <v/>
      </c>
      <c r="O104" s="64" t="str">
        <f>IFERROR(__xludf.DUMMYFUNCTION("""COMPUTED_VALUE"""),"")</f>
        <v/>
      </c>
      <c r="P104" s="64" t="str">
        <f>IFERROR(__xludf.DUMMYFUNCTION("""COMPUTED_VALUE"""),"")</f>
        <v/>
      </c>
      <c r="Q104" s="64"/>
      <c r="R104" s="64"/>
      <c r="S104" s="64"/>
    </row>
    <row r="105">
      <c r="A105" s="60">
        <v>45574.78790100694</v>
      </c>
      <c r="B105" s="52" t="s">
        <v>150</v>
      </c>
      <c r="C105" s="53" t="b">
        <v>0</v>
      </c>
      <c r="D105" s="53"/>
      <c r="E105" s="53"/>
      <c r="F105" s="53"/>
      <c r="G105" s="53"/>
      <c r="H105" s="53">
        <v>32.0</v>
      </c>
      <c r="I105" s="53"/>
      <c r="J105" s="53" t="s">
        <v>12</v>
      </c>
      <c r="K105" s="61">
        <v>45574.0</v>
      </c>
      <c r="L105" s="53" t="s">
        <v>135</v>
      </c>
      <c r="M105" s="53" t="s">
        <v>19</v>
      </c>
      <c r="N105" s="64" t="str">
        <f>IFERROR(__xludf.DUMMYFUNCTION("""COMPUTED_VALUE"""),"")</f>
        <v/>
      </c>
      <c r="O105" s="64" t="str">
        <f>IFERROR(__xludf.DUMMYFUNCTION("""COMPUTED_VALUE"""),"")</f>
        <v/>
      </c>
      <c r="P105" s="64" t="str">
        <f>IFERROR(__xludf.DUMMYFUNCTION("""COMPUTED_VALUE"""),"")</f>
        <v/>
      </c>
      <c r="Q105" s="64"/>
      <c r="R105" s="64"/>
      <c r="S105" s="64"/>
    </row>
    <row r="106">
      <c r="A106" s="60">
        <v>45575.40993663194</v>
      </c>
      <c r="B106" s="52" t="s">
        <v>151</v>
      </c>
      <c r="C106" s="53" t="b">
        <v>0</v>
      </c>
      <c r="D106" s="53"/>
      <c r="E106" s="53"/>
      <c r="F106" s="53"/>
      <c r="G106" s="53"/>
      <c r="H106" s="53">
        <v>34.0</v>
      </c>
      <c r="I106" s="53"/>
      <c r="J106" s="53" t="s">
        <v>12</v>
      </c>
      <c r="K106" s="61">
        <v>45574.0</v>
      </c>
      <c r="L106" s="53" t="s">
        <v>135</v>
      </c>
      <c r="M106" s="53" t="s">
        <v>19</v>
      </c>
      <c r="N106" s="64">
        <f>IFERROR(__xludf.DUMMYFUNCTION("""COMPUTED_VALUE"""),171.0)</f>
        <v>171</v>
      </c>
      <c r="O106" s="64">
        <f>IFERROR(__xludf.DUMMYFUNCTION("""COMPUTED_VALUE"""),255.0)</f>
        <v>255</v>
      </c>
      <c r="P106" s="64">
        <f>IFERROR(__xludf.DUMMYFUNCTION("""COMPUTED_VALUE"""),426.0)</f>
        <v>426</v>
      </c>
      <c r="Q106" s="64"/>
      <c r="R106" s="64"/>
      <c r="S106" s="64"/>
    </row>
    <row r="107">
      <c r="A107" s="60">
        <v>45575.56033302083</v>
      </c>
      <c r="B107" s="52" t="s">
        <v>150</v>
      </c>
      <c r="C107" s="53" t="b">
        <v>0</v>
      </c>
      <c r="D107" s="53"/>
      <c r="E107" s="53"/>
      <c r="F107" s="53"/>
      <c r="G107" s="53"/>
      <c r="H107" s="53">
        <v>64.0</v>
      </c>
      <c r="I107" s="53"/>
      <c r="J107" s="53" t="s">
        <v>11</v>
      </c>
      <c r="K107" s="61">
        <v>45575.0</v>
      </c>
      <c r="L107" s="53" t="s">
        <v>137</v>
      </c>
      <c r="M107" s="53" t="s">
        <v>18</v>
      </c>
      <c r="N107" s="64" t="str">
        <f>IFERROR(__xludf.DUMMYFUNCTION("""COMPUTED_VALUE"""),"")</f>
        <v/>
      </c>
      <c r="O107" s="64" t="str">
        <f>IFERROR(__xludf.DUMMYFUNCTION("""COMPUTED_VALUE"""),"")</f>
        <v/>
      </c>
      <c r="P107" s="64" t="str">
        <f>IFERROR(__xludf.DUMMYFUNCTION("""COMPUTED_VALUE"""),"")</f>
        <v/>
      </c>
      <c r="Q107" s="64"/>
      <c r="R107" s="64"/>
      <c r="S107" s="64"/>
    </row>
    <row r="108">
      <c r="A108" s="60">
        <v>45575.63030975695</v>
      </c>
      <c r="B108" s="52" t="s">
        <v>149</v>
      </c>
      <c r="C108" s="53" t="b">
        <v>0</v>
      </c>
      <c r="D108" s="53"/>
      <c r="E108" s="53"/>
      <c r="F108" s="53"/>
      <c r="G108" s="53"/>
      <c r="H108" s="53">
        <v>175.0</v>
      </c>
      <c r="I108" s="53"/>
      <c r="J108" s="53" t="s">
        <v>11</v>
      </c>
      <c r="K108" s="61">
        <v>45575.0</v>
      </c>
      <c r="L108" s="53" t="s">
        <v>137</v>
      </c>
      <c r="M108" s="53" t="s">
        <v>19</v>
      </c>
      <c r="N108" s="64" t="str">
        <f>IFERROR(__xludf.DUMMYFUNCTION("""COMPUTED_VALUE"""),"")</f>
        <v/>
      </c>
      <c r="O108" s="64" t="str">
        <f>IFERROR(__xludf.DUMMYFUNCTION("""COMPUTED_VALUE"""),"")</f>
        <v/>
      </c>
      <c r="P108" s="64" t="str">
        <f>IFERROR(__xludf.DUMMYFUNCTION("""COMPUTED_VALUE"""),"")</f>
        <v/>
      </c>
      <c r="Q108" s="64"/>
      <c r="R108" s="64"/>
      <c r="S108" s="64"/>
    </row>
    <row r="109">
      <c r="A109" s="60">
        <v>45575.73468678241</v>
      </c>
      <c r="B109" s="52" t="s">
        <v>153</v>
      </c>
      <c r="C109" s="53" t="b">
        <v>0</v>
      </c>
      <c r="D109" s="53"/>
      <c r="E109" s="53"/>
      <c r="F109" s="53"/>
      <c r="G109" s="53"/>
      <c r="H109" s="53">
        <v>71.0</v>
      </c>
      <c r="I109" s="53"/>
      <c r="J109" s="53" t="s">
        <v>10</v>
      </c>
      <c r="K109" s="61">
        <v>45575.0</v>
      </c>
      <c r="L109" s="53" t="s">
        <v>137</v>
      </c>
      <c r="M109" s="53" t="s">
        <v>19</v>
      </c>
      <c r="N109" s="64" t="str">
        <f>IFERROR(__xludf.DUMMYFUNCTION("""COMPUTED_VALUE"""),"")</f>
        <v/>
      </c>
      <c r="O109" s="64" t="str">
        <f>IFERROR(__xludf.DUMMYFUNCTION("""COMPUTED_VALUE"""),"")</f>
        <v/>
      </c>
      <c r="P109" s="64" t="str">
        <f>IFERROR(__xludf.DUMMYFUNCTION("""COMPUTED_VALUE"""),"")</f>
        <v/>
      </c>
      <c r="Q109" s="64"/>
      <c r="R109" s="64"/>
      <c r="S109" s="64"/>
    </row>
    <row r="110">
      <c r="A110" s="60">
        <v>45575.86891693287</v>
      </c>
      <c r="B110" s="52" t="s">
        <v>148</v>
      </c>
      <c r="C110" s="53" t="b">
        <v>0</v>
      </c>
      <c r="D110" s="53"/>
      <c r="E110" s="53"/>
      <c r="F110" s="53"/>
      <c r="G110" s="53"/>
      <c r="H110" s="53">
        <v>189.0</v>
      </c>
      <c r="I110" s="53"/>
      <c r="J110" s="53" t="s">
        <v>12</v>
      </c>
      <c r="K110" s="61">
        <v>45575.0</v>
      </c>
      <c r="L110" s="53" t="s">
        <v>137</v>
      </c>
      <c r="M110" s="53" t="s">
        <v>19</v>
      </c>
      <c r="N110" s="64">
        <f>IFERROR(__xludf.DUMMYFUNCTION("""COMPUTED_VALUE"""),64.0)</f>
        <v>64</v>
      </c>
      <c r="O110" s="64">
        <f>IFERROR(__xludf.DUMMYFUNCTION("""COMPUTED_VALUE"""),435.0)</f>
        <v>435</v>
      </c>
      <c r="P110" s="64">
        <f>IFERROR(__xludf.DUMMYFUNCTION("""COMPUTED_VALUE"""),499.0)</f>
        <v>499</v>
      </c>
      <c r="Q110" s="64"/>
      <c r="R110" s="64"/>
      <c r="S110" s="64"/>
    </row>
    <row r="111">
      <c r="A111" s="60">
        <v>45576.37869171296</v>
      </c>
      <c r="B111" s="52" t="s">
        <v>136</v>
      </c>
      <c r="C111" s="53" t="b">
        <v>0</v>
      </c>
      <c r="D111" s="53"/>
      <c r="E111" s="53"/>
      <c r="F111" s="53"/>
      <c r="G111" s="53"/>
      <c r="H111" s="53">
        <v>51.0</v>
      </c>
      <c r="I111" s="53"/>
      <c r="J111" s="53" t="s">
        <v>10</v>
      </c>
      <c r="K111" s="61">
        <v>45576.0</v>
      </c>
      <c r="L111" s="53" t="s">
        <v>138</v>
      </c>
      <c r="M111" s="53" t="s">
        <v>19</v>
      </c>
      <c r="N111" s="64" t="str">
        <f>IFERROR(__xludf.DUMMYFUNCTION("""COMPUTED_VALUE"""),"")</f>
        <v/>
      </c>
      <c r="O111" s="64" t="str">
        <f>IFERROR(__xludf.DUMMYFUNCTION("""COMPUTED_VALUE"""),"")</f>
        <v/>
      </c>
      <c r="P111" s="64" t="str">
        <f>IFERROR(__xludf.DUMMYFUNCTION("""COMPUTED_VALUE"""),"")</f>
        <v/>
      </c>
      <c r="Q111" s="64"/>
      <c r="R111" s="64"/>
      <c r="S111" s="64"/>
    </row>
    <row r="112">
      <c r="A112" s="60">
        <v>45576.66118814815</v>
      </c>
      <c r="B112" s="52" t="s">
        <v>130</v>
      </c>
      <c r="C112" s="53" t="b">
        <v>0</v>
      </c>
      <c r="D112" s="53"/>
      <c r="E112" s="53"/>
      <c r="F112" s="53"/>
      <c r="G112" s="53"/>
      <c r="H112" s="53">
        <v>124.0</v>
      </c>
      <c r="I112" s="53"/>
      <c r="J112" s="53" t="s">
        <v>11</v>
      </c>
      <c r="K112" s="61">
        <v>45576.0</v>
      </c>
      <c r="L112" s="53" t="s">
        <v>138</v>
      </c>
      <c r="M112" s="53" t="s">
        <v>18</v>
      </c>
      <c r="N112" s="64" t="str">
        <f>IFERROR(__xludf.DUMMYFUNCTION("""COMPUTED_VALUE"""),"")</f>
        <v/>
      </c>
      <c r="O112" s="64" t="str">
        <f>IFERROR(__xludf.DUMMYFUNCTION("""COMPUTED_VALUE"""),"")</f>
        <v/>
      </c>
      <c r="P112" s="64" t="str">
        <f>IFERROR(__xludf.DUMMYFUNCTION("""COMPUTED_VALUE"""),"")</f>
        <v/>
      </c>
      <c r="Q112" s="64"/>
      <c r="R112" s="64"/>
      <c r="S112" s="64"/>
    </row>
    <row r="113">
      <c r="A113" s="60">
        <v>45576.82828991898</v>
      </c>
      <c r="B113" s="52" t="s">
        <v>148</v>
      </c>
      <c r="C113" s="53" t="b">
        <v>0</v>
      </c>
      <c r="D113" s="53"/>
      <c r="E113" s="53"/>
      <c r="F113" s="53"/>
      <c r="G113" s="53"/>
      <c r="H113" s="53">
        <v>209.0</v>
      </c>
      <c r="I113" s="53"/>
      <c r="J113" s="53" t="s">
        <v>12</v>
      </c>
      <c r="K113" s="61">
        <v>45576.0</v>
      </c>
      <c r="L113" s="53" t="s">
        <v>138</v>
      </c>
      <c r="M113" s="53" t="s">
        <v>18</v>
      </c>
      <c r="N113" s="64" t="str">
        <f>IFERROR(__xludf.DUMMYFUNCTION("""COMPUTED_VALUE"""),"")</f>
        <v/>
      </c>
      <c r="O113" s="64" t="str">
        <f>IFERROR(__xludf.DUMMYFUNCTION("""COMPUTED_VALUE"""),"")</f>
        <v/>
      </c>
      <c r="P113" s="64" t="str">
        <f>IFERROR(__xludf.DUMMYFUNCTION("""COMPUTED_VALUE"""),"")</f>
        <v/>
      </c>
      <c r="Q113" s="64"/>
      <c r="R113" s="64"/>
      <c r="S113" s="64"/>
    </row>
    <row r="114">
      <c r="A114" s="60">
        <v>45577.02585524305</v>
      </c>
      <c r="B114" s="52" t="s">
        <v>151</v>
      </c>
      <c r="C114" s="53" t="b">
        <v>0</v>
      </c>
      <c r="D114" s="53"/>
      <c r="E114" s="53"/>
      <c r="F114" s="53"/>
      <c r="G114" s="53"/>
      <c r="H114" s="53">
        <v>154.0</v>
      </c>
      <c r="I114" s="53"/>
      <c r="J114" s="53" t="s">
        <v>13</v>
      </c>
      <c r="K114" s="61">
        <v>45576.0</v>
      </c>
      <c r="L114" s="53" t="s">
        <v>138</v>
      </c>
      <c r="M114" s="53" t="s">
        <v>19</v>
      </c>
      <c r="N114" s="64">
        <f>IFERROR(__xludf.DUMMYFUNCTION("""COMPUTED_VALUE"""),333.0)</f>
        <v>333</v>
      </c>
      <c r="O114" s="64">
        <f>IFERROR(__xludf.DUMMYFUNCTION("""COMPUTED_VALUE"""),205.0)</f>
        <v>205</v>
      </c>
      <c r="P114" s="64">
        <f>IFERROR(__xludf.DUMMYFUNCTION("""COMPUTED_VALUE"""),538.0)</f>
        <v>538</v>
      </c>
      <c r="Q114" s="64"/>
      <c r="R114" s="64"/>
      <c r="S114" s="64"/>
    </row>
    <row r="115">
      <c r="A115" s="60">
        <v>45580.56154688657</v>
      </c>
      <c r="B115" s="52" t="s">
        <v>150</v>
      </c>
      <c r="C115" s="53" t="b">
        <v>0</v>
      </c>
      <c r="D115" s="53"/>
      <c r="E115" s="53"/>
      <c r="F115" s="53"/>
      <c r="G115" s="53"/>
      <c r="H115" s="53">
        <v>67.0</v>
      </c>
      <c r="I115" s="53"/>
      <c r="J115" s="53" t="s">
        <v>11</v>
      </c>
      <c r="K115" s="61">
        <v>45580.0</v>
      </c>
      <c r="L115" s="53" t="s">
        <v>132</v>
      </c>
      <c r="M115" s="53" t="s">
        <v>18</v>
      </c>
      <c r="N115" s="64" t="str">
        <f>IFERROR(__xludf.DUMMYFUNCTION("""COMPUTED_VALUE"""),"")</f>
        <v/>
      </c>
      <c r="O115" s="64" t="str">
        <f>IFERROR(__xludf.DUMMYFUNCTION("""COMPUTED_VALUE"""),"")</f>
        <v/>
      </c>
      <c r="P115" s="64" t="str">
        <f>IFERROR(__xludf.DUMMYFUNCTION("""COMPUTED_VALUE"""),"")</f>
        <v/>
      </c>
      <c r="Q115" s="64"/>
      <c r="R115" s="64"/>
      <c r="S115" s="64"/>
    </row>
    <row r="116">
      <c r="A116" s="60">
        <v>45580.87227395833</v>
      </c>
      <c r="B116" s="52" t="s">
        <v>149</v>
      </c>
      <c r="C116" s="53" t="b">
        <v>0</v>
      </c>
      <c r="D116" s="53"/>
      <c r="E116" s="53"/>
      <c r="F116" s="53"/>
      <c r="G116" s="53"/>
      <c r="H116" s="53">
        <v>153.0</v>
      </c>
      <c r="I116" s="53"/>
      <c r="J116" s="53" t="s">
        <v>12</v>
      </c>
      <c r="K116" s="61">
        <v>45580.0</v>
      </c>
      <c r="L116" s="53" t="s">
        <v>132</v>
      </c>
      <c r="M116" s="53" t="s">
        <v>19</v>
      </c>
      <c r="N116" s="64">
        <f>IFERROR(__xludf.DUMMYFUNCTION("""COMPUTED_VALUE"""),67.0)</f>
        <v>67</v>
      </c>
      <c r="O116" s="64">
        <f>IFERROR(__xludf.DUMMYFUNCTION("""COMPUTED_VALUE"""),153.0)</f>
        <v>153</v>
      </c>
      <c r="P116" s="64">
        <f>IFERROR(__xludf.DUMMYFUNCTION("""COMPUTED_VALUE"""),220.0)</f>
        <v>220</v>
      </c>
      <c r="Q116" s="64"/>
      <c r="R116" s="64"/>
      <c r="S116" s="64"/>
    </row>
    <row r="117">
      <c r="A117" s="60">
        <v>45581.42144028935</v>
      </c>
      <c r="B117" s="52" t="s">
        <v>136</v>
      </c>
      <c r="C117" s="53" t="b">
        <v>0</v>
      </c>
      <c r="D117" s="53"/>
      <c r="E117" s="53"/>
      <c r="F117" s="53"/>
      <c r="G117" s="53"/>
      <c r="H117" s="53">
        <v>68.0</v>
      </c>
      <c r="I117" s="53"/>
      <c r="J117" s="53" t="s">
        <v>10</v>
      </c>
      <c r="K117" s="61">
        <v>45581.0</v>
      </c>
      <c r="L117" s="53" t="s">
        <v>135</v>
      </c>
      <c r="M117" s="53" t="s">
        <v>19</v>
      </c>
      <c r="N117" s="64" t="str">
        <f>IFERROR(__xludf.DUMMYFUNCTION("""COMPUTED_VALUE"""),"")</f>
        <v/>
      </c>
      <c r="O117" s="64" t="str">
        <f>IFERROR(__xludf.DUMMYFUNCTION("""COMPUTED_VALUE"""),"")</f>
        <v/>
      </c>
      <c r="P117" s="64" t="str">
        <f>IFERROR(__xludf.DUMMYFUNCTION("""COMPUTED_VALUE"""),"")</f>
        <v/>
      </c>
      <c r="Q117" s="64"/>
      <c r="R117" s="64"/>
      <c r="S117" s="64"/>
    </row>
    <row r="118">
      <c r="A118" s="60">
        <v>45581.51606572916</v>
      </c>
      <c r="B118" s="52" t="s">
        <v>130</v>
      </c>
      <c r="C118" s="53" t="b">
        <v>0</v>
      </c>
      <c r="D118" s="53"/>
      <c r="E118" s="53"/>
      <c r="F118" s="53"/>
      <c r="G118" s="53"/>
      <c r="H118" s="53">
        <v>6.0</v>
      </c>
      <c r="I118" s="53"/>
      <c r="J118" s="53" t="s">
        <v>11</v>
      </c>
      <c r="K118" s="61">
        <v>45581.0</v>
      </c>
      <c r="L118" s="53" t="s">
        <v>135</v>
      </c>
      <c r="M118" s="53" t="s">
        <v>18</v>
      </c>
      <c r="N118" s="64" t="str">
        <f>IFERROR(__xludf.DUMMYFUNCTION("""COMPUTED_VALUE"""),"")</f>
        <v/>
      </c>
      <c r="O118" s="64" t="str">
        <f>IFERROR(__xludf.DUMMYFUNCTION("""COMPUTED_VALUE"""),"")</f>
        <v/>
      </c>
      <c r="P118" s="64" t="str">
        <f>IFERROR(__xludf.DUMMYFUNCTION("""COMPUTED_VALUE"""),"")</f>
        <v/>
      </c>
      <c r="Q118" s="64"/>
      <c r="R118" s="64"/>
      <c r="S118" s="64"/>
    </row>
    <row r="119">
      <c r="A119" s="60">
        <v>45581.62229527778</v>
      </c>
      <c r="B119" s="52" t="s">
        <v>148</v>
      </c>
      <c r="C119" s="53" t="b">
        <v>0</v>
      </c>
      <c r="D119" s="53"/>
      <c r="E119" s="53"/>
      <c r="F119" s="53"/>
      <c r="G119" s="53"/>
      <c r="H119" s="53">
        <v>157.0</v>
      </c>
      <c r="I119" s="53"/>
      <c r="J119" s="53" t="s">
        <v>11</v>
      </c>
      <c r="K119" s="61">
        <v>45581.0</v>
      </c>
      <c r="L119" s="53" t="s">
        <v>135</v>
      </c>
      <c r="M119" s="53" t="s">
        <v>18</v>
      </c>
      <c r="N119" s="64" t="str">
        <f>IFERROR(__xludf.DUMMYFUNCTION("""COMPUTED_VALUE"""),"")</f>
        <v/>
      </c>
      <c r="O119" s="64" t="str">
        <f>IFERROR(__xludf.DUMMYFUNCTION("""COMPUTED_VALUE"""),"")</f>
        <v/>
      </c>
      <c r="P119" s="64" t="str">
        <f>IFERROR(__xludf.DUMMYFUNCTION("""COMPUTED_VALUE"""),"")</f>
        <v/>
      </c>
      <c r="Q119" s="64"/>
      <c r="R119" s="64"/>
      <c r="S119" s="64"/>
    </row>
    <row r="120">
      <c r="A120" s="60">
        <v>45581.63263575231</v>
      </c>
      <c r="B120" s="52" t="s">
        <v>149</v>
      </c>
      <c r="C120" s="53" t="b">
        <v>0</v>
      </c>
      <c r="D120" s="53"/>
      <c r="E120" s="53"/>
      <c r="F120" s="53"/>
      <c r="G120" s="53"/>
      <c r="H120" s="53">
        <v>189.0</v>
      </c>
      <c r="I120" s="53"/>
      <c r="J120" s="53" t="s">
        <v>11</v>
      </c>
      <c r="K120" s="61">
        <v>45581.0</v>
      </c>
      <c r="L120" s="53" t="s">
        <v>135</v>
      </c>
      <c r="M120" s="53" t="s">
        <v>19</v>
      </c>
      <c r="N120" s="64" t="str">
        <f>IFERROR(__xludf.DUMMYFUNCTION("""COMPUTED_VALUE"""),"")</f>
        <v/>
      </c>
      <c r="O120" s="64" t="str">
        <f>IFERROR(__xludf.DUMMYFUNCTION("""COMPUTED_VALUE"""),"")</f>
        <v/>
      </c>
      <c r="P120" s="64" t="str">
        <f>IFERROR(__xludf.DUMMYFUNCTION("""COMPUTED_VALUE"""),"")</f>
        <v/>
      </c>
      <c r="Q120" s="64"/>
      <c r="R120" s="64"/>
      <c r="S120" s="64"/>
    </row>
    <row r="121">
      <c r="A121" s="60">
        <v>45581.64571645833</v>
      </c>
      <c r="B121" s="52" t="s">
        <v>148</v>
      </c>
      <c r="C121" s="53" t="b">
        <v>0</v>
      </c>
      <c r="D121" s="53"/>
      <c r="E121" s="53"/>
      <c r="F121" s="53"/>
      <c r="G121" s="53"/>
      <c r="H121" s="53">
        <v>14.0</v>
      </c>
      <c r="I121" s="53"/>
      <c r="J121" s="53" t="s">
        <v>11</v>
      </c>
      <c r="K121" s="61">
        <v>45581.0</v>
      </c>
      <c r="L121" s="53" t="s">
        <v>135</v>
      </c>
      <c r="M121" s="53" t="s">
        <v>18</v>
      </c>
      <c r="N121" s="64" t="str">
        <f>IFERROR(__xludf.DUMMYFUNCTION("""COMPUTED_VALUE"""),"")</f>
        <v/>
      </c>
      <c r="O121" s="64" t="str">
        <f>IFERROR(__xludf.DUMMYFUNCTION("""COMPUTED_VALUE"""),"")</f>
        <v/>
      </c>
      <c r="P121" s="64" t="str">
        <f>IFERROR(__xludf.DUMMYFUNCTION("""COMPUTED_VALUE"""),"")</f>
        <v/>
      </c>
      <c r="Q121" s="64"/>
      <c r="R121" s="64"/>
      <c r="S121" s="64"/>
    </row>
    <row r="122">
      <c r="A122" s="60">
        <v>45581.87334041666</v>
      </c>
      <c r="B122" s="52" t="s">
        <v>149</v>
      </c>
      <c r="C122" s="53" t="b">
        <v>0</v>
      </c>
      <c r="D122" s="53"/>
      <c r="E122" s="53"/>
      <c r="F122" s="53"/>
      <c r="G122" s="53"/>
      <c r="H122" s="53">
        <v>188.0</v>
      </c>
      <c r="I122" s="53"/>
      <c r="J122" s="53" t="s">
        <v>12</v>
      </c>
      <c r="K122" s="61">
        <v>45581.0</v>
      </c>
      <c r="L122" s="53" t="s">
        <v>135</v>
      </c>
      <c r="M122" s="53" t="s">
        <v>18</v>
      </c>
      <c r="N122" s="64" t="str">
        <f>IFERROR(__xludf.DUMMYFUNCTION("""COMPUTED_VALUE"""),"")</f>
        <v/>
      </c>
      <c r="O122" s="64" t="str">
        <f>IFERROR(__xludf.DUMMYFUNCTION("""COMPUTED_VALUE"""),"")</f>
        <v/>
      </c>
      <c r="P122" s="64" t="str">
        <f>IFERROR(__xludf.DUMMYFUNCTION("""COMPUTED_VALUE"""),"")</f>
        <v/>
      </c>
      <c r="Q122" s="64"/>
      <c r="R122" s="64"/>
      <c r="S122" s="64"/>
    </row>
    <row r="123">
      <c r="A123" s="60">
        <v>45581.88636515047</v>
      </c>
      <c r="B123" s="52" t="s">
        <v>151</v>
      </c>
      <c r="C123" s="53" t="b">
        <v>0</v>
      </c>
      <c r="D123" s="53"/>
      <c r="E123" s="53"/>
      <c r="F123" s="53"/>
      <c r="G123" s="53"/>
      <c r="H123" s="53">
        <v>61.0</v>
      </c>
      <c r="I123" s="53"/>
      <c r="J123" s="53" t="s">
        <v>12</v>
      </c>
      <c r="K123" s="61">
        <v>45581.0</v>
      </c>
      <c r="L123" s="53" t="s">
        <v>135</v>
      </c>
      <c r="M123" s="53" t="s">
        <v>19</v>
      </c>
      <c r="N123" s="64">
        <f>IFERROR(__xludf.DUMMYFUNCTION("""COMPUTED_VALUE"""),365.0)</f>
        <v>365</v>
      </c>
      <c r="O123" s="64">
        <f>IFERROR(__xludf.DUMMYFUNCTION("""COMPUTED_VALUE"""),318.0)</f>
        <v>318</v>
      </c>
      <c r="P123" s="64">
        <f>IFERROR(__xludf.DUMMYFUNCTION("""COMPUTED_VALUE"""),683.0)</f>
        <v>683</v>
      </c>
      <c r="Q123" s="64"/>
      <c r="R123" s="64"/>
      <c r="S123" s="64"/>
    </row>
    <row r="124">
      <c r="A124" s="60">
        <v>45582.55943424768</v>
      </c>
      <c r="B124" s="52" t="s">
        <v>150</v>
      </c>
      <c r="C124" s="53" t="b">
        <v>0</v>
      </c>
      <c r="D124" s="53"/>
      <c r="E124" s="53"/>
      <c r="F124" s="53"/>
      <c r="G124" s="53"/>
      <c r="H124" s="53">
        <v>63.0</v>
      </c>
      <c r="I124" s="53"/>
      <c r="J124" s="53" t="s">
        <v>11</v>
      </c>
      <c r="K124" s="61">
        <v>45582.0</v>
      </c>
      <c r="L124" s="53" t="s">
        <v>137</v>
      </c>
      <c r="M124" s="53" t="s">
        <v>18</v>
      </c>
      <c r="N124" s="64" t="str">
        <f>IFERROR(__xludf.DUMMYFUNCTION("""COMPUTED_VALUE"""),"")</f>
        <v/>
      </c>
      <c r="O124" s="64" t="str">
        <f>IFERROR(__xludf.DUMMYFUNCTION("""COMPUTED_VALUE"""),"")</f>
        <v/>
      </c>
      <c r="P124" s="64" t="str">
        <f>IFERROR(__xludf.DUMMYFUNCTION("""COMPUTED_VALUE"""),"")</f>
        <v/>
      </c>
      <c r="Q124" s="64"/>
      <c r="R124" s="64"/>
      <c r="S124" s="64"/>
    </row>
    <row r="125">
      <c r="A125" s="60">
        <v>45582.62343334491</v>
      </c>
      <c r="B125" s="52" t="s">
        <v>149</v>
      </c>
      <c r="C125" s="53" t="b">
        <v>0</v>
      </c>
      <c r="D125" s="53"/>
      <c r="E125" s="53"/>
      <c r="F125" s="53"/>
      <c r="G125" s="53"/>
      <c r="H125" s="53">
        <v>151.0</v>
      </c>
      <c r="I125" s="53"/>
      <c r="J125" s="53" t="s">
        <v>11</v>
      </c>
      <c r="K125" s="61">
        <v>45582.0</v>
      </c>
      <c r="L125" s="53" t="s">
        <v>137</v>
      </c>
      <c r="M125" s="53" t="s">
        <v>19</v>
      </c>
      <c r="N125" s="64" t="str">
        <f>IFERROR(__xludf.DUMMYFUNCTION("""COMPUTED_VALUE"""),"")</f>
        <v/>
      </c>
      <c r="O125" s="64" t="str">
        <f>IFERROR(__xludf.DUMMYFUNCTION("""COMPUTED_VALUE"""),"")</f>
        <v/>
      </c>
      <c r="P125" s="64" t="str">
        <f>IFERROR(__xludf.DUMMYFUNCTION("""COMPUTED_VALUE"""),"")</f>
        <v/>
      </c>
      <c r="Q125" s="64"/>
      <c r="R125" s="64"/>
      <c r="S125" s="64"/>
    </row>
    <row r="126">
      <c r="A126" s="60">
        <v>45582.87440321759</v>
      </c>
      <c r="B126" s="52" t="s">
        <v>148</v>
      </c>
      <c r="C126" s="53" t="b">
        <v>0</v>
      </c>
      <c r="D126" s="53"/>
      <c r="E126" s="53"/>
      <c r="F126" s="53"/>
      <c r="G126" s="53"/>
      <c r="H126" s="53">
        <v>258.0</v>
      </c>
      <c r="I126" s="53"/>
      <c r="J126" s="53" t="s">
        <v>12</v>
      </c>
      <c r="K126" s="61">
        <v>45582.0</v>
      </c>
      <c r="L126" s="53" t="s">
        <v>137</v>
      </c>
      <c r="M126" s="53" t="s">
        <v>19</v>
      </c>
      <c r="N126" s="64" t="str">
        <f>IFERROR(__xludf.DUMMYFUNCTION("""COMPUTED_VALUE"""),"")</f>
        <v/>
      </c>
      <c r="O126" s="64" t="str">
        <f>IFERROR(__xludf.DUMMYFUNCTION("""COMPUTED_VALUE"""),"")</f>
        <v/>
      </c>
      <c r="P126" s="64" t="str">
        <f>IFERROR(__xludf.DUMMYFUNCTION("""COMPUTED_VALUE"""),"")</f>
        <v/>
      </c>
      <c r="Q126" s="64"/>
      <c r="R126" s="64"/>
      <c r="S126" s="64"/>
    </row>
    <row r="127">
      <c r="A127" s="60">
        <v>45582.87872680555</v>
      </c>
      <c r="B127" s="52" t="s">
        <v>134</v>
      </c>
      <c r="C127" s="53" t="b">
        <v>0</v>
      </c>
      <c r="D127" s="53"/>
      <c r="E127" s="53"/>
      <c r="F127" s="53"/>
      <c r="G127" s="53"/>
      <c r="H127" s="53">
        <v>106.0</v>
      </c>
      <c r="I127" s="53"/>
      <c r="J127" s="53" t="s">
        <v>12</v>
      </c>
      <c r="K127" s="61">
        <v>45582.0</v>
      </c>
      <c r="L127" s="53" t="s">
        <v>137</v>
      </c>
      <c r="M127" s="53" t="s">
        <v>18</v>
      </c>
      <c r="N127" s="64">
        <f>IFERROR(__xludf.DUMMYFUNCTION("""COMPUTED_VALUE"""),169.0)</f>
        <v>169</v>
      </c>
      <c r="O127" s="64">
        <f>IFERROR(__xludf.DUMMYFUNCTION("""COMPUTED_VALUE"""),409.0)</f>
        <v>409</v>
      </c>
      <c r="P127" s="64">
        <f>IFERROR(__xludf.DUMMYFUNCTION("""COMPUTED_VALUE"""),578.0)</f>
        <v>578</v>
      </c>
      <c r="Q127" s="64"/>
      <c r="R127" s="64"/>
      <c r="S127" s="64"/>
    </row>
    <row r="128">
      <c r="A128" s="60">
        <v>45583.39124040509</v>
      </c>
      <c r="B128" s="52" t="s">
        <v>154</v>
      </c>
      <c r="C128" s="53" t="b">
        <v>0</v>
      </c>
      <c r="D128" s="53"/>
      <c r="E128" s="53"/>
      <c r="F128" s="53"/>
      <c r="G128" s="53"/>
      <c r="H128" s="53">
        <v>48.0</v>
      </c>
      <c r="I128" s="53"/>
      <c r="J128" s="53" t="s">
        <v>10</v>
      </c>
      <c r="K128" s="61">
        <v>45583.0</v>
      </c>
      <c r="L128" s="53" t="s">
        <v>138</v>
      </c>
      <c r="M128" s="53" t="s">
        <v>19</v>
      </c>
      <c r="N128" s="64" t="str">
        <f>IFERROR(__xludf.DUMMYFUNCTION("""COMPUTED_VALUE"""),"")</f>
        <v/>
      </c>
      <c r="O128" s="64" t="str">
        <f>IFERROR(__xludf.DUMMYFUNCTION("""COMPUTED_VALUE"""),"")</f>
        <v/>
      </c>
      <c r="P128" s="64" t="str">
        <f>IFERROR(__xludf.DUMMYFUNCTION("""COMPUTED_VALUE"""),"")</f>
        <v/>
      </c>
      <c r="Q128" s="64"/>
      <c r="R128" s="64"/>
      <c r="S128" s="64"/>
    </row>
    <row r="129">
      <c r="A129" s="60">
        <v>45583.55873340278</v>
      </c>
      <c r="B129" s="52" t="s">
        <v>151</v>
      </c>
      <c r="C129" s="53" t="b">
        <v>0</v>
      </c>
      <c r="D129" s="53"/>
      <c r="E129" s="53"/>
      <c r="F129" s="53"/>
      <c r="G129" s="53"/>
      <c r="H129" s="53">
        <v>104.0</v>
      </c>
      <c r="I129" s="53"/>
      <c r="J129" s="53" t="s">
        <v>13</v>
      </c>
      <c r="K129" s="61">
        <v>45583.0</v>
      </c>
      <c r="L129" s="53" t="s">
        <v>138</v>
      </c>
      <c r="M129" s="53" t="s">
        <v>19</v>
      </c>
      <c r="N129" s="64" t="str">
        <f>IFERROR(__xludf.DUMMYFUNCTION("""COMPUTED_VALUE"""),"")</f>
        <v/>
      </c>
      <c r="O129" s="64" t="str">
        <f>IFERROR(__xludf.DUMMYFUNCTION("""COMPUTED_VALUE"""),"")</f>
        <v/>
      </c>
      <c r="P129" s="64" t="str">
        <f>IFERROR(__xludf.DUMMYFUNCTION("""COMPUTED_VALUE"""),"")</f>
        <v/>
      </c>
      <c r="Q129" s="64"/>
      <c r="R129" s="64"/>
      <c r="S129" s="64"/>
    </row>
    <row r="130">
      <c r="A130" s="60">
        <v>45583.65072721065</v>
      </c>
      <c r="B130" s="52" t="s">
        <v>130</v>
      </c>
      <c r="C130" s="53" t="b">
        <v>0</v>
      </c>
      <c r="D130" s="53"/>
      <c r="E130" s="53"/>
      <c r="F130" s="53"/>
      <c r="G130" s="53"/>
      <c r="H130" s="53">
        <v>117.0</v>
      </c>
      <c r="I130" s="53"/>
      <c r="J130" s="53" t="s">
        <v>11</v>
      </c>
      <c r="K130" s="61">
        <v>45583.0</v>
      </c>
      <c r="L130" s="53" t="s">
        <v>138</v>
      </c>
      <c r="M130" s="53" t="s">
        <v>18</v>
      </c>
      <c r="N130" s="64" t="str">
        <f>IFERROR(__xludf.DUMMYFUNCTION("""COMPUTED_VALUE"""),"")</f>
        <v/>
      </c>
      <c r="O130" s="64" t="str">
        <f>IFERROR(__xludf.DUMMYFUNCTION("""COMPUTED_VALUE"""),"")</f>
        <v/>
      </c>
      <c r="P130" s="64" t="str">
        <f>IFERROR(__xludf.DUMMYFUNCTION("""COMPUTED_VALUE"""),"")</f>
        <v/>
      </c>
      <c r="Q130" s="64"/>
      <c r="R130" s="64"/>
      <c r="S130" s="64"/>
    </row>
    <row r="131">
      <c r="A131" s="60">
        <v>45583.83300429398</v>
      </c>
      <c r="B131" s="52" t="s">
        <v>148</v>
      </c>
      <c r="C131" s="53" t="b">
        <v>0</v>
      </c>
      <c r="D131" s="53"/>
      <c r="E131" s="53"/>
      <c r="F131" s="53"/>
      <c r="G131" s="53"/>
      <c r="H131" s="53">
        <v>171.0</v>
      </c>
      <c r="I131" s="53"/>
      <c r="J131" s="53" t="s">
        <v>12</v>
      </c>
      <c r="K131" s="61">
        <v>45583.0</v>
      </c>
      <c r="L131" s="53" t="s">
        <v>138</v>
      </c>
      <c r="M131" s="53" t="s">
        <v>18</v>
      </c>
      <c r="N131" s="64">
        <f>IFERROR(__xludf.DUMMYFUNCTION("""COMPUTED_VALUE"""),288.0)</f>
        <v>288</v>
      </c>
      <c r="O131" s="64">
        <f>IFERROR(__xludf.DUMMYFUNCTION("""COMPUTED_VALUE"""),152.0)</f>
        <v>152</v>
      </c>
      <c r="P131" s="64">
        <f>IFERROR(__xludf.DUMMYFUNCTION("""COMPUTED_VALUE"""),440.0)</f>
        <v>440</v>
      </c>
      <c r="Q131" s="64"/>
      <c r="R131" s="64"/>
      <c r="S131" s="64"/>
    </row>
    <row r="132">
      <c r="A132" s="60">
        <v>45586.42920820602</v>
      </c>
      <c r="B132" s="52" t="s">
        <v>136</v>
      </c>
      <c r="C132" s="53" t="b">
        <v>0</v>
      </c>
      <c r="D132" s="53"/>
      <c r="E132" s="53"/>
      <c r="F132" s="53"/>
      <c r="G132" s="53"/>
      <c r="H132" s="53">
        <v>44.0</v>
      </c>
      <c r="I132" s="53"/>
      <c r="J132" s="53" t="s">
        <v>10</v>
      </c>
      <c r="K132" s="61">
        <v>45586.0</v>
      </c>
      <c r="L132" s="53" t="s">
        <v>129</v>
      </c>
      <c r="M132" s="53" t="s">
        <v>19</v>
      </c>
      <c r="N132" s="64" t="str">
        <f>IFERROR(__xludf.DUMMYFUNCTION("""COMPUTED_VALUE"""),"")</f>
        <v/>
      </c>
      <c r="O132" s="64" t="str">
        <f>IFERROR(__xludf.DUMMYFUNCTION("""COMPUTED_VALUE"""),"")</f>
        <v/>
      </c>
      <c r="P132" s="64" t="str">
        <f>IFERROR(__xludf.DUMMYFUNCTION("""COMPUTED_VALUE"""),"")</f>
        <v/>
      </c>
      <c r="Q132" s="64"/>
      <c r="R132" s="64"/>
      <c r="S132" s="64"/>
    </row>
    <row r="133">
      <c r="A133" s="60">
        <v>45586.61772450231</v>
      </c>
      <c r="B133" s="52" t="s">
        <v>149</v>
      </c>
      <c r="C133" s="53" t="b">
        <v>0</v>
      </c>
      <c r="D133" s="53"/>
      <c r="E133" s="53"/>
      <c r="F133" s="53"/>
      <c r="G133" s="53"/>
      <c r="H133" s="53">
        <v>103.0</v>
      </c>
      <c r="I133" s="53"/>
      <c r="J133" s="53" t="s">
        <v>11</v>
      </c>
      <c r="K133" s="61">
        <v>45586.0</v>
      </c>
      <c r="L133" s="53" t="s">
        <v>129</v>
      </c>
      <c r="M133" s="53" t="s">
        <v>19</v>
      </c>
      <c r="N133" s="64" t="str">
        <f>IFERROR(__xludf.DUMMYFUNCTION("""COMPUTED_VALUE"""),"")</f>
        <v/>
      </c>
      <c r="O133" s="64" t="str">
        <f>IFERROR(__xludf.DUMMYFUNCTION("""COMPUTED_VALUE"""),"")</f>
        <v/>
      </c>
      <c r="P133" s="64" t="str">
        <f>IFERROR(__xludf.DUMMYFUNCTION("""COMPUTED_VALUE"""),"")</f>
        <v/>
      </c>
      <c r="Q133" s="64"/>
      <c r="R133" s="64"/>
      <c r="S133" s="64"/>
    </row>
    <row r="134">
      <c r="A134" s="60">
        <v>45586.64608396991</v>
      </c>
      <c r="B134" s="52" t="s">
        <v>155</v>
      </c>
      <c r="C134" s="53" t="b">
        <v>0</v>
      </c>
      <c r="D134" s="53"/>
      <c r="E134" s="53"/>
      <c r="F134" s="53"/>
      <c r="G134" s="53"/>
      <c r="H134" s="53">
        <v>126.0</v>
      </c>
      <c r="I134" s="53"/>
      <c r="J134" s="53" t="s">
        <v>11</v>
      </c>
      <c r="K134" s="61">
        <v>45586.0</v>
      </c>
      <c r="L134" s="53" t="s">
        <v>129</v>
      </c>
      <c r="M134" s="53" t="s">
        <v>18</v>
      </c>
      <c r="N134" s="64" t="str">
        <f>IFERROR(__xludf.DUMMYFUNCTION("""COMPUTED_VALUE"""),"")</f>
        <v/>
      </c>
      <c r="O134" s="64" t="str">
        <f>IFERROR(__xludf.DUMMYFUNCTION("""COMPUTED_VALUE"""),"")</f>
        <v/>
      </c>
      <c r="P134" s="64" t="str">
        <f>IFERROR(__xludf.DUMMYFUNCTION("""COMPUTED_VALUE"""),"")</f>
        <v/>
      </c>
      <c r="Q134" s="64"/>
      <c r="R134" s="64"/>
      <c r="S134" s="64"/>
    </row>
    <row r="135">
      <c r="A135" s="60">
        <v>45586.94670783565</v>
      </c>
      <c r="B135" s="52" t="s">
        <v>139</v>
      </c>
      <c r="C135" s="53" t="b">
        <v>0</v>
      </c>
      <c r="D135" s="53"/>
      <c r="E135" s="53"/>
      <c r="F135" s="53"/>
      <c r="G135" s="53"/>
      <c r="H135" s="53">
        <v>99.0</v>
      </c>
      <c r="I135" s="53"/>
      <c r="J135" s="53" t="s">
        <v>12</v>
      </c>
      <c r="K135" s="61">
        <v>45586.0</v>
      </c>
      <c r="L135" s="53" t="s">
        <v>129</v>
      </c>
      <c r="M135" s="53" t="s">
        <v>19</v>
      </c>
      <c r="N135" s="64">
        <f>IFERROR(__xludf.DUMMYFUNCTION("""COMPUTED_VALUE"""),126.0)</f>
        <v>126</v>
      </c>
      <c r="O135" s="64">
        <f>IFERROR(__xludf.DUMMYFUNCTION("""COMPUTED_VALUE"""),246.0)</f>
        <v>246</v>
      </c>
      <c r="P135" s="64">
        <f>IFERROR(__xludf.DUMMYFUNCTION("""COMPUTED_VALUE"""),372.0)</f>
        <v>372</v>
      </c>
      <c r="Q135" s="64"/>
      <c r="R135" s="64"/>
      <c r="S135" s="64"/>
    </row>
    <row r="136">
      <c r="A136" s="60">
        <v>45587.37790960648</v>
      </c>
      <c r="B136" s="52" t="s">
        <v>151</v>
      </c>
      <c r="C136" s="53" t="b">
        <v>0</v>
      </c>
      <c r="D136" s="53"/>
      <c r="E136" s="53"/>
      <c r="F136" s="53"/>
      <c r="G136" s="53"/>
      <c r="H136" s="53">
        <v>53.0</v>
      </c>
      <c r="I136" s="53"/>
      <c r="J136" s="53" t="s">
        <v>12</v>
      </c>
      <c r="K136" s="61">
        <v>45587.0</v>
      </c>
      <c r="L136" s="53" t="s">
        <v>132</v>
      </c>
      <c r="M136" s="53" t="s">
        <v>19</v>
      </c>
      <c r="N136" s="64" t="str">
        <f>IFERROR(__xludf.DUMMYFUNCTION("""COMPUTED_VALUE"""),"")</f>
        <v/>
      </c>
      <c r="O136" s="64" t="str">
        <f>IFERROR(__xludf.DUMMYFUNCTION("""COMPUTED_VALUE"""),"")</f>
        <v/>
      </c>
      <c r="P136" s="64" t="str">
        <f>IFERROR(__xludf.DUMMYFUNCTION("""COMPUTED_VALUE"""),"")</f>
        <v/>
      </c>
      <c r="Q136" s="64"/>
      <c r="R136" s="64"/>
      <c r="S136" s="64"/>
    </row>
    <row r="137">
      <c r="A137" s="60">
        <v>45587.56073556713</v>
      </c>
      <c r="B137" s="52" t="s">
        <v>150</v>
      </c>
      <c r="C137" s="53" t="b">
        <v>0</v>
      </c>
      <c r="D137" s="53"/>
      <c r="E137" s="53"/>
      <c r="F137" s="53"/>
      <c r="G137" s="53"/>
      <c r="H137" s="53">
        <v>116.0</v>
      </c>
      <c r="I137" s="53"/>
      <c r="J137" s="53" t="s">
        <v>11</v>
      </c>
      <c r="K137" s="61">
        <v>45587.0</v>
      </c>
      <c r="L137" s="53" t="s">
        <v>132</v>
      </c>
      <c r="M137" s="53" t="s">
        <v>18</v>
      </c>
      <c r="N137" s="64" t="str">
        <f>IFERROR(__xludf.DUMMYFUNCTION("""COMPUTED_VALUE"""),"")</f>
        <v/>
      </c>
      <c r="O137" s="64" t="str">
        <f>IFERROR(__xludf.DUMMYFUNCTION("""COMPUTED_VALUE"""),"")</f>
        <v/>
      </c>
      <c r="P137" s="64" t="str">
        <f>IFERROR(__xludf.DUMMYFUNCTION("""COMPUTED_VALUE"""),"")</f>
        <v/>
      </c>
      <c r="Q137" s="64"/>
      <c r="R137" s="64"/>
      <c r="S137" s="64"/>
    </row>
    <row r="138">
      <c r="A138" s="60">
        <v>45587.62657697916</v>
      </c>
      <c r="B138" s="52" t="s">
        <v>131</v>
      </c>
      <c r="C138" s="53" t="b">
        <v>0</v>
      </c>
      <c r="D138" s="53"/>
      <c r="E138" s="53"/>
      <c r="F138" s="53"/>
      <c r="G138" s="53"/>
      <c r="H138" s="53">
        <v>113.0</v>
      </c>
      <c r="I138" s="53"/>
      <c r="J138" s="53" t="s">
        <v>11</v>
      </c>
      <c r="K138" s="61">
        <v>45587.0</v>
      </c>
      <c r="L138" s="53" t="s">
        <v>132</v>
      </c>
      <c r="M138" s="53" t="s">
        <v>19</v>
      </c>
      <c r="N138" s="64" t="str">
        <f>IFERROR(__xludf.DUMMYFUNCTION("""COMPUTED_VALUE"""),"")</f>
        <v/>
      </c>
      <c r="O138" s="64" t="str">
        <f>IFERROR(__xludf.DUMMYFUNCTION("""COMPUTED_VALUE"""),"")</f>
        <v/>
      </c>
      <c r="P138" s="64" t="str">
        <f>IFERROR(__xludf.DUMMYFUNCTION("""COMPUTED_VALUE"""),"")</f>
        <v/>
      </c>
      <c r="Q138" s="64"/>
      <c r="R138" s="64"/>
      <c r="S138" s="64"/>
    </row>
    <row r="139">
      <c r="A139" s="53"/>
      <c r="B139" s="52" t="s">
        <v>156</v>
      </c>
      <c r="C139" s="53" t="b">
        <v>0</v>
      </c>
      <c r="D139" s="53"/>
      <c r="E139" s="53"/>
      <c r="F139" s="53"/>
      <c r="G139" s="53"/>
      <c r="H139" s="53">
        <v>176.0</v>
      </c>
      <c r="I139" s="53"/>
      <c r="J139" s="53" t="s">
        <v>11</v>
      </c>
      <c r="K139" s="61">
        <v>45587.0</v>
      </c>
      <c r="L139" s="53" t="s">
        <v>132</v>
      </c>
      <c r="M139" s="53" t="s">
        <v>19</v>
      </c>
      <c r="N139" s="64" t="str">
        <f>IFERROR(__xludf.DUMMYFUNCTION("""COMPUTED_VALUE"""),"")</f>
        <v/>
      </c>
      <c r="O139" s="64" t="str">
        <f>IFERROR(__xludf.DUMMYFUNCTION("""COMPUTED_VALUE"""),"")</f>
        <v/>
      </c>
      <c r="P139" s="64" t="str">
        <f>IFERROR(__xludf.DUMMYFUNCTION("""COMPUTED_VALUE"""),"")</f>
        <v/>
      </c>
      <c r="Q139" s="64"/>
      <c r="R139" s="64"/>
      <c r="S139" s="64"/>
    </row>
    <row r="140">
      <c r="A140" s="60">
        <v>45587.67751125</v>
      </c>
      <c r="B140" s="52" t="s">
        <v>153</v>
      </c>
      <c r="C140" s="53" t="b">
        <v>0</v>
      </c>
      <c r="D140" s="53"/>
      <c r="E140" s="53"/>
      <c r="F140" s="53"/>
      <c r="G140" s="53"/>
      <c r="H140" s="53">
        <v>68.0</v>
      </c>
      <c r="I140" s="53"/>
      <c r="J140" s="53" t="s">
        <v>10</v>
      </c>
      <c r="K140" s="61">
        <v>45587.0</v>
      </c>
      <c r="L140" s="53" t="s">
        <v>132</v>
      </c>
      <c r="M140" s="53" t="s">
        <v>19</v>
      </c>
      <c r="N140" s="64" t="str">
        <f>IFERROR(__xludf.DUMMYFUNCTION("""COMPUTED_VALUE"""),"")</f>
        <v/>
      </c>
      <c r="O140" s="64" t="str">
        <f>IFERROR(__xludf.DUMMYFUNCTION("""COMPUTED_VALUE"""),"")</f>
        <v/>
      </c>
      <c r="P140" s="64" t="str">
        <f>IFERROR(__xludf.DUMMYFUNCTION("""COMPUTED_VALUE"""),"")</f>
        <v/>
      </c>
      <c r="Q140" s="64"/>
      <c r="R140" s="64"/>
      <c r="S140" s="64"/>
    </row>
    <row r="141">
      <c r="A141" s="60">
        <v>45587.87495638889</v>
      </c>
      <c r="B141" s="52" t="s">
        <v>149</v>
      </c>
      <c r="C141" s="53" t="b">
        <v>0</v>
      </c>
      <c r="D141" s="53"/>
      <c r="E141" s="53"/>
      <c r="F141" s="53"/>
      <c r="G141" s="53"/>
      <c r="H141" s="53">
        <v>156.0</v>
      </c>
      <c r="I141" s="53"/>
      <c r="J141" s="53" t="s">
        <v>12</v>
      </c>
      <c r="K141" s="61">
        <v>45587.0</v>
      </c>
      <c r="L141" s="53" t="s">
        <v>132</v>
      </c>
      <c r="M141" s="53" t="s">
        <v>19</v>
      </c>
      <c r="N141" s="64">
        <f>IFERROR(__xludf.DUMMYFUNCTION("""COMPUTED_VALUE"""),116.0)</f>
        <v>116</v>
      </c>
      <c r="O141" s="64">
        <f>IFERROR(__xludf.DUMMYFUNCTION("""COMPUTED_VALUE"""),566.0)</f>
        <v>566</v>
      </c>
      <c r="P141" s="64">
        <f>IFERROR(__xludf.DUMMYFUNCTION("""COMPUTED_VALUE"""),682.0)</f>
        <v>682</v>
      </c>
      <c r="Q141" s="64"/>
      <c r="R141" s="64"/>
      <c r="S141" s="64"/>
    </row>
    <row r="142">
      <c r="A142" s="60">
        <v>45588.43538828703</v>
      </c>
      <c r="B142" s="52" t="s">
        <v>136</v>
      </c>
      <c r="C142" s="53" t="b">
        <v>0</v>
      </c>
      <c r="D142" s="53"/>
      <c r="E142" s="53"/>
      <c r="F142" s="53"/>
      <c r="G142" s="53"/>
      <c r="H142" s="53">
        <v>69.0</v>
      </c>
      <c r="I142" s="53"/>
      <c r="J142" s="53" t="s">
        <v>10</v>
      </c>
      <c r="K142" s="61">
        <v>45588.0</v>
      </c>
      <c r="L142" s="53" t="s">
        <v>135</v>
      </c>
      <c r="M142" s="53" t="s">
        <v>19</v>
      </c>
      <c r="N142" s="64" t="str">
        <f>IFERROR(__xludf.DUMMYFUNCTION("""COMPUTED_VALUE"""),"")</f>
        <v/>
      </c>
      <c r="O142" s="64" t="str">
        <f>IFERROR(__xludf.DUMMYFUNCTION("""COMPUTED_VALUE"""),"")</f>
        <v/>
      </c>
      <c r="P142" s="64" t="str">
        <f>IFERROR(__xludf.DUMMYFUNCTION("""COMPUTED_VALUE"""),"")</f>
        <v/>
      </c>
      <c r="Q142" s="64"/>
      <c r="R142" s="64"/>
      <c r="S142" s="64"/>
    </row>
    <row r="143">
      <c r="A143" s="60">
        <v>45588.50913219908</v>
      </c>
      <c r="B143" s="52" t="s">
        <v>130</v>
      </c>
      <c r="C143" s="53" t="b">
        <v>0</v>
      </c>
      <c r="D143" s="53"/>
      <c r="E143" s="53"/>
      <c r="F143" s="53"/>
      <c r="G143" s="53"/>
      <c r="H143" s="53">
        <v>5.0</v>
      </c>
      <c r="I143" s="53"/>
      <c r="J143" s="53" t="s">
        <v>11</v>
      </c>
      <c r="K143" s="61">
        <v>45588.0</v>
      </c>
      <c r="L143" s="53" t="s">
        <v>135</v>
      </c>
      <c r="M143" s="53" t="s">
        <v>18</v>
      </c>
      <c r="N143" s="64" t="str">
        <f>IFERROR(__xludf.DUMMYFUNCTION("""COMPUTED_VALUE"""),"")</f>
        <v/>
      </c>
      <c r="O143" s="64" t="str">
        <f>IFERROR(__xludf.DUMMYFUNCTION("""COMPUTED_VALUE"""),"")</f>
        <v/>
      </c>
      <c r="P143" s="64" t="str">
        <f>IFERROR(__xludf.DUMMYFUNCTION("""COMPUTED_VALUE"""),"")</f>
        <v/>
      </c>
      <c r="Q143" s="64"/>
      <c r="R143" s="64"/>
      <c r="S143" s="64"/>
    </row>
    <row r="144">
      <c r="A144" s="60">
        <v>45588.62547346065</v>
      </c>
      <c r="B144" s="52" t="s">
        <v>149</v>
      </c>
      <c r="C144" s="53" t="b">
        <v>0</v>
      </c>
      <c r="D144" s="53"/>
      <c r="E144" s="53"/>
      <c r="F144" s="53"/>
      <c r="G144" s="53"/>
      <c r="H144" s="53">
        <v>122.0</v>
      </c>
      <c r="I144" s="53"/>
      <c r="J144" s="53" t="s">
        <v>11</v>
      </c>
      <c r="K144" s="61">
        <v>45588.0</v>
      </c>
      <c r="L144" s="53" t="s">
        <v>135</v>
      </c>
      <c r="M144" s="53" t="s">
        <v>19</v>
      </c>
      <c r="N144" s="64" t="str">
        <f>IFERROR(__xludf.DUMMYFUNCTION("""COMPUTED_VALUE"""),"")</f>
        <v/>
      </c>
      <c r="O144" s="64" t="str">
        <f>IFERROR(__xludf.DUMMYFUNCTION("""COMPUTED_VALUE"""),"")</f>
        <v/>
      </c>
      <c r="P144" s="64" t="str">
        <f>IFERROR(__xludf.DUMMYFUNCTION("""COMPUTED_VALUE"""),"")</f>
        <v/>
      </c>
      <c r="Q144" s="64"/>
      <c r="R144" s="64"/>
      <c r="S144" s="64"/>
    </row>
    <row r="145">
      <c r="A145" s="60">
        <v>45588.64519222222</v>
      </c>
      <c r="B145" s="52" t="s">
        <v>148</v>
      </c>
      <c r="C145" s="53" t="b">
        <v>0</v>
      </c>
      <c r="D145" s="53"/>
      <c r="E145" s="53"/>
      <c r="F145" s="53"/>
      <c r="G145" s="53"/>
      <c r="H145" s="53">
        <v>146.0</v>
      </c>
      <c r="I145" s="53"/>
      <c r="J145" s="53" t="s">
        <v>11</v>
      </c>
      <c r="K145" s="61">
        <v>45588.0</v>
      </c>
      <c r="L145" s="53" t="s">
        <v>135</v>
      </c>
      <c r="M145" s="53" t="s">
        <v>18</v>
      </c>
      <c r="N145" s="64" t="str">
        <f>IFERROR(__xludf.DUMMYFUNCTION("""COMPUTED_VALUE"""),"")</f>
        <v/>
      </c>
      <c r="O145" s="64" t="str">
        <f>IFERROR(__xludf.DUMMYFUNCTION("""COMPUTED_VALUE"""),"")</f>
        <v/>
      </c>
      <c r="P145" s="64" t="str">
        <f>IFERROR(__xludf.DUMMYFUNCTION("""COMPUTED_VALUE"""),"")</f>
        <v/>
      </c>
      <c r="Q145" s="64"/>
      <c r="R145" s="64"/>
      <c r="S145" s="64"/>
    </row>
    <row r="146">
      <c r="A146" s="60">
        <v>45588.78860887732</v>
      </c>
      <c r="B146" s="52" t="s">
        <v>150</v>
      </c>
      <c r="C146" s="53" t="b">
        <v>0</v>
      </c>
      <c r="D146" s="53"/>
      <c r="E146" s="53"/>
      <c r="F146" s="53"/>
      <c r="G146" s="53"/>
      <c r="H146" s="53">
        <v>81.0</v>
      </c>
      <c r="I146" s="53"/>
      <c r="J146" s="53" t="s">
        <v>12</v>
      </c>
      <c r="K146" s="61">
        <v>45588.0</v>
      </c>
      <c r="L146" s="53" t="s">
        <v>135</v>
      </c>
      <c r="M146" s="53" t="s">
        <v>19</v>
      </c>
      <c r="N146" s="64" t="str">
        <f>IFERROR(__xludf.DUMMYFUNCTION("""COMPUTED_VALUE"""),"")</f>
        <v/>
      </c>
      <c r="O146" s="64" t="str">
        <f>IFERROR(__xludf.DUMMYFUNCTION("""COMPUTED_VALUE"""),"")</f>
        <v/>
      </c>
      <c r="P146" s="64" t="str">
        <f>IFERROR(__xludf.DUMMYFUNCTION("""COMPUTED_VALUE"""),"")</f>
        <v/>
      </c>
      <c r="Q146" s="64"/>
      <c r="R146" s="64"/>
      <c r="S146" s="64"/>
    </row>
    <row r="147">
      <c r="A147" s="60">
        <v>45588.87797497685</v>
      </c>
      <c r="B147" s="52" t="s">
        <v>149</v>
      </c>
      <c r="C147" s="53" t="b">
        <v>0</v>
      </c>
      <c r="D147" s="53"/>
      <c r="E147" s="53"/>
      <c r="F147" s="53"/>
      <c r="G147" s="53"/>
      <c r="H147" s="53">
        <v>171.0</v>
      </c>
      <c r="I147" s="53"/>
      <c r="J147" s="53" t="s">
        <v>12</v>
      </c>
      <c r="K147" s="61">
        <v>45588.0</v>
      </c>
      <c r="L147" s="53" t="s">
        <v>135</v>
      </c>
      <c r="M147" s="53" t="s">
        <v>18</v>
      </c>
      <c r="N147" s="64">
        <f>IFERROR(__xludf.DUMMYFUNCTION("""COMPUTED_VALUE"""),322.0)</f>
        <v>322</v>
      </c>
      <c r="O147" s="64">
        <f>IFERROR(__xludf.DUMMYFUNCTION("""COMPUTED_VALUE"""),272.0)</f>
        <v>272</v>
      </c>
      <c r="P147" s="64">
        <f>IFERROR(__xludf.DUMMYFUNCTION("""COMPUTED_VALUE"""),594.0)</f>
        <v>594</v>
      </c>
      <c r="Q147" s="64"/>
      <c r="R147" s="64"/>
      <c r="S147" s="64"/>
    </row>
    <row r="148">
      <c r="A148" s="60">
        <v>45589.55939581018</v>
      </c>
      <c r="B148" s="52" t="s">
        <v>150</v>
      </c>
      <c r="C148" s="53" t="b">
        <v>0</v>
      </c>
      <c r="D148" s="53"/>
      <c r="E148" s="53"/>
      <c r="F148" s="53"/>
      <c r="G148" s="53"/>
      <c r="H148" s="53">
        <v>54.0</v>
      </c>
      <c r="I148" s="53"/>
      <c r="J148" s="53" t="s">
        <v>11</v>
      </c>
      <c r="K148" s="61">
        <v>45589.0</v>
      </c>
      <c r="L148" s="53" t="s">
        <v>137</v>
      </c>
      <c r="M148" s="53" t="s">
        <v>18</v>
      </c>
      <c r="N148" s="64" t="str">
        <f>IFERROR(__xludf.DUMMYFUNCTION("""COMPUTED_VALUE"""),"")</f>
        <v/>
      </c>
      <c r="O148" s="64" t="str">
        <f>IFERROR(__xludf.DUMMYFUNCTION("""COMPUTED_VALUE"""),"")</f>
        <v/>
      </c>
      <c r="P148" s="64" t="str">
        <f>IFERROR(__xludf.DUMMYFUNCTION("""COMPUTED_VALUE"""),"")</f>
        <v/>
      </c>
      <c r="Q148" s="64"/>
      <c r="R148" s="64"/>
      <c r="S148" s="64"/>
    </row>
    <row r="149">
      <c r="A149" s="60">
        <v>45589.71411870371</v>
      </c>
      <c r="B149" s="52" t="s">
        <v>157</v>
      </c>
      <c r="C149" s="53" t="b">
        <v>0</v>
      </c>
      <c r="D149" s="53"/>
      <c r="E149" s="53"/>
      <c r="F149" s="53"/>
      <c r="G149" s="53"/>
      <c r="H149" s="53">
        <v>95.0</v>
      </c>
      <c r="I149" s="53"/>
      <c r="J149" s="53" t="s">
        <v>12</v>
      </c>
      <c r="K149" s="61">
        <v>45589.0</v>
      </c>
      <c r="L149" s="53" t="s">
        <v>137</v>
      </c>
      <c r="M149" s="53" t="s">
        <v>19</v>
      </c>
      <c r="N149" s="64" t="str">
        <f>IFERROR(__xludf.DUMMYFUNCTION("""COMPUTED_VALUE"""),"")</f>
        <v/>
      </c>
      <c r="O149" s="64" t="str">
        <f>IFERROR(__xludf.DUMMYFUNCTION("""COMPUTED_VALUE"""),"")</f>
        <v/>
      </c>
      <c r="P149" s="64" t="str">
        <f>IFERROR(__xludf.DUMMYFUNCTION("""COMPUTED_VALUE"""),"")</f>
        <v/>
      </c>
      <c r="Q149" s="64"/>
      <c r="R149" s="64"/>
      <c r="S149" s="64"/>
    </row>
    <row r="150">
      <c r="A150" s="60">
        <v>45589.8744466088</v>
      </c>
      <c r="B150" s="52" t="s">
        <v>148</v>
      </c>
      <c r="C150" s="53" t="b">
        <v>0</v>
      </c>
      <c r="D150" s="53"/>
      <c r="E150" s="53"/>
      <c r="F150" s="53"/>
      <c r="G150" s="53"/>
      <c r="H150" s="53">
        <v>213.0</v>
      </c>
      <c r="I150" s="53"/>
      <c r="J150" s="53" t="s">
        <v>12</v>
      </c>
      <c r="K150" s="61">
        <v>45589.0</v>
      </c>
      <c r="L150" s="53" t="s">
        <v>137</v>
      </c>
      <c r="M150" s="53" t="s">
        <v>19</v>
      </c>
      <c r="N150" s="64" t="str">
        <f>IFERROR(__xludf.DUMMYFUNCTION("""COMPUTED_VALUE"""),"")</f>
        <v/>
      </c>
      <c r="O150" s="64" t="str">
        <f>IFERROR(__xludf.DUMMYFUNCTION("""COMPUTED_VALUE"""),"")</f>
        <v/>
      </c>
      <c r="P150" s="64" t="str">
        <f>IFERROR(__xludf.DUMMYFUNCTION("""COMPUTED_VALUE"""),"")</f>
        <v/>
      </c>
      <c r="Q150" s="64"/>
      <c r="R150" s="64"/>
      <c r="S150" s="64"/>
    </row>
    <row r="151">
      <c r="A151" s="60">
        <v>45591.72601592592</v>
      </c>
      <c r="B151" s="52" t="s">
        <v>153</v>
      </c>
      <c r="C151" s="53" t="b">
        <v>0</v>
      </c>
      <c r="D151" s="53"/>
      <c r="E151" s="53"/>
      <c r="F151" s="53"/>
      <c r="G151" s="53"/>
      <c r="H151" s="53">
        <v>63.0</v>
      </c>
      <c r="I151" s="53"/>
      <c r="J151" s="53" t="s">
        <v>10</v>
      </c>
      <c r="K151" s="61">
        <v>45589.0</v>
      </c>
      <c r="L151" s="53" t="s">
        <v>137</v>
      </c>
      <c r="M151" s="53" t="s">
        <v>19</v>
      </c>
      <c r="N151" s="64" t="str">
        <f>IFERROR(__xludf.DUMMYFUNCTION("""COMPUTED_VALUE"""),"")</f>
        <v/>
      </c>
      <c r="O151" s="64" t="str">
        <f>IFERROR(__xludf.DUMMYFUNCTION("""COMPUTED_VALUE"""),"")</f>
        <v/>
      </c>
      <c r="P151" s="64" t="str">
        <f>IFERROR(__xludf.DUMMYFUNCTION("""COMPUTED_VALUE"""),"")</f>
        <v/>
      </c>
      <c r="Q151" s="64"/>
      <c r="R151" s="64"/>
      <c r="S151" s="64"/>
    </row>
    <row r="152">
      <c r="A152" s="53"/>
      <c r="B152" s="52" t="s">
        <v>158</v>
      </c>
      <c r="C152" s="53" t="b">
        <v>0</v>
      </c>
      <c r="D152" s="53"/>
      <c r="E152" s="53"/>
      <c r="F152" s="53"/>
      <c r="G152" s="53"/>
      <c r="H152" s="53">
        <v>100.0</v>
      </c>
      <c r="I152" s="53"/>
      <c r="J152" s="53" t="s">
        <v>12</v>
      </c>
      <c r="K152" s="61">
        <v>45589.0</v>
      </c>
      <c r="L152" s="53" t="s">
        <v>137</v>
      </c>
      <c r="M152" s="53" t="s">
        <v>18</v>
      </c>
      <c r="N152" s="64">
        <f>IFERROR(__xludf.DUMMYFUNCTION("""COMPUTED_VALUE"""),154.0)</f>
        <v>154</v>
      </c>
      <c r="O152" s="64">
        <f>IFERROR(__xludf.DUMMYFUNCTION("""COMPUTED_VALUE"""),371.0)</f>
        <v>371</v>
      </c>
      <c r="P152" s="64">
        <f>IFERROR(__xludf.DUMMYFUNCTION("""COMPUTED_VALUE"""),525.0)</f>
        <v>525</v>
      </c>
      <c r="Q152" s="64"/>
      <c r="R152" s="64"/>
      <c r="S152" s="64"/>
    </row>
    <row r="153">
      <c r="A153" s="60">
        <v>45590.39409163195</v>
      </c>
      <c r="B153" s="52" t="s">
        <v>136</v>
      </c>
      <c r="C153" s="53" t="b">
        <v>0</v>
      </c>
      <c r="D153" s="53"/>
      <c r="E153" s="53"/>
      <c r="F153" s="53"/>
      <c r="G153" s="53"/>
      <c r="H153" s="53">
        <v>41.0</v>
      </c>
      <c r="I153" s="53"/>
      <c r="J153" s="53" t="s">
        <v>10</v>
      </c>
      <c r="K153" s="61">
        <v>45590.0</v>
      </c>
      <c r="L153" s="53" t="s">
        <v>138</v>
      </c>
      <c r="M153" s="53" t="s">
        <v>19</v>
      </c>
      <c r="N153" s="64" t="str">
        <f>IFERROR(__xludf.DUMMYFUNCTION("""COMPUTED_VALUE"""),"")</f>
        <v/>
      </c>
      <c r="O153" s="64" t="str">
        <f>IFERROR(__xludf.DUMMYFUNCTION("""COMPUTED_VALUE"""),"")</f>
        <v/>
      </c>
      <c r="P153" s="64" t="str">
        <f>IFERROR(__xludf.DUMMYFUNCTION("""COMPUTED_VALUE"""),"")</f>
        <v/>
      </c>
      <c r="Q153" s="64"/>
      <c r="R153" s="64"/>
      <c r="S153" s="64"/>
    </row>
    <row r="154">
      <c r="A154" s="60">
        <v>45590.52475759259</v>
      </c>
      <c r="B154" s="52" t="s">
        <v>151</v>
      </c>
      <c r="C154" s="53" t="b">
        <v>0</v>
      </c>
      <c r="D154" s="53"/>
      <c r="E154" s="53"/>
      <c r="F154" s="53"/>
      <c r="G154" s="53"/>
      <c r="H154" s="53">
        <v>95.0</v>
      </c>
      <c r="I154" s="53"/>
      <c r="J154" s="53" t="s">
        <v>13</v>
      </c>
      <c r="K154" s="61">
        <v>45590.0</v>
      </c>
      <c r="L154" s="53" t="s">
        <v>138</v>
      </c>
      <c r="M154" s="53" t="s">
        <v>19</v>
      </c>
      <c r="N154" s="64" t="str">
        <f>IFERROR(__xludf.DUMMYFUNCTION("""COMPUTED_VALUE"""),"")</f>
        <v/>
      </c>
      <c r="O154" s="64" t="str">
        <f>IFERROR(__xludf.DUMMYFUNCTION("""COMPUTED_VALUE"""),"")</f>
        <v/>
      </c>
      <c r="P154" s="64" t="str">
        <f>IFERROR(__xludf.DUMMYFUNCTION("""COMPUTED_VALUE"""),"")</f>
        <v/>
      </c>
      <c r="Q154" s="64"/>
      <c r="R154" s="64"/>
      <c r="S154" s="64"/>
    </row>
    <row r="155">
      <c r="A155" s="60">
        <v>45590.76465166666</v>
      </c>
      <c r="B155" s="52" t="s">
        <v>130</v>
      </c>
      <c r="C155" s="53" t="b">
        <v>0</v>
      </c>
      <c r="D155" s="53"/>
      <c r="E155" s="53"/>
      <c r="F155" s="53"/>
      <c r="G155" s="53"/>
      <c r="H155" s="53">
        <v>115.0</v>
      </c>
      <c r="I155" s="53"/>
      <c r="J155" s="53" t="s">
        <v>11</v>
      </c>
      <c r="K155" s="61">
        <v>45590.0</v>
      </c>
      <c r="L155" s="53" t="s">
        <v>138</v>
      </c>
      <c r="M155" s="53" t="s">
        <v>18</v>
      </c>
      <c r="N155" s="64" t="str">
        <f>IFERROR(__xludf.DUMMYFUNCTION("""COMPUTED_VALUE"""),"")</f>
        <v/>
      </c>
      <c r="O155" s="64" t="str">
        <f>IFERROR(__xludf.DUMMYFUNCTION("""COMPUTED_VALUE"""),"")</f>
        <v/>
      </c>
      <c r="P155" s="64" t="str">
        <f>IFERROR(__xludf.DUMMYFUNCTION("""COMPUTED_VALUE"""),"")</f>
        <v/>
      </c>
      <c r="Q155" s="64"/>
      <c r="R155" s="64"/>
      <c r="S155" s="64"/>
    </row>
    <row r="156">
      <c r="A156" s="60">
        <v>45590.82987384259</v>
      </c>
      <c r="B156" s="52" t="s">
        <v>159</v>
      </c>
      <c r="C156" s="53" t="b">
        <v>0</v>
      </c>
      <c r="D156" s="53"/>
      <c r="E156" s="53"/>
      <c r="F156" s="53"/>
      <c r="G156" s="53"/>
      <c r="H156" s="53">
        <v>200.0</v>
      </c>
      <c r="I156" s="53"/>
      <c r="J156" s="53" t="s">
        <v>12</v>
      </c>
      <c r="K156" s="61">
        <v>45590.0</v>
      </c>
      <c r="L156" s="53" t="s">
        <v>138</v>
      </c>
      <c r="M156" s="53" t="s">
        <v>18</v>
      </c>
      <c r="N156" s="64" t="str">
        <f>IFERROR(__xludf.DUMMYFUNCTION("""COMPUTED_VALUE"""),"")</f>
        <v/>
      </c>
      <c r="O156" s="64" t="str">
        <f>IFERROR(__xludf.DUMMYFUNCTION("""COMPUTED_VALUE"""),"")</f>
        <v/>
      </c>
      <c r="P156" s="64" t="str">
        <f>IFERROR(__xludf.DUMMYFUNCTION("""COMPUTED_VALUE"""),"")</f>
        <v/>
      </c>
      <c r="Q156" s="64"/>
      <c r="R156" s="64"/>
      <c r="S156" s="64"/>
    </row>
    <row r="157">
      <c r="A157" s="60">
        <v>45593.72000211805</v>
      </c>
      <c r="B157" s="52" t="s">
        <v>151</v>
      </c>
      <c r="C157" s="53" t="b">
        <v>0</v>
      </c>
      <c r="D157" s="53"/>
      <c r="E157" s="53"/>
      <c r="F157" s="53"/>
      <c r="G157" s="53"/>
      <c r="H157" s="53">
        <v>73.0</v>
      </c>
      <c r="I157" s="53"/>
      <c r="J157" s="53" t="s">
        <v>11</v>
      </c>
      <c r="K157" s="61">
        <v>45590.0</v>
      </c>
      <c r="L157" s="53" t="s">
        <v>138</v>
      </c>
      <c r="M157" s="53" t="s">
        <v>19</v>
      </c>
      <c r="N157" s="64">
        <f>IFERROR(__xludf.DUMMYFUNCTION("""COMPUTED_VALUE"""),315.0)</f>
        <v>315</v>
      </c>
      <c r="O157" s="64">
        <f>IFERROR(__xludf.DUMMYFUNCTION("""COMPUTED_VALUE"""),209.0)</f>
        <v>209</v>
      </c>
      <c r="P157" s="64">
        <f>IFERROR(__xludf.DUMMYFUNCTION("""COMPUTED_VALUE"""),524.0)</f>
        <v>524</v>
      </c>
      <c r="Q157" s="64"/>
      <c r="R157" s="64"/>
      <c r="S157" s="64"/>
    </row>
    <row r="158">
      <c r="A158" s="60">
        <v>45593.43358675926</v>
      </c>
      <c r="B158" s="52" t="s">
        <v>136</v>
      </c>
      <c r="C158" s="53" t="b">
        <v>0</v>
      </c>
      <c r="D158" s="53"/>
      <c r="E158" s="53"/>
      <c r="F158" s="53"/>
      <c r="G158" s="53"/>
      <c r="H158" s="53">
        <v>58.0</v>
      </c>
      <c r="I158" s="53"/>
      <c r="J158" s="53" t="s">
        <v>10</v>
      </c>
      <c r="K158" s="61">
        <v>45593.0</v>
      </c>
      <c r="L158" s="53" t="s">
        <v>129</v>
      </c>
      <c r="M158" s="53" t="s">
        <v>19</v>
      </c>
      <c r="N158" s="64" t="str">
        <f>IFERROR(__xludf.DUMMYFUNCTION("""COMPUTED_VALUE"""),"")</f>
        <v/>
      </c>
      <c r="O158" s="64" t="str">
        <f>IFERROR(__xludf.DUMMYFUNCTION("""COMPUTED_VALUE"""),"")</f>
        <v/>
      </c>
      <c r="P158" s="64" t="str">
        <f>IFERROR(__xludf.DUMMYFUNCTION("""COMPUTED_VALUE"""),"")</f>
        <v/>
      </c>
      <c r="Q158" s="64"/>
      <c r="R158" s="64"/>
      <c r="S158" s="64"/>
    </row>
    <row r="159">
      <c r="A159" s="60">
        <v>45593.5139803588</v>
      </c>
      <c r="B159" s="52" t="s">
        <v>130</v>
      </c>
      <c r="C159" s="53" t="b">
        <v>0</v>
      </c>
      <c r="D159" s="53"/>
      <c r="E159" s="53"/>
      <c r="F159" s="53"/>
      <c r="G159" s="53"/>
      <c r="H159" s="53">
        <v>5.0</v>
      </c>
      <c r="I159" s="53"/>
      <c r="J159" s="53" t="s">
        <v>11</v>
      </c>
      <c r="K159" s="61">
        <v>45593.0</v>
      </c>
      <c r="L159" s="53" t="s">
        <v>129</v>
      </c>
      <c r="M159" s="53" t="s">
        <v>18</v>
      </c>
      <c r="N159" s="64" t="str">
        <f>IFERROR(__xludf.DUMMYFUNCTION("""COMPUTED_VALUE"""),"")</f>
        <v/>
      </c>
      <c r="O159" s="64" t="str">
        <f>IFERROR(__xludf.DUMMYFUNCTION("""COMPUTED_VALUE"""),"")</f>
        <v/>
      </c>
      <c r="P159" s="64" t="str">
        <f>IFERROR(__xludf.DUMMYFUNCTION("""COMPUTED_VALUE"""),"")</f>
        <v/>
      </c>
      <c r="Q159" s="64"/>
      <c r="R159" s="64"/>
      <c r="S159" s="64"/>
    </row>
    <row r="160">
      <c r="A160" s="60">
        <v>45593.64512255787</v>
      </c>
      <c r="B160" s="52" t="s">
        <v>148</v>
      </c>
      <c r="C160" s="53" t="b">
        <v>0</v>
      </c>
      <c r="D160" s="53"/>
      <c r="E160" s="53"/>
      <c r="F160" s="53"/>
      <c r="G160" s="53"/>
      <c r="H160" s="53">
        <v>177.0</v>
      </c>
      <c r="I160" s="53"/>
      <c r="J160" s="53" t="s">
        <v>11</v>
      </c>
      <c r="K160" s="61">
        <v>45593.0</v>
      </c>
      <c r="L160" s="53" t="s">
        <v>129</v>
      </c>
      <c r="M160" s="53" t="s">
        <v>18</v>
      </c>
      <c r="N160" s="64" t="str">
        <f>IFERROR(__xludf.DUMMYFUNCTION("""COMPUTED_VALUE"""),"")</f>
        <v/>
      </c>
      <c r="O160" s="64" t="str">
        <f>IFERROR(__xludf.DUMMYFUNCTION("""COMPUTED_VALUE"""),"")</f>
        <v/>
      </c>
      <c r="P160" s="64" t="str">
        <f>IFERROR(__xludf.DUMMYFUNCTION("""COMPUTED_VALUE"""),"")</f>
        <v/>
      </c>
      <c r="Q160" s="64"/>
      <c r="R160" s="64"/>
      <c r="S160" s="64"/>
    </row>
    <row r="161">
      <c r="A161" s="60">
        <v>45594.46562645833</v>
      </c>
      <c r="B161" s="52" t="s">
        <v>131</v>
      </c>
      <c r="C161" s="53" t="b">
        <v>0</v>
      </c>
      <c r="D161" s="53"/>
      <c r="E161" s="53"/>
      <c r="F161" s="53"/>
      <c r="G161" s="53"/>
      <c r="H161" s="53">
        <v>105.0</v>
      </c>
      <c r="I161" s="53"/>
      <c r="J161" s="53" t="s">
        <v>12</v>
      </c>
      <c r="K161" s="61">
        <v>45593.0</v>
      </c>
      <c r="L161" s="53" t="s">
        <v>129</v>
      </c>
      <c r="M161" s="53" t="s">
        <v>19</v>
      </c>
      <c r="N161" s="64" t="str">
        <f>IFERROR(__xludf.DUMMYFUNCTION("""COMPUTED_VALUE"""),"")</f>
        <v/>
      </c>
      <c r="O161" s="64" t="str">
        <f>IFERROR(__xludf.DUMMYFUNCTION("""COMPUTED_VALUE"""),"")</f>
        <v/>
      </c>
      <c r="P161" s="64" t="str">
        <f>IFERROR(__xludf.DUMMYFUNCTION("""COMPUTED_VALUE"""),"")</f>
        <v/>
      </c>
      <c r="Q161" s="64"/>
      <c r="R161" s="64"/>
      <c r="S161" s="64"/>
    </row>
    <row r="162">
      <c r="A162" s="53"/>
      <c r="B162" s="52" t="s">
        <v>160</v>
      </c>
      <c r="C162" s="53" t="b">
        <v>0</v>
      </c>
      <c r="D162" s="53"/>
      <c r="E162" s="53"/>
      <c r="F162" s="53"/>
      <c r="G162" s="53"/>
      <c r="H162" s="53">
        <v>153.0</v>
      </c>
      <c r="I162" s="53"/>
      <c r="J162" s="53" t="s">
        <v>12</v>
      </c>
      <c r="K162" s="61">
        <v>45593.0</v>
      </c>
      <c r="L162" s="53" t="s">
        <v>129</v>
      </c>
      <c r="M162" s="53" t="s">
        <v>18</v>
      </c>
      <c r="N162" s="64">
        <f>IFERROR(__xludf.DUMMYFUNCTION("""COMPUTED_VALUE"""),335.0)</f>
        <v>335</v>
      </c>
      <c r="O162" s="64">
        <f>IFERROR(__xludf.DUMMYFUNCTION("""COMPUTED_VALUE"""),163.0)</f>
        <v>163</v>
      </c>
      <c r="P162" s="64">
        <f>IFERROR(__xludf.DUMMYFUNCTION("""COMPUTED_VALUE"""),498.0)</f>
        <v>498</v>
      </c>
      <c r="Q162" s="64"/>
      <c r="R162" s="64"/>
      <c r="S162" s="64"/>
    </row>
    <row r="163">
      <c r="A163" s="60">
        <v>45594.55775011574</v>
      </c>
      <c r="B163" s="52" t="s">
        <v>150</v>
      </c>
      <c r="C163" s="53" t="b">
        <v>0</v>
      </c>
      <c r="D163" s="53"/>
      <c r="E163" s="53"/>
      <c r="F163" s="53"/>
      <c r="G163" s="53"/>
      <c r="H163" s="53">
        <v>59.0</v>
      </c>
      <c r="I163" s="53"/>
      <c r="J163" s="53" t="s">
        <v>11</v>
      </c>
      <c r="K163" s="61">
        <v>45594.0</v>
      </c>
      <c r="L163" s="53" t="s">
        <v>132</v>
      </c>
      <c r="M163" s="53" t="s">
        <v>18</v>
      </c>
      <c r="N163" s="64" t="str">
        <f>IFERROR(__xludf.DUMMYFUNCTION("""COMPUTED_VALUE"""),"")</f>
        <v/>
      </c>
      <c r="O163" s="64" t="str">
        <f>IFERROR(__xludf.DUMMYFUNCTION("""COMPUTED_VALUE"""),"")</f>
        <v/>
      </c>
      <c r="P163" s="64" t="str">
        <f>IFERROR(__xludf.DUMMYFUNCTION("""COMPUTED_VALUE"""),"")</f>
        <v/>
      </c>
      <c r="Q163" s="64"/>
      <c r="R163" s="64"/>
      <c r="S163" s="64"/>
    </row>
    <row r="164">
      <c r="A164" s="60">
        <v>45594.62322694444</v>
      </c>
      <c r="B164" s="52" t="s">
        <v>131</v>
      </c>
      <c r="C164" s="53" t="b">
        <v>0</v>
      </c>
      <c r="D164" s="53"/>
      <c r="E164" s="53"/>
      <c r="F164" s="53"/>
      <c r="G164" s="53"/>
      <c r="H164" s="53">
        <v>127.0</v>
      </c>
      <c r="I164" s="53"/>
      <c r="J164" s="53" t="s">
        <v>11</v>
      </c>
      <c r="K164" s="61">
        <v>45594.0</v>
      </c>
      <c r="L164" s="53" t="s">
        <v>132</v>
      </c>
      <c r="M164" s="53" t="s">
        <v>19</v>
      </c>
      <c r="N164" s="64" t="str">
        <f>IFERROR(__xludf.DUMMYFUNCTION("""COMPUTED_VALUE"""),"")</f>
        <v/>
      </c>
      <c r="O164" s="64" t="str">
        <f>IFERROR(__xludf.DUMMYFUNCTION("""COMPUTED_VALUE"""),"")</f>
        <v/>
      </c>
      <c r="P164" s="64" t="str">
        <f>IFERROR(__xludf.DUMMYFUNCTION("""COMPUTED_VALUE"""),"")</f>
        <v/>
      </c>
      <c r="Q164" s="64"/>
      <c r="R164" s="64"/>
      <c r="S164" s="64"/>
    </row>
    <row r="165">
      <c r="A165" s="60">
        <v>45594.65235417824</v>
      </c>
      <c r="B165" s="52" t="s">
        <v>153</v>
      </c>
      <c r="C165" s="53" t="b">
        <v>0</v>
      </c>
      <c r="D165" s="53"/>
      <c r="E165" s="53"/>
      <c r="F165" s="53"/>
      <c r="G165" s="53"/>
      <c r="H165" s="53">
        <v>42.0</v>
      </c>
      <c r="I165" s="53"/>
      <c r="J165" s="53" t="s">
        <v>10</v>
      </c>
      <c r="K165" s="61">
        <v>45594.0</v>
      </c>
      <c r="L165" s="53" t="s">
        <v>132</v>
      </c>
      <c r="M165" s="53" t="s">
        <v>19</v>
      </c>
      <c r="N165" s="64" t="str">
        <f>IFERROR(__xludf.DUMMYFUNCTION("""COMPUTED_VALUE"""),"")</f>
        <v/>
      </c>
      <c r="O165" s="64" t="str">
        <f>IFERROR(__xludf.DUMMYFUNCTION("""COMPUTED_VALUE"""),"")</f>
        <v/>
      </c>
      <c r="P165" s="64" t="str">
        <f>IFERROR(__xludf.DUMMYFUNCTION("""COMPUTED_VALUE"""),"")</f>
        <v/>
      </c>
      <c r="Q165" s="64"/>
      <c r="R165" s="64"/>
      <c r="S165" s="64"/>
    </row>
    <row r="166">
      <c r="A166" s="60">
        <v>45594.88027884259</v>
      </c>
      <c r="B166" s="52" t="s">
        <v>149</v>
      </c>
      <c r="C166" s="53" t="b">
        <v>0</v>
      </c>
      <c r="D166" s="53"/>
      <c r="E166" s="53"/>
      <c r="F166" s="53"/>
      <c r="G166" s="53"/>
      <c r="H166" s="53">
        <v>105.0</v>
      </c>
      <c r="I166" s="53"/>
      <c r="J166" s="53" t="s">
        <v>12</v>
      </c>
      <c r="K166" s="61">
        <v>45594.0</v>
      </c>
      <c r="L166" s="53" t="s">
        <v>132</v>
      </c>
      <c r="M166" s="53" t="s">
        <v>19</v>
      </c>
      <c r="N166" s="64">
        <f>IFERROR(__xludf.DUMMYFUNCTION("""COMPUTED_VALUE"""),59.0)</f>
        <v>59</v>
      </c>
      <c r="O166" s="64">
        <f>IFERROR(__xludf.DUMMYFUNCTION("""COMPUTED_VALUE"""),274.0)</f>
        <v>274</v>
      </c>
      <c r="P166" s="64">
        <f>IFERROR(__xludf.DUMMYFUNCTION("""COMPUTED_VALUE"""),333.0)</f>
        <v>333</v>
      </c>
      <c r="Q166" s="64"/>
      <c r="R166" s="64"/>
      <c r="S166" s="64"/>
    </row>
    <row r="167">
      <c r="A167" s="60">
        <v>45595.43946359953</v>
      </c>
      <c r="B167" s="52" t="s">
        <v>136</v>
      </c>
      <c r="C167" s="53" t="b">
        <v>0</v>
      </c>
      <c r="D167" s="53"/>
      <c r="E167" s="53"/>
      <c r="F167" s="53"/>
      <c r="G167" s="53"/>
      <c r="H167" s="53">
        <v>61.0</v>
      </c>
      <c r="I167" s="53"/>
      <c r="J167" s="53" t="s">
        <v>10</v>
      </c>
      <c r="K167" s="61">
        <v>45595.0</v>
      </c>
      <c r="L167" s="53" t="s">
        <v>135</v>
      </c>
      <c r="M167" s="53" t="s">
        <v>19</v>
      </c>
      <c r="N167" s="64" t="str">
        <f>IFERROR(__xludf.DUMMYFUNCTION("""COMPUTED_VALUE"""),"")</f>
        <v/>
      </c>
      <c r="O167" s="64" t="str">
        <f>IFERROR(__xludf.DUMMYFUNCTION("""COMPUTED_VALUE"""),"")</f>
        <v/>
      </c>
      <c r="P167" s="64" t="str">
        <f>IFERROR(__xludf.DUMMYFUNCTION("""COMPUTED_VALUE"""),"")</f>
        <v/>
      </c>
      <c r="Q167" s="64"/>
      <c r="R167" s="64"/>
      <c r="S167" s="64"/>
    </row>
    <row r="168">
      <c r="A168" s="60">
        <v>45595.58495292824</v>
      </c>
      <c r="B168" s="52" t="s">
        <v>130</v>
      </c>
      <c r="C168" s="53" t="b">
        <v>0</v>
      </c>
      <c r="D168" s="53"/>
      <c r="E168" s="53"/>
      <c r="F168" s="53"/>
      <c r="G168" s="53"/>
      <c r="H168" s="53">
        <v>8.0</v>
      </c>
      <c r="I168" s="53"/>
      <c r="J168" s="53" t="s">
        <v>11</v>
      </c>
      <c r="K168" s="61">
        <v>45595.0</v>
      </c>
      <c r="L168" s="53" t="s">
        <v>135</v>
      </c>
      <c r="M168" s="53" t="s">
        <v>18</v>
      </c>
      <c r="N168" s="64" t="str">
        <f>IFERROR(__xludf.DUMMYFUNCTION("""COMPUTED_VALUE"""),"")</f>
        <v/>
      </c>
      <c r="O168" s="64" t="str">
        <f>IFERROR(__xludf.DUMMYFUNCTION("""COMPUTED_VALUE"""),"")</f>
        <v/>
      </c>
      <c r="P168" s="64" t="str">
        <f>IFERROR(__xludf.DUMMYFUNCTION("""COMPUTED_VALUE"""),"")</f>
        <v/>
      </c>
      <c r="Q168" s="64"/>
      <c r="R168" s="64"/>
      <c r="S168" s="64"/>
    </row>
    <row r="169">
      <c r="A169" s="60">
        <v>45595.64518138889</v>
      </c>
      <c r="B169" s="52" t="s">
        <v>148</v>
      </c>
      <c r="C169" s="53" t="b">
        <v>0</v>
      </c>
      <c r="D169" s="53"/>
      <c r="E169" s="53"/>
      <c r="F169" s="53"/>
      <c r="G169" s="53"/>
      <c r="H169" s="53">
        <v>171.0</v>
      </c>
      <c r="I169" s="53"/>
      <c r="J169" s="53" t="s">
        <v>11</v>
      </c>
      <c r="K169" s="61">
        <v>45595.0</v>
      </c>
      <c r="L169" s="53" t="s">
        <v>135</v>
      </c>
      <c r="M169" s="53" t="s">
        <v>18</v>
      </c>
      <c r="N169" s="64" t="str">
        <f>IFERROR(__xludf.DUMMYFUNCTION("""COMPUTED_VALUE"""),"")</f>
        <v/>
      </c>
      <c r="O169" s="64" t="str">
        <f>IFERROR(__xludf.DUMMYFUNCTION("""COMPUTED_VALUE"""),"")</f>
        <v/>
      </c>
      <c r="P169" s="64" t="str">
        <f>IFERROR(__xludf.DUMMYFUNCTION("""COMPUTED_VALUE"""),"")</f>
        <v/>
      </c>
      <c r="Q169" s="64"/>
      <c r="R169" s="64"/>
      <c r="S169" s="64"/>
    </row>
    <row r="170">
      <c r="A170" s="60">
        <v>45595.66453457176</v>
      </c>
      <c r="B170" s="52" t="s">
        <v>149</v>
      </c>
      <c r="C170" s="53" t="b">
        <v>0</v>
      </c>
      <c r="D170" s="53"/>
      <c r="E170" s="53"/>
      <c r="F170" s="53"/>
      <c r="G170" s="53"/>
      <c r="H170" s="53">
        <v>151.0</v>
      </c>
      <c r="I170" s="53"/>
      <c r="J170" s="53" t="s">
        <v>11</v>
      </c>
      <c r="K170" s="61">
        <v>45595.0</v>
      </c>
      <c r="L170" s="53" t="s">
        <v>135</v>
      </c>
      <c r="M170" s="53" t="s">
        <v>19</v>
      </c>
      <c r="N170" s="64" t="str">
        <f>IFERROR(__xludf.DUMMYFUNCTION("""COMPUTED_VALUE"""),"")</f>
        <v/>
      </c>
      <c r="O170" s="64" t="str">
        <f>IFERROR(__xludf.DUMMYFUNCTION("""COMPUTED_VALUE"""),"")</f>
        <v/>
      </c>
      <c r="P170" s="64" t="str">
        <f>IFERROR(__xludf.DUMMYFUNCTION("""COMPUTED_VALUE"""),"")</f>
        <v/>
      </c>
      <c r="Q170" s="64"/>
      <c r="R170" s="64"/>
      <c r="S170" s="64"/>
    </row>
    <row r="171">
      <c r="A171" s="60">
        <v>45595.86969219908</v>
      </c>
      <c r="B171" s="52" t="s">
        <v>151</v>
      </c>
      <c r="C171" s="53" t="b">
        <v>0</v>
      </c>
      <c r="D171" s="53"/>
      <c r="E171" s="53"/>
      <c r="F171" s="53"/>
      <c r="G171" s="53"/>
      <c r="H171" s="53">
        <v>71.0</v>
      </c>
      <c r="I171" s="53"/>
      <c r="J171" s="53" t="s">
        <v>12</v>
      </c>
      <c r="K171" s="61">
        <v>45595.0</v>
      </c>
      <c r="L171" s="53" t="s">
        <v>135</v>
      </c>
      <c r="M171" s="53" t="s">
        <v>19</v>
      </c>
      <c r="N171" s="64" t="str">
        <f>IFERROR(__xludf.DUMMYFUNCTION("""COMPUTED_VALUE"""),"")</f>
        <v/>
      </c>
      <c r="O171" s="64" t="str">
        <f>IFERROR(__xludf.DUMMYFUNCTION("""COMPUTED_VALUE"""),"")</f>
        <v/>
      </c>
      <c r="P171" s="64" t="str">
        <f>IFERROR(__xludf.DUMMYFUNCTION("""COMPUTED_VALUE"""),"")</f>
        <v/>
      </c>
      <c r="Q171" s="64"/>
      <c r="R171" s="64"/>
      <c r="S171" s="64"/>
    </row>
    <row r="172">
      <c r="A172" s="60">
        <v>45595.87759212963</v>
      </c>
      <c r="B172" s="52" t="s">
        <v>149</v>
      </c>
      <c r="C172" s="53" t="b">
        <v>0</v>
      </c>
      <c r="D172" s="53"/>
      <c r="E172" s="53"/>
      <c r="F172" s="53"/>
      <c r="G172" s="53"/>
      <c r="H172" s="53">
        <v>148.0</v>
      </c>
      <c r="I172" s="53"/>
      <c r="J172" s="53" t="s">
        <v>12</v>
      </c>
      <c r="K172" s="61">
        <v>45595.0</v>
      </c>
      <c r="L172" s="53" t="s">
        <v>135</v>
      </c>
      <c r="M172" s="53" t="s">
        <v>18</v>
      </c>
      <c r="N172" s="64" t="str">
        <f>IFERROR(__xludf.DUMMYFUNCTION("""COMPUTED_VALUE"""),"")</f>
        <v/>
      </c>
      <c r="O172" s="64" t="str">
        <f>IFERROR(__xludf.DUMMYFUNCTION("""COMPUTED_VALUE"""),"")</f>
        <v/>
      </c>
      <c r="P172" s="64" t="str">
        <f>IFERROR(__xludf.DUMMYFUNCTION("""COMPUTED_VALUE"""),"")</f>
        <v/>
      </c>
      <c r="Q172" s="64"/>
      <c r="R172" s="64"/>
      <c r="S172" s="64"/>
    </row>
    <row r="173">
      <c r="A173" s="60">
        <v>45596.55519814815</v>
      </c>
      <c r="B173" s="52" t="s">
        <v>150</v>
      </c>
      <c r="C173" s="53" t="b">
        <v>0</v>
      </c>
      <c r="D173" s="53"/>
      <c r="E173" s="53"/>
      <c r="F173" s="53"/>
      <c r="G173" s="53"/>
      <c r="H173" s="53">
        <v>80.0</v>
      </c>
      <c r="I173" s="53"/>
      <c r="J173" s="53" t="s">
        <v>12</v>
      </c>
      <c r="K173" s="61">
        <v>45595.0</v>
      </c>
      <c r="L173" s="53" t="s">
        <v>135</v>
      </c>
      <c r="M173" s="53" t="s">
        <v>19</v>
      </c>
      <c r="N173" s="64">
        <f>IFERROR(__xludf.DUMMYFUNCTION("""COMPUTED_VALUE"""),327.0)</f>
        <v>327</v>
      </c>
      <c r="O173" s="64">
        <f>IFERROR(__xludf.DUMMYFUNCTION("""COMPUTED_VALUE"""),363.0)</f>
        <v>363</v>
      </c>
      <c r="P173" s="64">
        <f>IFERROR(__xludf.DUMMYFUNCTION("""COMPUTED_VALUE"""),690.0)</f>
        <v>690</v>
      </c>
      <c r="Q173" s="64"/>
      <c r="R173" s="64"/>
      <c r="S173" s="64"/>
    </row>
    <row r="174">
      <c r="A174" s="60">
        <v>45596.62425752315</v>
      </c>
      <c r="B174" s="52" t="s">
        <v>149</v>
      </c>
      <c r="C174" s="53" t="b">
        <v>0</v>
      </c>
      <c r="D174" s="53"/>
      <c r="E174" s="53"/>
      <c r="F174" s="53"/>
      <c r="G174" s="53"/>
      <c r="H174" s="53">
        <v>132.0</v>
      </c>
      <c r="I174" s="53"/>
      <c r="J174" s="53" t="s">
        <v>11</v>
      </c>
      <c r="K174" s="61">
        <v>45596.0</v>
      </c>
      <c r="L174" s="53" t="s">
        <v>137</v>
      </c>
      <c r="M174" s="53" t="s">
        <v>19</v>
      </c>
      <c r="N174" s="64" t="str">
        <f>IFERROR(__xludf.DUMMYFUNCTION("""COMPUTED_VALUE"""),"")</f>
        <v/>
      </c>
      <c r="O174" s="64" t="str">
        <f>IFERROR(__xludf.DUMMYFUNCTION("""COMPUTED_VALUE"""),"")</f>
        <v/>
      </c>
      <c r="P174" s="64" t="str">
        <f>IFERROR(__xludf.DUMMYFUNCTION("""COMPUTED_VALUE"""),"")</f>
        <v/>
      </c>
      <c r="Q174" s="64"/>
      <c r="R174" s="64"/>
      <c r="S174" s="64"/>
    </row>
    <row r="175">
      <c r="A175" s="60">
        <v>45596.62558258101</v>
      </c>
      <c r="B175" s="52" t="s">
        <v>150</v>
      </c>
      <c r="C175" s="53" t="b">
        <v>0</v>
      </c>
      <c r="D175" s="53"/>
      <c r="E175" s="53"/>
      <c r="F175" s="53"/>
      <c r="G175" s="53"/>
      <c r="H175" s="53">
        <v>62.0</v>
      </c>
      <c r="I175" s="53"/>
      <c r="J175" s="53" t="s">
        <v>11</v>
      </c>
      <c r="K175" s="61">
        <v>45596.0</v>
      </c>
      <c r="L175" s="53" t="s">
        <v>137</v>
      </c>
      <c r="M175" s="53" t="s">
        <v>18</v>
      </c>
      <c r="N175" s="64" t="str">
        <f>IFERROR(__xludf.DUMMYFUNCTION("""COMPUTED_VALUE"""),"")</f>
        <v/>
      </c>
      <c r="O175" s="64" t="str">
        <f>IFERROR(__xludf.DUMMYFUNCTION("""COMPUTED_VALUE"""),"")</f>
        <v/>
      </c>
      <c r="P175" s="64" t="str">
        <f>IFERROR(__xludf.DUMMYFUNCTION("""COMPUTED_VALUE"""),"")</f>
        <v/>
      </c>
      <c r="Q175" s="64"/>
      <c r="R175" s="64"/>
      <c r="S175" s="64"/>
    </row>
    <row r="176">
      <c r="A176" s="60">
        <v>45598.86976563658</v>
      </c>
      <c r="B176" s="52" t="s">
        <v>153</v>
      </c>
      <c r="C176" s="53" t="b">
        <v>0</v>
      </c>
      <c r="D176" s="53"/>
      <c r="E176" s="53"/>
      <c r="F176" s="53"/>
      <c r="G176" s="53"/>
      <c r="H176" s="53">
        <v>43.0</v>
      </c>
      <c r="I176" s="53"/>
      <c r="J176" s="53" t="s">
        <v>10</v>
      </c>
      <c r="K176" s="61">
        <v>45596.0</v>
      </c>
      <c r="L176" s="53" t="s">
        <v>137</v>
      </c>
      <c r="M176" s="53" t="s">
        <v>19</v>
      </c>
      <c r="N176" s="64" t="str">
        <f>IFERROR(__xludf.DUMMYFUNCTION("""COMPUTED_VALUE"""),"")</f>
        <v/>
      </c>
      <c r="O176" s="64" t="str">
        <f>IFERROR(__xludf.DUMMYFUNCTION("""COMPUTED_VALUE"""),"")</f>
        <v/>
      </c>
      <c r="P176" s="64" t="str">
        <f>IFERROR(__xludf.DUMMYFUNCTION("""COMPUTED_VALUE"""),"")</f>
        <v/>
      </c>
      <c r="Q176" s="64"/>
      <c r="R176" s="64"/>
      <c r="S176" s="64"/>
    </row>
    <row r="177">
      <c r="A177" s="60">
        <v>45596.86890796296</v>
      </c>
      <c r="B177" s="52" t="s">
        <v>148</v>
      </c>
      <c r="C177" s="53" t="b">
        <v>0</v>
      </c>
      <c r="D177" s="53"/>
      <c r="E177" s="53"/>
      <c r="F177" s="53"/>
      <c r="G177" s="53"/>
      <c r="H177" s="53">
        <v>150.0</v>
      </c>
      <c r="I177" s="53"/>
      <c r="J177" s="53" t="s">
        <v>12</v>
      </c>
      <c r="K177" s="61">
        <v>45596.0</v>
      </c>
      <c r="L177" s="53" t="s">
        <v>137</v>
      </c>
      <c r="M177" s="53" t="s">
        <v>19</v>
      </c>
      <c r="N177" s="64">
        <f>IFERROR(__xludf.DUMMYFUNCTION("""COMPUTED_VALUE"""),62.0)</f>
        <v>62</v>
      </c>
      <c r="O177" s="64">
        <f>IFERROR(__xludf.DUMMYFUNCTION("""COMPUTED_VALUE"""),325.0)</f>
        <v>325</v>
      </c>
      <c r="P177" s="64">
        <f>IFERROR(__xludf.DUMMYFUNCTION("""COMPUTED_VALUE"""),387.0)</f>
        <v>387</v>
      </c>
      <c r="Q177" s="64"/>
      <c r="R177" s="64"/>
      <c r="S177" s="64"/>
    </row>
    <row r="178">
      <c r="A178" s="60">
        <v>45597.38906768519</v>
      </c>
      <c r="B178" s="52" t="s">
        <v>136</v>
      </c>
      <c r="C178" s="53" t="b">
        <v>0</v>
      </c>
      <c r="D178" s="53"/>
      <c r="E178" s="53"/>
      <c r="F178" s="53"/>
      <c r="G178" s="53"/>
      <c r="H178" s="53">
        <v>38.0</v>
      </c>
      <c r="I178" s="53"/>
      <c r="J178" s="53" t="s">
        <v>10</v>
      </c>
      <c r="K178" s="61">
        <v>45597.0</v>
      </c>
      <c r="L178" s="53" t="s">
        <v>138</v>
      </c>
      <c r="M178" s="53" t="s">
        <v>19</v>
      </c>
      <c r="N178" s="64" t="str">
        <f>IFERROR(__xludf.DUMMYFUNCTION("""COMPUTED_VALUE"""),"")</f>
        <v/>
      </c>
      <c r="O178" s="64" t="str">
        <f>IFERROR(__xludf.DUMMYFUNCTION("""COMPUTED_VALUE"""),"")</f>
        <v/>
      </c>
      <c r="P178" s="64" t="str">
        <f>IFERROR(__xludf.DUMMYFUNCTION("""COMPUTED_VALUE"""),"")</f>
        <v/>
      </c>
      <c r="Q178" s="64"/>
      <c r="R178" s="64"/>
      <c r="S178" s="64"/>
    </row>
    <row r="179">
      <c r="A179" s="60">
        <v>45597.54964127314</v>
      </c>
      <c r="B179" s="52" t="s">
        <v>151</v>
      </c>
      <c r="C179" s="53" t="b">
        <v>0</v>
      </c>
      <c r="D179" s="53"/>
      <c r="E179" s="53"/>
      <c r="F179" s="53"/>
      <c r="G179" s="53"/>
      <c r="H179" s="53">
        <v>177.0</v>
      </c>
      <c r="I179" s="53"/>
      <c r="J179" s="53" t="s">
        <v>13</v>
      </c>
      <c r="K179" s="61">
        <v>45597.0</v>
      </c>
      <c r="L179" s="53" t="s">
        <v>138</v>
      </c>
      <c r="M179" s="53" t="s">
        <v>19</v>
      </c>
      <c r="N179" s="64" t="str">
        <f>IFERROR(__xludf.DUMMYFUNCTION("""COMPUTED_VALUE"""),"")</f>
        <v/>
      </c>
      <c r="O179" s="64" t="str">
        <f>IFERROR(__xludf.DUMMYFUNCTION("""COMPUTED_VALUE"""),"")</f>
        <v/>
      </c>
      <c r="P179" s="64" t="str">
        <f>IFERROR(__xludf.DUMMYFUNCTION("""COMPUTED_VALUE"""),"")</f>
        <v/>
      </c>
      <c r="Q179" s="64"/>
      <c r="R179" s="64"/>
      <c r="S179" s="64"/>
    </row>
    <row r="180">
      <c r="A180" s="60">
        <v>45597.65948974537</v>
      </c>
      <c r="B180" s="52" t="s">
        <v>130</v>
      </c>
      <c r="C180" s="53" t="b">
        <v>0</v>
      </c>
      <c r="D180" s="53"/>
      <c r="E180" s="53"/>
      <c r="F180" s="53"/>
      <c r="G180" s="53"/>
      <c r="H180" s="53">
        <v>121.0</v>
      </c>
      <c r="I180" s="53"/>
      <c r="J180" s="53" t="s">
        <v>11</v>
      </c>
      <c r="K180" s="61">
        <v>45597.0</v>
      </c>
      <c r="L180" s="53" t="s">
        <v>138</v>
      </c>
      <c r="M180" s="53" t="s">
        <v>18</v>
      </c>
      <c r="N180" s="64" t="str">
        <f>IFERROR(__xludf.DUMMYFUNCTION("""COMPUTED_VALUE"""),"")</f>
        <v/>
      </c>
      <c r="O180" s="64" t="str">
        <f>IFERROR(__xludf.DUMMYFUNCTION("""COMPUTED_VALUE"""),"")</f>
        <v/>
      </c>
      <c r="P180" s="64" t="str">
        <f>IFERROR(__xludf.DUMMYFUNCTION("""COMPUTED_VALUE"""),"")</f>
        <v/>
      </c>
      <c r="Q180" s="64"/>
      <c r="R180" s="64"/>
      <c r="S180" s="64"/>
    </row>
    <row r="181">
      <c r="A181" s="60">
        <v>45600.54101592593</v>
      </c>
      <c r="B181" s="52" t="s">
        <v>161</v>
      </c>
      <c r="C181" s="53" t="b">
        <v>0</v>
      </c>
      <c r="D181" s="53"/>
      <c r="E181" s="53"/>
      <c r="F181" s="53"/>
      <c r="G181" s="53"/>
      <c r="H181" s="53">
        <v>99.0</v>
      </c>
      <c r="I181" s="53"/>
      <c r="J181" s="53" t="s">
        <v>11</v>
      </c>
      <c r="K181" s="61">
        <v>45597.0</v>
      </c>
      <c r="L181" s="53" t="s">
        <v>138</v>
      </c>
      <c r="M181" s="53" t="s">
        <v>19</v>
      </c>
      <c r="N181" s="64">
        <f>IFERROR(__xludf.DUMMYFUNCTION("""COMPUTED_VALUE"""),121.0)</f>
        <v>121</v>
      </c>
      <c r="O181" s="64">
        <f>IFERROR(__xludf.DUMMYFUNCTION("""COMPUTED_VALUE"""),314.0)</f>
        <v>314</v>
      </c>
      <c r="P181" s="64">
        <f>IFERROR(__xludf.DUMMYFUNCTION("""COMPUTED_VALUE"""),435.0)</f>
        <v>435</v>
      </c>
      <c r="Q181" s="64"/>
      <c r="R181" s="64"/>
      <c r="S181" s="64"/>
    </row>
    <row r="182">
      <c r="A182" s="60">
        <v>45600.53861439815</v>
      </c>
      <c r="B182" s="52" t="s">
        <v>134</v>
      </c>
      <c r="C182" s="53" t="b">
        <v>0</v>
      </c>
      <c r="D182" s="53"/>
      <c r="E182" s="53"/>
      <c r="F182" s="53"/>
      <c r="G182" s="53"/>
      <c r="H182" s="53">
        <v>78.0</v>
      </c>
      <c r="I182" s="53"/>
      <c r="J182" s="53" t="s">
        <v>11</v>
      </c>
      <c r="K182" s="61">
        <v>45600.0</v>
      </c>
      <c r="L182" s="53" t="s">
        <v>129</v>
      </c>
      <c r="M182" s="53" t="s">
        <v>19</v>
      </c>
      <c r="N182" s="64" t="str">
        <f>IFERROR(__xludf.DUMMYFUNCTION("""COMPUTED_VALUE"""),"")</f>
        <v/>
      </c>
      <c r="O182" s="64" t="str">
        <f>IFERROR(__xludf.DUMMYFUNCTION("""COMPUTED_VALUE"""),"")</f>
        <v/>
      </c>
      <c r="P182" s="64" t="str">
        <f>IFERROR(__xludf.DUMMYFUNCTION("""COMPUTED_VALUE"""),"")</f>
        <v/>
      </c>
      <c r="Q182" s="64"/>
      <c r="R182" s="64"/>
      <c r="S182" s="64"/>
    </row>
    <row r="183">
      <c r="A183" s="60">
        <v>45600.61948101852</v>
      </c>
      <c r="B183" s="52" t="s">
        <v>149</v>
      </c>
      <c r="C183" s="53" t="b">
        <v>0</v>
      </c>
      <c r="D183" s="53"/>
      <c r="E183" s="53"/>
      <c r="F183" s="53"/>
      <c r="G183" s="53"/>
      <c r="H183" s="53">
        <v>55.0</v>
      </c>
      <c r="I183" s="53"/>
      <c r="J183" s="53" t="s">
        <v>11</v>
      </c>
      <c r="K183" s="61">
        <v>45600.0</v>
      </c>
      <c r="L183" s="53" t="s">
        <v>129</v>
      </c>
      <c r="M183" s="53" t="s">
        <v>19</v>
      </c>
      <c r="N183" s="64" t="str">
        <f>IFERROR(__xludf.DUMMYFUNCTION("""COMPUTED_VALUE"""),"")</f>
        <v/>
      </c>
      <c r="O183" s="64" t="str">
        <f>IFERROR(__xludf.DUMMYFUNCTION("""COMPUTED_VALUE"""),"")</f>
        <v/>
      </c>
      <c r="P183" s="64" t="str">
        <f>IFERROR(__xludf.DUMMYFUNCTION("""COMPUTED_VALUE"""),"")</f>
        <v/>
      </c>
      <c r="Q183" s="64"/>
      <c r="R183" s="64"/>
      <c r="S183" s="64"/>
    </row>
    <row r="184">
      <c r="A184" s="60">
        <v>45600.6455988426</v>
      </c>
      <c r="B184" s="52" t="s">
        <v>148</v>
      </c>
      <c r="C184" s="53" t="b">
        <v>0</v>
      </c>
      <c r="D184" s="53"/>
      <c r="E184" s="53"/>
      <c r="F184" s="53"/>
      <c r="G184" s="53"/>
      <c r="H184" s="53">
        <v>174.0</v>
      </c>
      <c r="I184" s="53"/>
      <c r="J184" s="53" t="s">
        <v>11</v>
      </c>
      <c r="K184" s="61">
        <v>45600.0</v>
      </c>
      <c r="L184" s="53" t="s">
        <v>129</v>
      </c>
      <c r="M184" s="53" t="s">
        <v>18</v>
      </c>
      <c r="N184" s="64" t="str">
        <f>IFERROR(__xludf.DUMMYFUNCTION("""COMPUTED_VALUE"""),"")</f>
        <v/>
      </c>
      <c r="O184" s="64" t="str">
        <f>IFERROR(__xludf.DUMMYFUNCTION("""COMPUTED_VALUE"""),"")</f>
        <v/>
      </c>
      <c r="P184" s="64" t="str">
        <f>IFERROR(__xludf.DUMMYFUNCTION("""COMPUTED_VALUE"""),"")</f>
        <v/>
      </c>
      <c r="Q184" s="64"/>
      <c r="R184" s="64"/>
      <c r="S184" s="64"/>
    </row>
    <row r="185">
      <c r="A185" s="60">
        <v>45600.7764684375</v>
      </c>
      <c r="B185" s="52" t="s">
        <v>130</v>
      </c>
      <c r="C185" s="53" t="b">
        <v>0</v>
      </c>
      <c r="D185" s="53"/>
      <c r="E185" s="53"/>
      <c r="F185" s="53"/>
      <c r="G185" s="53"/>
      <c r="H185" s="53">
        <v>11.0</v>
      </c>
      <c r="I185" s="53"/>
      <c r="J185" s="53" t="s">
        <v>11</v>
      </c>
      <c r="K185" s="61">
        <v>45600.0</v>
      </c>
      <c r="L185" s="53" t="s">
        <v>129</v>
      </c>
      <c r="M185" s="53" t="s">
        <v>18</v>
      </c>
      <c r="N185" s="64">
        <f>IFERROR(__xludf.DUMMYFUNCTION("""COMPUTED_VALUE"""),185.0)</f>
        <v>185</v>
      </c>
      <c r="O185" s="64">
        <f>IFERROR(__xludf.DUMMYFUNCTION("""COMPUTED_VALUE"""),133.0)</f>
        <v>133</v>
      </c>
      <c r="P185" s="64">
        <f>IFERROR(__xludf.DUMMYFUNCTION("""COMPUTED_VALUE"""),318.0)</f>
        <v>318</v>
      </c>
      <c r="Q185" s="64"/>
      <c r="R185" s="64"/>
      <c r="S185" s="64"/>
    </row>
    <row r="186">
      <c r="A186" s="60">
        <v>45602.55849144676</v>
      </c>
      <c r="B186" s="52" t="s">
        <v>150</v>
      </c>
      <c r="C186" s="53" t="b">
        <v>0</v>
      </c>
      <c r="D186" s="53"/>
      <c r="E186" s="53"/>
      <c r="F186" s="53"/>
      <c r="G186" s="53"/>
      <c r="H186" s="53">
        <v>64.0</v>
      </c>
      <c r="I186" s="53"/>
      <c r="J186" s="53" t="s">
        <v>11</v>
      </c>
      <c r="K186" s="61">
        <v>45602.0</v>
      </c>
      <c r="L186" s="53" t="s">
        <v>135</v>
      </c>
      <c r="M186" s="53" t="s">
        <v>18</v>
      </c>
      <c r="N186" s="64" t="str">
        <f>IFERROR(__xludf.DUMMYFUNCTION("""COMPUTED_VALUE"""),"")</f>
        <v/>
      </c>
      <c r="O186" s="64" t="str">
        <f>IFERROR(__xludf.DUMMYFUNCTION("""COMPUTED_VALUE"""),"")</f>
        <v/>
      </c>
      <c r="P186" s="64" t="str">
        <f>IFERROR(__xludf.DUMMYFUNCTION("""COMPUTED_VALUE"""),"")</f>
        <v/>
      </c>
      <c r="Q186" s="64"/>
      <c r="R186" s="64"/>
      <c r="S186" s="64"/>
    </row>
    <row r="187">
      <c r="A187" s="60">
        <v>45602.60459928241</v>
      </c>
      <c r="B187" s="52" t="s">
        <v>153</v>
      </c>
      <c r="C187" s="53" t="b">
        <v>0</v>
      </c>
      <c r="D187" s="53"/>
      <c r="E187" s="53"/>
      <c r="F187" s="53"/>
      <c r="G187" s="53"/>
      <c r="H187" s="53">
        <v>42.0</v>
      </c>
      <c r="I187" s="53"/>
      <c r="J187" s="53" t="s">
        <v>10</v>
      </c>
      <c r="K187" s="61">
        <v>45602.0</v>
      </c>
      <c r="L187" s="53" t="s">
        <v>135</v>
      </c>
      <c r="M187" s="53" t="s">
        <v>19</v>
      </c>
      <c r="N187" s="64" t="str">
        <f>IFERROR(__xludf.DUMMYFUNCTION("""COMPUTED_VALUE"""),"")</f>
        <v/>
      </c>
      <c r="O187" s="64" t="str">
        <f>IFERROR(__xludf.DUMMYFUNCTION("""COMPUTED_VALUE"""),"")</f>
        <v/>
      </c>
      <c r="P187" s="64" t="str">
        <f>IFERROR(__xludf.DUMMYFUNCTION("""COMPUTED_VALUE"""),"")</f>
        <v/>
      </c>
      <c r="Q187" s="64"/>
      <c r="R187" s="64"/>
      <c r="S187" s="64"/>
    </row>
    <row r="188">
      <c r="A188" s="60">
        <v>45602.62525140047</v>
      </c>
      <c r="B188" s="52" t="s">
        <v>131</v>
      </c>
      <c r="C188" s="53" t="b">
        <v>0</v>
      </c>
      <c r="D188" s="53"/>
      <c r="E188" s="53"/>
      <c r="F188" s="53"/>
      <c r="G188" s="53"/>
      <c r="H188" s="53">
        <v>185.0</v>
      </c>
      <c r="I188" s="53"/>
      <c r="J188" s="53" t="s">
        <v>11</v>
      </c>
      <c r="K188" s="61">
        <v>45602.0</v>
      </c>
      <c r="L188" s="53" t="s">
        <v>135</v>
      </c>
      <c r="M188" s="53" t="s">
        <v>19</v>
      </c>
      <c r="N188" s="64" t="str">
        <f>IFERROR(__xludf.DUMMYFUNCTION("""COMPUTED_VALUE"""),"")</f>
        <v/>
      </c>
      <c r="O188" s="64" t="str">
        <f>IFERROR(__xludf.DUMMYFUNCTION("""COMPUTED_VALUE"""),"")</f>
        <v/>
      </c>
      <c r="P188" s="64" t="str">
        <f>IFERROR(__xludf.DUMMYFUNCTION("""COMPUTED_VALUE"""),"")</f>
        <v/>
      </c>
      <c r="Q188" s="64"/>
      <c r="R188" s="64"/>
      <c r="S188" s="64"/>
    </row>
    <row r="189">
      <c r="A189" s="60">
        <v>45603.29255325231</v>
      </c>
      <c r="B189" s="52" t="s">
        <v>162</v>
      </c>
      <c r="C189" s="53" t="b">
        <v>0</v>
      </c>
      <c r="D189" s="53"/>
      <c r="E189" s="53"/>
      <c r="F189" s="53"/>
      <c r="G189" s="53"/>
      <c r="H189" s="53">
        <v>208.0</v>
      </c>
      <c r="I189" s="53"/>
      <c r="J189" s="53" t="s">
        <v>12</v>
      </c>
      <c r="K189" s="61">
        <v>45602.0</v>
      </c>
      <c r="L189" s="53" t="s">
        <v>135</v>
      </c>
      <c r="M189" s="53" t="s">
        <v>19</v>
      </c>
      <c r="N189" s="64">
        <f>IFERROR(__xludf.DUMMYFUNCTION("""COMPUTED_VALUE"""),64.0)</f>
        <v>64</v>
      </c>
      <c r="O189" s="64">
        <f>IFERROR(__xludf.DUMMYFUNCTION("""COMPUTED_VALUE"""),435.0)</f>
        <v>435</v>
      </c>
      <c r="P189" s="64">
        <f>IFERROR(__xludf.DUMMYFUNCTION("""COMPUTED_VALUE"""),499.0)</f>
        <v>499</v>
      </c>
      <c r="Q189" s="64"/>
      <c r="R189" s="64"/>
      <c r="S189" s="64"/>
    </row>
    <row r="190">
      <c r="A190" s="60">
        <v>45603.55657799768</v>
      </c>
      <c r="B190" s="52" t="s">
        <v>150</v>
      </c>
      <c r="C190" s="53" t="b">
        <v>0</v>
      </c>
      <c r="D190" s="53"/>
      <c r="E190" s="53"/>
      <c r="F190" s="53"/>
      <c r="G190" s="53"/>
      <c r="H190" s="53">
        <v>138.0</v>
      </c>
      <c r="I190" s="53"/>
      <c r="J190" s="53" t="s">
        <v>11</v>
      </c>
      <c r="K190" s="61">
        <v>45603.0</v>
      </c>
      <c r="L190" s="53" t="s">
        <v>137</v>
      </c>
      <c r="M190" s="53" t="s">
        <v>18</v>
      </c>
      <c r="N190" s="64" t="str">
        <f>IFERROR(__xludf.DUMMYFUNCTION("""COMPUTED_VALUE"""),"")</f>
        <v/>
      </c>
      <c r="O190" s="64" t="str">
        <f>IFERROR(__xludf.DUMMYFUNCTION("""COMPUTED_VALUE"""),"")</f>
        <v/>
      </c>
      <c r="P190" s="64" t="str">
        <f>IFERROR(__xludf.DUMMYFUNCTION("""COMPUTED_VALUE"""),"")</f>
        <v/>
      </c>
      <c r="Q190" s="64"/>
      <c r="R190" s="64"/>
      <c r="S190" s="64"/>
    </row>
    <row r="191">
      <c r="A191" s="60">
        <v>45603.62491172454</v>
      </c>
      <c r="B191" s="52" t="s">
        <v>149</v>
      </c>
      <c r="C191" s="53" t="b">
        <v>0</v>
      </c>
      <c r="D191" s="53"/>
      <c r="E191" s="53"/>
      <c r="F191" s="53"/>
      <c r="G191" s="53"/>
      <c r="H191" s="53">
        <v>118.0</v>
      </c>
      <c r="I191" s="53"/>
      <c r="J191" s="53" t="s">
        <v>11</v>
      </c>
      <c r="K191" s="61">
        <v>45603.0</v>
      </c>
      <c r="L191" s="53" t="s">
        <v>137</v>
      </c>
      <c r="M191" s="53" t="s">
        <v>19</v>
      </c>
      <c r="N191" s="64" t="str">
        <f>IFERROR(__xludf.DUMMYFUNCTION("""COMPUTED_VALUE"""),"")</f>
        <v/>
      </c>
      <c r="O191" s="64" t="str">
        <f>IFERROR(__xludf.DUMMYFUNCTION("""COMPUTED_VALUE"""),"")</f>
        <v/>
      </c>
      <c r="P191" s="64" t="str">
        <f>IFERROR(__xludf.DUMMYFUNCTION("""COMPUTED_VALUE"""),"")</f>
        <v/>
      </c>
      <c r="Q191" s="64"/>
      <c r="R191" s="64"/>
      <c r="S191" s="64"/>
    </row>
    <row r="192">
      <c r="A192" s="60">
        <v>45603.63607224537</v>
      </c>
      <c r="B192" s="52" t="s">
        <v>153</v>
      </c>
      <c r="C192" s="53" t="b">
        <v>0</v>
      </c>
      <c r="D192" s="53"/>
      <c r="E192" s="53"/>
      <c r="F192" s="53"/>
      <c r="G192" s="53"/>
      <c r="H192" s="53">
        <v>60.0</v>
      </c>
      <c r="I192" s="53"/>
      <c r="J192" s="53" t="s">
        <v>10</v>
      </c>
      <c r="K192" s="61">
        <v>45603.0</v>
      </c>
      <c r="L192" s="53" t="s">
        <v>137</v>
      </c>
      <c r="M192" s="53" t="s">
        <v>19</v>
      </c>
      <c r="N192" s="64" t="str">
        <f>IFERROR(__xludf.DUMMYFUNCTION("""COMPUTED_VALUE"""),"")</f>
        <v/>
      </c>
      <c r="O192" s="64" t="str">
        <f>IFERROR(__xludf.DUMMYFUNCTION("""COMPUTED_VALUE"""),"")</f>
        <v/>
      </c>
      <c r="P192" s="64" t="str">
        <f>IFERROR(__xludf.DUMMYFUNCTION("""COMPUTED_VALUE"""),"")</f>
        <v/>
      </c>
      <c r="Q192" s="64"/>
      <c r="R192" s="64"/>
      <c r="S192" s="64"/>
    </row>
    <row r="193">
      <c r="A193" s="60">
        <v>45603.87442971065</v>
      </c>
      <c r="B193" s="52" t="s">
        <v>148</v>
      </c>
      <c r="C193" s="53" t="b">
        <v>0</v>
      </c>
      <c r="D193" s="53"/>
      <c r="E193" s="53"/>
      <c r="F193" s="53"/>
      <c r="G193" s="53"/>
      <c r="H193" s="53">
        <v>248.0</v>
      </c>
      <c r="I193" s="53"/>
      <c r="J193" s="53" t="s">
        <v>12</v>
      </c>
      <c r="K193" s="61">
        <v>45603.0</v>
      </c>
      <c r="L193" s="53" t="s">
        <v>137</v>
      </c>
      <c r="M193" s="53" t="s">
        <v>19</v>
      </c>
      <c r="N193" s="64" t="str">
        <f>IFERROR(__xludf.DUMMYFUNCTION("""COMPUTED_VALUE"""),"")</f>
        <v/>
      </c>
      <c r="O193" s="64" t="str">
        <f>IFERROR(__xludf.DUMMYFUNCTION("""COMPUTED_VALUE"""),"")</f>
        <v/>
      </c>
      <c r="P193" s="64" t="str">
        <f>IFERROR(__xludf.DUMMYFUNCTION("""COMPUTED_VALUE"""),"")</f>
        <v/>
      </c>
      <c r="Q193" s="64"/>
      <c r="R193" s="64"/>
      <c r="S193" s="64"/>
    </row>
    <row r="194">
      <c r="A194" s="60">
        <v>45604.83322193287</v>
      </c>
      <c r="B194" s="52" t="s">
        <v>148</v>
      </c>
      <c r="C194" s="53" t="b">
        <v>0</v>
      </c>
      <c r="D194" s="53"/>
      <c r="E194" s="53"/>
      <c r="F194" s="53"/>
      <c r="G194" s="53"/>
      <c r="H194" s="53">
        <v>167.0</v>
      </c>
      <c r="I194" s="53"/>
      <c r="J194" s="53" t="s">
        <v>12</v>
      </c>
      <c r="K194" s="61">
        <v>45603.0</v>
      </c>
      <c r="L194" s="53" t="s">
        <v>137</v>
      </c>
      <c r="M194" s="53" t="s">
        <v>18</v>
      </c>
      <c r="N194" s="64" t="str">
        <f>IFERROR(__xludf.DUMMYFUNCTION("""COMPUTED_VALUE"""),"")</f>
        <v/>
      </c>
      <c r="O194" s="64" t="str">
        <f>IFERROR(__xludf.DUMMYFUNCTION("""COMPUTED_VALUE"""),"")</f>
        <v/>
      </c>
      <c r="P194" s="64" t="str">
        <f>IFERROR(__xludf.DUMMYFUNCTION("""COMPUTED_VALUE"""),"")</f>
        <v/>
      </c>
      <c r="Q194" s="64"/>
      <c r="R194" s="64"/>
      <c r="S194" s="64"/>
    </row>
    <row r="195">
      <c r="A195" s="60">
        <v>45604.31235049768</v>
      </c>
      <c r="B195" s="52" t="s">
        <v>134</v>
      </c>
      <c r="C195" s="53" t="b">
        <v>0</v>
      </c>
      <c r="D195" s="53"/>
      <c r="E195" s="53"/>
      <c r="F195" s="53"/>
      <c r="G195" s="53"/>
      <c r="H195" s="53">
        <v>153.0</v>
      </c>
      <c r="I195" s="53"/>
      <c r="J195" s="53" t="s">
        <v>12</v>
      </c>
      <c r="K195" s="61">
        <v>45603.0</v>
      </c>
      <c r="L195" s="53" t="s">
        <v>137</v>
      </c>
      <c r="M195" s="53" t="s">
        <v>18</v>
      </c>
      <c r="N195" s="64">
        <f>IFERROR(__xludf.DUMMYFUNCTION("""COMPUTED_VALUE"""),458.0)</f>
        <v>458</v>
      </c>
      <c r="O195" s="64">
        <f>IFERROR(__xludf.DUMMYFUNCTION("""COMPUTED_VALUE"""),426.0)</f>
        <v>426</v>
      </c>
      <c r="P195" s="64">
        <f>IFERROR(__xludf.DUMMYFUNCTION("""COMPUTED_VALUE"""),884.0)</f>
        <v>884</v>
      </c>
      <c r="Q195" s="64"/>
      <c r="R195" s="64"/>
      <c r="S195" s="64"/>
    </row>
    <row r="196">
      <c r="A196" s="60">
        <v>45604.38876427084</v>
      </c>
      <c r="B196" s="52" t="s">
        <v>136</v>
      </c>
      <c r="C196" s="53" t="b">
        <v>0</v>
      </c>
      <c r="D196" s="53"/>
      <c r="E196" s="53"/>
      <c r="F196" s="53"/>
      <c r="G196" s="53"/>
      <c r="H196" s="53">
        <v>48.0</v>
      </c>
      <c r="I196" s="53"/>
      <c r="J196" s="53" t="s">
        <v>10</v>
      </c>
      <c r="K196" s="61">
        <v>45604.0</v>
      </c>
      <c r="L196" s="53" t="s">
        <v>138</v>
      </c>
      <c r="M196" s="53" t="s">
        <v>19</v>
      </c>
      <c r="N196" s="64" t="str">
        <f>IFERROR(__xludf.DUMMYFUNCTION("""COMPUTED_VALUE"""),"")</f>
        <v/>
      </c>
      <c r="O196" s="64" t="str">
        <f>IFERROR(__xludf.DUMMYFUNCTION("""COMPUTED_VALUE"""),"")</f>
        <v/>
      </c>
      <c r="P196" s="64" t="str">
        <f>IFERROR(__xludf.DUMMYFUNCTION("""COMPUTED_VALUE"""),"")</f>
        <v/>
      </c>
      <c r="Q196" s="64"/>
      <c r="R196" s="64"/>
      <c r="S196" s="64"/>
    </row>
    <row r="197">
      <c r="A197" s="60">
        <v>45604.55947634259</v>
      </c>
      <c r="B197" s="52" t="s">
        <v>151</v>
      </c>
      <c r="C197" s="53" t="b">
        <v>0</v>
      </c>
      <c r="D197" s="53"/>
      <c r="E197" s="53"/>
      <c r="F197" s="53"/>
      <c r="G197" s="53"/>
      <c r="H197" s="53">
        <v>103.0</v>
      </c>
      <c r="I197" s="53"/>
      <c r="J197" s="53" t="s">
        <v>13</v>
      </c>
      <c r="K197" s="61">
        <v>45604.0</v>
      </c>
      <c r="L197" s="53" t="s">
        <v>138</v>
      </c>
      <c r="M197" s="53" t="s">
        <v>19</v>
      </c>
      <c r="N197" s="64" t="str">
        <f>IFERROR(__xludf.DUMMYFUNCTION("""COMPUTED_VALUE"""),"")</f>
        <v/>
      </c>
      <c r="O197" s="64" t="str">
        <f>IFERROR(__xludf.DUMMYFUNCTION("""COMPUTED_VALUE"""),"")</f>
        <v/>
      </c>
      <c r="P197" s="64" t="str">
        <f>IFERROR(__xludf.DUMMYFUNCTION("""COMPUTED_VALUE"""),"")</f>
        <v/>
      </c>
      <c r="Q197" s="64"/>
      <c r="R197" s="64"/>
      <c r="S197" s="64"/>
    </row>
    <row r="198">
      <c r="A198" s="60">
        <v>45604.64760689815</v>
      </c>
      <c r="B198" s="52" t="s">
        <v>130</v>
      </c>
      <c r="C198" s="53" t="b">
        <v>0</v>
      </c>
      <c r="D198" s="53"/>
      <c r="E198" s="53"/>
      <c r="F198" s="53"/>
      <c r="G198" s="53"/>
      <c r="H198" s="53">
        <v>155.0</v>
      </c>
      <c r="I198" s="53"/>
      <c r="J198" s="53" t="s">
        <v>11</v>
      </c>
      <c r="K198" s="61">
        <v>45604.0</v>
      </c>
      <c r="L198" s="53" t="s">
        <v>138</v>
      </c>
      <c r="M198" s="53" t="s">
        <v>18</v>
      </c>
      <c r="N198" s="64">
        <f>IFERROR(__xludf.DUMMYFUNCTION("""COMPUTED_VALUE"""),155.0)</f>
        <v>155</v>
      </c>
      <c r="O198" s="64">
        <f>IFERROR(__xludf.DUMMYFUNCTION("""COMPUTED_VALUE"""),151.0)</f>
        <v>151</v>
      </c>
      <c r="P198" s="64">
        <f>IFERROR(__xludf.DUMMYFUNCTION("""COMPUTED_VALUE"""),306.0)</f>
        <v>306</v>
      </c>
      <c r="Q198" s="64"/>
      <c r="R198" s="64"/>
      <c r="S198" s="64"/>
    </row>
    <row r="199">
      <c r="A199" s="60">
        <v>45608.87498248843</v>
      </c>
      <c r="B199" s="52" t="s">
        <v>149</v>
      </c>
      <c r="C199" s="53" t="b">
        <v>0</v>
      </c>
      <c r="D199" s="53"/>
      <c r="E199" s="53"/>
      <c r="F199" s="53"/>
      <c r="G199" s="53"/>
      <c r="H199" s="53">
        <v>145.0</v>
      </c>
      <c r="I199" s="53"/>
      <c r="J199" s="53" t="s">
        <v>12</v>
      </c>
      <c r="K199" s="61">
        <v>45608.0</v>
      </c>
      <c r="L199" s="53" t="s">
        <v>132</v>
      </c>
      <c r="M199" s="53" t="s">
        <v>19</v>
      </c>
      <c r="N199" s="64" t="str">
        <f>IFERROR(__xludf.DUMMYFUNCTION("""COMPUTED_VALUE"""),"")</f>
        <v/>
      </c>
      <c r="O199" s="64" t="str">
        <f>IFERROR(__xludf.DUMMYFUNCTION("""COMPUTED_VALUE"""),"")</f>
        <v/>
      </c>
      <c r="P199" s="64" t="str">
        <f>IFERROR(__xludf.DUMMYFUNCTION("""COMPUTED_VALUE"""),"")</f>
        <v/>
      </c>
      <c r="Q199" s="64"/>
      <c r="R199" s="64"/>
      <c r="S199" s="64"/>
    </row>
    <row r="200">
      <c r="A200" s="60">
        <v>45609.77673686342</v>
      </c>
      <c r="B200" s="52" t="s">
        <v>153</v>
      </c>
      <c r="C200" s="53" t="b">
        <v>0</v>
      </c>
      <c r="D200" s="53"/>
      <c r="E200" s="53"/>
      <c r="F200" s="53"/>
      <c r="G200" s="53"/>
      <c r="H200" s="53">
        <v>42.0</v>
      </c>
      <c r="I200" s="53"/>
      <c r="J200" s="53" t="s">
        <v>10</v>
      </c>
      <c r="K200" s="61">
        <v>45608.0</v>
      </c>
      <c r="L200" s="53" t="s">
        <v>132</v>
      </c>
      <c r="M200" s="53" t="s">
        <v>19</v>
      </c>
      <c r="N200" s="64" t="str">
        <f>IFERROR(__xludf.DUMMYFUNCTION("""COMPUTED_VALUE"""),"")</f>
        <v/>
      </c>
      <c r="O200" s="64">
        <f>IFERROR(__xludf.DUMMYFUNCTION("""COMPUTED_VALUE"""),187.0)</f>
        <v>187</v>
      </c>
      <c r="P200" s="64">
        <f>IFERROR(__xludf.DUMMYFUNCTION("""COMPUTED_VALUE"""),187.0)</f>
        <v>187</v>
      </c>
      <c r="Q200" s="64"/>
      <c r="R200" s="64"/>
      <c r="S200" s="64"/>
    </row>
    <row r="201">
      <c r="A201" s="60">
        <v>45609.42699961805</v>
      </c>
      <c r="B201" s="52" t="s">
        <v>136</v>
      </c>
      <c r="C201" s="53" t="b">
        <v>0</v>
      </c>
      <c r="D201" s="53"/>
      <c r="E201" s="53"/>
      <c r="F201" s="53"/>
      <c r="G201" s="53"/>
      <c r="H201" s="53">
        <v>84.0</v>
      </c>
      <c r="I201" s="53"/>
      <c r="J201" s="53" t="s">
        <v>10</v>
      </c>
      <c r="K201" s="61">
        <v>45609.0</v>
      </c>
      <c r="L201" s="53" t="s">
        <v>135</v>
      </c>
      <c r="M201" s="53" t="s">
        <v>19</v>
      </c>
      <c r="N201" s="64" t="str">
        <f>IFERROR(__xludf.DUMMYFUNCTION("""COMPUTED_VALUE"""),"")</f>
        <v/>
      </c>
      <c r="O201" s="64" t="str">
        <f>IFERROR(__xludf.DUMMYFUNCTION("""COMPUTED_VALUE"""),"")</f>
        <v/>
      </c>
      <c r="P201" s="64" t="str">
        <f>IFERROR(__xludf.DUMMYFUNCTION("""COMPUTED_VALUE"""),"")</f>
        <v/>
      </c>
      <c r="Q201" s="64"/>
      <c r="R201" s="64"/>
      <c r="S201" s="64"/>
    </row>
    <row r="202">
      <c r="A202" s="60">
        <v>45609.50062770833</v>
      </c>
      <c r="B202" s="52" t="s">
        <v>130</v>
      </c>
      <c r="C202" s="53" t="b">
        <v>0</v>
      </c>
      <c r="D202" s="53"/>
      <c r="E202" s="53"/>
      <c r="F202" s="53"/>
      <c r="G202" s="53"/>
      <c r="H202" s="53">
        <v>8.0</v>
      </c>
      <c r="I202" s="53"/>
      <c r="J202" s="53" t="s">
        <v>11</v>
      </c>
      <c r="K202" s="61">
        <v>45609.0</v>
      </c>
      <c r="L202" s="53" t="s">
        <v>135</v>
      </c>
      <c r="M202" s="53" t="s">
        <v>18</v>
      </c>
      <c r="N202" s="64" t="str">
        <f>IFERROR(__xludf.DUMMYFUNCTION("""COMPUTED_VALUE"""),"")</f>
        <v/>
      </c>
      <c r="O202" s="64" t="str">
        <f>IFERROR(__xludf.DUMMYFUNCTION("""COMPUTED_VALUE"""),"")</f>
        <v/>
      </c>
      <c r="P202" s="64" t="str">
        <f>IFERROR(__xludf.DUMMYFUNCTION("""COMPUTED_VALUE"""),"")</f>
        <v/>
      </c>
      <c r="Q202" s="64"/>
      <c r="R202" s="64"/>
      <c r="S202" s="64"/>
    </row>
    <row r="203">
      <c r="A203" s="60">
        <v>45609.58706766204</v>
      </c>
      <c r="B203" s="52" t="s">
        <v>148</v>
      </c>
      <c r="C203" s="53" t="b">
        <v>0</v>
      </c>
      <c r="D203" s="53"/>
      <c r="E203" s="53"/>
      <c r="F203" s="53"/>
      <c r="G203" s="53"/>
      <c r="H203" s="53">
        <v>132.0</v>
      </c>
      <c r="I203" s="53"/>
      <c r="J203" s="53" t="s">
        <v>11</v>
      </c>
      <c r="K203" s="61">
        <v>45609.0</v>
      </c>
      <c r="L203" s="53" t="s">
        <v>135</v>
      </c>
      <c r="M203" s="53" t="s">
        <v>18</v>
      </c>
      <c r="N203" s="64" t="str">
        <f>IFERROR(__xludf.DUMMYFUNCTION("""COMPUTED_VALUE"""),"")</f>
        <v/>
      </c>
      <c r="O203" s="64" t="str">
        <f>IFERROR(__xludf.DUMMYFUNCTION("""COMPUTED_VALUE"""),"")</f>
        <v/>
      </c>
      <c r="P203" s="64" t="str">
        <f>IFERROR(__xludf.DUMMYFUNCTION("""COMPUTED_VALUE"""),"")</f>
        <v/>
      </c>
      <c r="Q203" s="64"/>
      <c r="R203" s="64"/>
      <c r="S203" s="64"/>
    </row>
    <row r="204">
      <c r="A204" s="60">
        <v>45609.63572640046</v>
      </c>
      <c r="B204" s="52" t="s">
        <v>149</v>
      </c>
      <c r="C204" s="53" t="b">
        <v>0</v>
      </c>
      <c r="D204" s="53"/>
      <c r="E204" s="53"/>
      <c r="F204" s="53"/>
      <c r="G204" s="53"/>
      <c r="H204" s="53">
        <v>98.0</v>
      </c>
      <c r="I204" s="53"/>
      <c r="J204" s="53" t="s">
        <v>11</v>
      </c>
      <c r="K204" s="61">
        <v>45609.0</v>
      </c>
      <c r="L204" s="53" t="s">
        <v>135</v>
      </c>
      <c r="M204" s="53" t="s">
        <v>19</v>
      </c>
      <c r="N204" s="64" t="str">
        <f>IFERROR(__xludf.DUMMYFUNCTION("""COMPUTED_VALUE"""),"")</f>
        <v/>
      </c>
      <c r="O204" s="64" t="str">
        <f>IFERROR(__xludf.DUMMYFUNCTION("""COMPUTED_VALUE"""),"")</f>
        <v/>
      </c>
      <c r="P204" s="64" t="str">
        <f>IFERROR(__xludf.DUMMYFUNCTION("""COMPUTED_VALUE"""),"")</f>
        <v/>
      </c>
      <c r="Q204" s="64"/>
      <c r="R204" s="64"/>
      <c r="S204" s="64"/>
    </row>
    <row r="205">
      <c r="A205" s="60">
        <v>45609.64290922454</v>
      </c>
      <c r="B205" s="52" t="s">
        <v>148</v>
      </c>
      <c r="C205" s="53" t="b">
        <v>0</v>
      </c>
      <c r="D205" s="53"/>
      <c r="E205" s="53"/>
      <c r="F205" s="53"/>
      <c r="G205" s="53"/>
      <c r="H205" s="53">
        <v>61.0</v>
      </c>
      <c r="I205" s="53"/>
      <c r="J205" s="53" t="s">
        <v>11</v>
      </c>
      <c r="K205" s="61">
        <v>45609.0</v>
      </c>
      <c r="L205" s="53" t="s">
        <v>135</v>
      </c>
      <c r="M205" s="53" t="s">
        <v>18</v>
      </c>
      <c r="N205" s="64" t="str">
        <f>IFERROR(__xludf.DUMMYFUNCTION("""COMPUTED_VALUE"""),"")</f>
        <v/>
      </c>
      <c r="O205" s="64" t="str">
        <f>IFERROR(__xludf.DUMMYFUNCTION("""COMPUTED_VALUE"""),"")</f>
        <v/>
      </c>
      <c r="P205" s="64" t="str">
        <f>IFERROR(__xludf.DUMMYFUNCTION("""COMPUTED_VALUE"""),"")</f>
        <v/>
      </c>
      <c r="Q205" s="64"/>
      <c r="R205" s="64"/>
      <c r="S205" s="64"/>
    </row>
    <row r="206">
      <c r="A206" s="60">
        <v>45609.87244435185</v>
      </c>
      <c r="B206" s="52" t="s">
        <v>151</v>
      </c>
      <c r="C206" s="53" t="b">
        <v>0</v>
      </c>
      <c r="D206" s="53"/>
      <c r="E206" s="53"/>
      <c r="F206" s="53"/>
      <c r="G206" s="53"/>
      <c r="H206" s="53">
        <v>42.0</v>
      </c>
      <c r="I206" s="53"/>
      <c r="J206" s="53" t="s">
        <v>12</v>
      </c>
      <c r="K206" s="61">
        <v>45609.0</v>
      </c>
      <c r="L206" s="53" t="s">
        <v>135</v>
      </c>
      <c r="M206" s="53" t="s">
        <v>19</v>
      </c>
      <c r="N206" s="64" t="str">
        <f>IFERROR(__xludf.DUMMYFUNCTION("""COMPUTED_VALUE"""),"")</f>
        <v/>
      </c>
      <c r="O206" s="64" t="str">
        <f>IFERROR(__xludf.DUMMYFUNCTION("""COMPUTED_VALUE"""),"")</f>
        <v/>
      </c>
      <c r="P206" s="64" t="str">
        <f>IFERROR(__xludf.DUMMYFUNCTION("""COMPUTED_VALUE"""),"")</f>
        <v/>
      </c>
      <c r="Q206" s="64"/>
      <c r="R206" s="64"/>
      <c r="S206" s="64"/>
    </row>
    <row r="207">
      <c r="A207" s="60">
        <v>45609.88897070602</v>
      </c>
      <c r="B207" s="52" t="s">
        <v>149</v>
      </c>
      <c r="C207" s="53" t="b">
        <v>0</v>
      </c>
      <c r="D207" s="53"/>
      <c r="E207" s="53"/>
      <c r="F207" s="53"/>
      <c r="G207" s="53"/>
      <c r="H207" s="53">
        <v>193.0</v>
      </c>
      <c r="I207" s="53"/>
      <c r="J207" s="53" t="s">
        <v>12</v>
      </c>
      <c r="K207" s="61">
        <v>45609.0</v>
      </c>
      <c r="L207" s="53" t="s">
        <v>135</v>
      </c>
      <c r="M207" s="53" t="s">
        <v>18</v>
      </c>
      <c r="N207" s="64">
        <f>IFERROR(__xludf.DUMMYFUNCTION("""COMPUTED_VALUE"""),394.0)</f>
        <v>394</v>
      </c>
      <c r="O207" s="64">
        <f>IFERROR(__xludf.DUMMYFUNCTION("""COMPUTED_VALUE"""),224.0)</f>
        <v>224</v>
      </c>
      <c r="P207" s="64">
        <f>IFERROR(__xludf.DUMMYFUNCTION("""COMPUTED_VALUE"""),618.0)</f>
        <v>618</v>
      </c>
      <c r="Q207" s="64"/>
      <c r="R207" s="64"/>
      <c r="S207" s="64"/>
    </row>
    <row r="208">
      <c r="A208" s="60">
        <v>45610.60186774305</v>
      </c>
      <c r="B208" s="52" t="s">
        <v>150</v>
      </c>
      <c r="C208" s="53" t="b">
        <v>0</v>
      </c>
      <c r="D208" s="53"/>
      <c r="E208" s="53"/>
      <c r="F208" s="53"/>
      <c r="G208" s="53"/>
      <c r="H208" s="53">
        <v>66.0</v>
      </c>
      <c r="I208" s="53"/>
      <c r="J208" s="53" t="s">
        <v>11</v>
      </c>
      <c r="K208" s="61">
        <v>45610.0</v>
      </c>
      <c r="L208" s="53" t="s">
        <v>137</v>
      </c>
      <c r="M208" s="53" t="s">
        <v>18</v>
      </c>
      <c r="N208" s="64" t="str">
        <f>IFERROR(__xludf.DUMMYFUNCTION("""COMPUTED_VALUE"""),"")</f>
        <v/>
      </c>
      <c r="O208" s="64" t="str">
        <f>IFERROR(__xludf.DUMMYFUNCTION("""COMPUTED_VALUE"""),"")</f>
        <v/>
      </c>
      <c r="P208" s="64" t="str">
        <f>IFERROR(__xludf.DUMMYFUNCTION("""COMPUTED_VALUE"""),"")</f>
        <v/>
      </c>
      <c r="Q208" s="64"/>
      <c r="R208" s="64"/>
      <c r="S208" s="64"/>
    </row>
    <row r="209">
      <c r="A209" s="60">
        <v>45610.6265759375</v>
      </c>
      <c r="B209" s="52" t="s">
        <v>149</v>
      </c>
      <c r="C209" s="53" t="b">
        <v>0</v>
      </c>
      <c r="D209" s="53"/>
      <c r="E209" s="53"/>
      <c r="F209" s="53"/>
      <c r="G209" s="53"/>
      <c r="H209" s="53">
        <v>153.0</v>
      </c>
      <c r="I209" s="53"/>
      <c r="J209" s="53" t="s">
        <v>11</v>
      </c>
      <c r="K209" s="61">
        <v>45610.0</v>
      </c>
      <c r="L209" s="53" t="s">
        <v>137</v>
      </c>
      <c r="M209" s="53" t="s">
        <v>19</v>
      </c>
      <c r="N209" s="64" t="str">
        <f>IFERROR(__xludf.DUMMYFUNCTION("""COMPUTED_VALUE"""),"")</f>
        <v/>
      </c>
      <c r="O209" s="64" t="str">
        <f>IFERROR(__xludf.DUMMYFUNCTION("""COMPUTED_VALUE"""),"")</f>
        <v/>
      </c>
      <c r="P209" s="64" t="str">
        <f>IFERROR(__xludf.DUMMYFUNCTION("""COMPUTED_VALUE"""),"")</f>
        <v/>
      </c>
      <c r="Q209" s="64"/>
      <c r="R209" s="64"/>
      <c r="S209" s="64"/>
    </row>
    <row r="210">
      <c r="A210" s="53"/>
      <c r="B210" s="52" t="s">
        <v>133</v>
      </c>
      <c r="C210" s="53" t="b">
        <v>0</v>
      </c>
      <c r="D210" s="53"/>
      <c r="E210" s="53"/>
      <c r="F210" s="53"/>
      <c r="G210" s="53"/>
      <c r="H210" s="53">
        <v>76.0</v>
      </c>
      <c r="I210" s="53"/>
      <c r="J210" s="53" t="s">
        <v>11</v>
      </c>
      <c r="K210" s="61">
        <v>45610.0</v>
      </c>
      <c r="L210" s="53" t="s">
        <v>137</v>
      </c>
      <c r="M210" s="53" t="s">
        <v>18</v>
      </c>
      <c r="N210" s="64" t="str">
        <f>IFERROR(__xludf.DUMMYFUNCTION("""COMPUTED_VALUE"""),"")</f>
        <v/>
      </c>
      <c r="O210" s="64" t="str">
        <f>IFERROR(__xludf.DUMMYFUNCTION("""COMPUTED_VALUE"""),"")</f>
        <v/>
      </c>
      <c r="P210" s="64" t="str">
        <f>IFERROR(__xludf.DUMMYFUNCTION("""COMPUTED_VALUE"""),"")</f>
        <v/>
      </c>
      <c r="Q210" s="64"/>
      <c r="R210" s="64"/>
      <c r="S210" s="64"/>
    </row>
    <row r="211">
      <c r="A211" s="53"/>
      <c r="B211" s="52" t="s">
        <v>133</v>
      </c>
      <c r="C211" s="53" t="b">
        <v>0</v>
      </c>
      <c r="D211" s="53"/>
      <c r="E211" s="53"/>
      <c r="F211" s="53"/>
      <c r="G211" s="53"/>
      <c r="H211" s="53">
        <v>76.0</v>
      </c>
      <c r="I211" s="53"/>
      <c r="J211" s="53" t="s">
        <v>12</v>
      </c>
      <c r="K211" s="61">
        <v>45610.0</v>
      </c>
      <c r="L211" s="53" t="s">
        <v>137</v>
      </c>
      <c r="M211" s="53" t="s">
        <v>18</v>
      </c>
      <c r="N211" s="64" t="str">
        <f>IFERROR(__xludf.DUMMYFUNCTION("""COMPUTED_VALUE"""),"")</f>
        <v/>
      </c>
      <c r="O211" s="64" t="str">
        <f>IFERROR(__xludf.DUMMYFUNCTION("""COMPUTED_VALUE"""),"")</f>
        <v/>
      </c>
      <c r="P211" s="64" t="str">
        <f>IFERROR(__xludf.DUMMYFUNCTION("""COMPUTED_VALUE"""),"")</f>
        <v/>
      </c>
      <c r="Q211" s="64"/>
      <c r="R211" s="64"/>
      <c r="S211" s="64"/>
    </row>
    <row r="212">
      <c r="A212" s="53"/>
      <c r="B212" s="52" t="s">
        <v>133</v>
      </c>
      <c r="C212" s="53" t="b">
        <v>0</v>
      </c>
      <c r="D212" s="53"/>
      <c r="E212" s="53"/>
      <c r="F212" s="53"/>
      <c r="G212" s="53"/>
      <c r="H212" s="53">
        <v>141.0</v>
      </c>
      <c r="I212" s="53"/>
      <c r="J212" s="53" t="s">
        <v>11</v>
      </c>
      <c r="K212" s="61">
        <v>45610.0</v>
      </c>
      <c r="L212" s="53" t="s">
        <v>137</v>
      </c>
      <c r="M212" s="53" t="s">
        <v>19</v>
      </c>
      <c r="N212" s="64" t="str">
        <f>IFERROR(__xludf.DUMMYFUNCTION("""COMPUTED_VALUE"""),"")</f>
        <v/>
      </c>
      <c r="O212" s="64" t="str">
        <f>IFERROR(__xludf.DUMMYFUNCTION("""COMPUTED_VALUE"""),"")</f>
        <v/>
      </c>
      <c r="P212" s="64" t="str">
        <f>IFERROR(__xludf.DUMMYFUNCTION("""COMPUTED_VALUE"""),"")</f>
        <v/>
      </c>
      <c r="Q212" s="64"/>
      <c r="R212" s="64"/>
      <c r="S212" s="64"/>
    </row>
    <row r="213">
      <c r="A213" s="60">
        <v>45610.87122386574</v>
      </c>
      <c r="B213" s="52" t="s">
        <v>148</v>
      </c>
      <c r="C213" s="53" t="b">
        <v>0</v>
      </c>
      <c r="D213" s="53"/>
      <c r="E213" s="53"/>
      <c r="F213" s="53"/>
      <c r="G213" s="53"/>
      <c r="H213" s="53">
        <v>149.0</v>
      </c>
      <c r="I213" s="53"/>
      <c r="J213" s="53" t="s">
        <v>12</v>
      </c>
      <c r="K213" s="61">
        <v>45610.0</v>
      </c>
      <c r="L213" s="53" t="s">
        <v>137</v>
      </c>
      <c r="M213" s="53" t="s">
        <v>19</v>
      </c>
      <c r="N213" s="64" t="str">
        <f>IFERROR(__xludf.DUMMYFUNCTION("""COMPUTED_VALUE"""),"")</f>
        <v/>
      </c>
      <c r="O213" s="64" t="str">
        <f>IFERROR(__xludf.DUMMYFUNCTION("""COMPUTED_VALUE"""),"")</f>
        <v/>
      </c>
      <c r="P213" s="64" t="str">
        <f>IFERROR(__xludf.DUMMYFUNCTION("""COMPUTED_VALUE"""),"")</f>
        <v/>
      </c>
      <c r="Q213" s="64"/>
      <c r="R213" s="64"/>
      <c r="S213" s="64"/>
    </row>
    <row r="214">
      <c r="A214" s="60">
        <v>45612.48512877315</v>
      </c>
      <c r="B214" s="52" t="s">
        <v>153</v>
      </c>
      <c r="C214" s="53" t="b">
        <v>0</v>
      </c>
      <c r="D214" s="53"/>
      <c r="E214" s="53"/>
      <c r="F214" s="53"/>
      <c r="G214" s="53"/>
      <c r="H214" s="53">
        <v>44.0</v>
      </c>
      <c r="I214" s="53"/>
      <c r="J214" s="53" t="s">
        <v>10</v>
      </c>
      <c r="K214" s="61">
        <v>45610.0</v>
      </c>
      <c r="L214" s="53" t="s">
        <v>137</v>
      </c>
      <c r="M214" s="53" t="s">
        <v>19</v>
      </c>
      <c r="N214" s="64">
        <f>IFERROR(__xludf.DUMMYFUNCTION("""COMPUTED_VALUE"""),218.0)</f>
        <v>218</v>
      </c>
      <c r="O214" s="64">
        <f>IFERROR(__xludf.DUMMYFUNCTION("""COMPUTED_VALUE"""),487.0)</f>
        <v>487</v>
      </c>
      <c r="P214" s="64">
        <f>IFERROR(__xludf.DUMMYFUNCTION("""COMPUTED_VALUE"""),705.0)</f>
        <v>705</v>
      </c>
      <c r="Q214" s="64"/>
      <c r="R214" s="64"/>
      <c r="S214" s="64"/>
    </row>
    <row r="215">
      <c r="A215" s="60">
        <v>45611.38610032407</v>
      </c>
      <c r="B215" s="52" t="s">
        <v>136</v>
      </c>
      <c r="C215" s="53" t="b">
        <v>0</v>
      </c>
      <c r="D215" s="53"/>
      <c r="E215" s="53"/>
      <c r="F215" s="53"/>
      <c r="G215" s="53"/>
      <c r="H215" s="53">
        <v>46.0</v>
      </c>
      <c r="I215" s="53"/>
      <c r="J215" s="53" t="s">
        <v>10</v>
      </c>
      <c r="K215" s="61">
        <v>45611.0</v>
      </c>
      <c r="L215" s="53" t="s">
        <v>138</v>
      </c>
      <c r="M215" s="53" t="s">
        <v>19</v>
      </c>
      <c r="N215" s="64" t="str">
        <f>IFERROR(__xludf.DUMMYFUNCTION("""COMPUTED_VALUE"""),"")</f>
        <v/>
      </c>
      <c r="O215" s="64" t="str">
        <f>IFERROR(__xludf.DUMMYFUNCTION("""COMPUTED_VALUE"""),"")</f>
        <v/>
      </c>
      <c r="P215" s="64" t="str">
        <f>IFERROR(__xludf.DUMMYFUNCTION("""COMPUTED_VALUE"""),"")</f>
        <v/>
      </c>
      <c r="Q215" s="64"/>
      <c r="R215" s="64"/>
      <c r="S215" s="64"/>
    </row>
    <row r="216">
      <c r="A216" s="60">
        <v>45611.77274180556</v>
      </c>
      <c r="B216" s="52" t="s">
        <v>148</v>
      </c>
      <c r="C216" s="53" t="b">
        <v>0</v>
      </c>
      <c r="D216" s="53"/>
      <c r="E216" s="53"/>
      <c r="F216" s="53"/>
      <c r="G216" s="53"/>
      <c r="H216" s="53">
        <v>184.0</v>
      </c>
      <c r="I216" s="53"/>
      <c r="J216" s="53" t="s">
        <v>12</v>
      </c>
      <c r="K216" s="61">
        <v>45611.0</v>
      </c>
      <c r="L216" s="53" t="s">
        <v>138</v>
      </c>
      <c r="M216" s="53" t="s">
        <v>18</v>
      </c>
      <c r="N216" s="64" t="str">
        <f>IFERROR(__xludf.DUMMYFUNCTION("""COMPUTED_VALUE"""),"")</f>
        <v/>
      </c>
      <c r="O216" s="64" t="str">
        <f>IFERROR(__xludf.DUMMYFUNCTION("""COMPUTED_VALUE"""),"")</f>
        <v/>
      </c>
      <c r="P216" s="64" t="str">
        <f>IFERROR(__xludf.DUMMYFUNCTION("""COMPUTED_VALUE"""),"")</f>
        <v/>
      </c>
      <c r="Q216" s="64"/>
      <c r="R216" s="64"/>
      <c r="S216" s="64"/>
    </row>
    <row r="217">
      <c r="A217" s="60">
        <v>45611.83203604167</v>
      </c>
      <c r="B217" s="52" t="s">
        <v>148</v>
      </c>
      <c r="C217" s="53" t="b">
        <v>0</v>
      </c>
      <c r="D217" s="53"/>
      <c r="E217" s="53"/>
      <c r="F217" s="53"/>
      <c r="G217" s="53"/>
      <c r="H217" s="53">
        <v>107.0</v>
      </c>
      <c r="I217" s="53"/>
      <c r="J217" s="53" t="s">
        <v>12</v>
      </c>
      <c r="K217" s="61">
        <v>45611.0</v>
      </c>
      <c r="L217" s="53" t="s">
        <v>138</v>
      </c>
      <c r="M217" s="53" t="s">
        <v>18</v>
      </c>
      <c r="N217" s="64" t="str">
        <f>IFERROR(__xludf.DUMMYFUNCTION("""COMPUTED_VALUE"""),"")</f>
        <v/>
      </c>
      <c r="O217" s="64" t="str">
        <f>IFERROR(__xludf.DUMMYFUNCTION("""COMPUTED_VALUE"""),"")</f>
        <v/>
      </c>
      <c r="P217" s="64" t="str">
        <f>IFERROR(__xludf.DUMMYFUNCTION("""COMPUTED_VALUE"""),"")</f>
        <v/>
      </c>
      <c r="Q217" s="64"/>
      <c r="R217" s="64"/>
      <c r="S217" s="64"/>
    </row>
    <row r="218">
      <c r="A218" s="60">
        <v>45612.40011556713</v>
      </c>
      <c r="B218" s="52" t="s">
        <v>130</v>
      </c>
      <c r="C218" s="53" t="b">
        <v>0</v>
      </c>
      <c r="D218" s="53"/>
      <c r="E218" s="53"/>
      <c r="F218" s="53"/>
      <c r="G218" s="53"/>
      <c r="H218" s="53">
        <v>130.0</v>
      </c>
      <c r="I218" s="53"/>
      <c r="J218" s="53" t="s">
        <v>11</v>
      </c>
      <c r="K218" s="61">
        <v>45611.0</v>
      </c>
      <c r="L218" s="53" t="s">
        <v>138</v>
      </c>
      <c r="M218" s="53" t="s">
        <v>18</v>
      </c>
      <c r="N218" s="64">
        <f>IFERROR(__xludf.DUMMYFUNCTION("""COMPUTED_VALUE"""),421.0)</f>
        <v>421</v>
      </c>
      <c r="O218" s="64">
        <f>IFERROR(__xludf.DUMMYFUNCTION("""COMPUTED_VALUE"""),46.0)</f>
        <v>46</v>
      </c>
      <c r="P218" s="64">
        <f>IFERROR(__xludf.DUMMYFUNCTION("""COMPUTED_VALUE"""),467.0)</f>
        <v>467</v>
      </c>
      <c r="Q218" s="64"/>
      <c r="R218" s="64"/>
      <c r="S218" s="64"/>
    </row>
    <row r="219">
      <c r="A219" s="60">
        <v>45614.52938908565</v>
      </c>
      <c r="B219" s="52" t="s">
        <v>130</v>
      </c>
      <c r="C219" s="53" t="b">
        <v>0</v>
      </c>
      <c r="D219" s="53"/>
      <c r="E219" s="53"/>
      <c r="F219" s="53"/>
      <c r="G219" s="53"/>
      <c r="H219" s="53">
        <v>6.0</v>
      </c>
      <c r="I219" s="53"/>
      <c r="J219" s="53" t="s">
        <v>11</v>
      </c>
      <c r="K219" s="61">
        <v>45614.0</v>
      </c>
      <c r="L219" s="53" t="s">
        <v>129</v>
      </c>
      <c r="M219" s="53" t="s">
        <v>18</v>
      </c>
      <c r="N219" s="64" t="str">
        <f>IFERROR(__xludf.DUMMYFUNCTION("""COMPUTED_VALUE"""),"")</f>
        <v/>
      </c>
      <c r="O219" s="64" t="str">
        <f>IFERROR(__xludf.DUMMYFUNCTION("""COMPUTED_VALUE"""),"")</f>
        <v/>
      </c>
      <c r="P219" s="64" t="str">
        <f>IFERROR(__xludf.DUMMYFUNCTION("""COMPUTED_VALUE"""),"")</f>
        <v/>
      </c>
      <c r="Q219" s="64"/>
      <c r="R219" s="64"/>
      <c r="S219" s="64"/>
    </row>
    <row r="220">
      <c r="A220" s="60">
        <v>45614.64415342593</v>
      </c>
      <c r="B220" s="52" t="s">
        <v>148</v>
      </c>
      <c r="C220" s="53" t="b">
        <v>0</v>
      </c>
      <c r="D220" s="53"/>
      <c r="E220" s="53"/>
      <c r="F220" s="53"/>
      <c r="G220" s="53"/>
      <c r="H220" s="53">
        <v>150.0</v>
      </c>
      <c r="I220" s="53"/>
      <c r="J220" s="53" t="s">
        <v>11</v>
      </c>
      <c r="K220" s="61">
        <v>45614.0</v>
      </c>
      <c r="L220" s="53" t="s">
        <v>129</v>
      </c>
      <c r="M220" s="53" t="s">
        <v>18</v>
      </c>
      <c r="N220" s="64" t="str">
        <f>IFERROR(__xludf.DUMMYFUNCTION("""COMPUTED_VALUE"""),"")</f>
        <v/>
      </c>
      <c r="O220" s="64" t="str">
        <f>IFERROR(__xludf.DUMMYFUNCTION("""COMPUTED_VALUE"""),"")</f>
        <v/>
      </c>
      <c r="P220" s="64" t="str">
        <f>IFERROR(__xludf.DUMMYFUNCTION("""COMPUTED_VALUE"""),"")</f>
        <v/>
      </c>
      <c r="Q220" s="64"/>
      <c r="R220" s="64"/>
      <c r="S220" s="64"/>
    </row>
    <row r="221">
      <c r="A221" s="60">
        <v>45615.64800112269</v>
      </c>
      <c r="B221" s="52" t="s">
        <v>151</v>
      </c>
      <c r="C221" s="53" t="b">
        <v>0</v>
      </c>
      <c r="D221" s="53"/>
      <c r="E221" s="53"/>
      <c r="F221" s="53"/>
      <c r="G221" s="53"/>
      <c r="H221" s="53">
        <v>21.0</v>
      </c>
      <c r="I221" s="53"/>
      <c r="J221" s="53" t="s">
        <v>12</v>
      </c>
      <c r="K221" s="61">
        <v>45614.0</v>
      </c>
      <c r="L221" s="53" t="s">
        <v>129</v>
      </c>
      <c r="M221" s="53" t="s">
        <v>19</v>
      </c>
      <c r="N221" s="64" t="str">
        <f>IFERROR(__xludf.DUMMYFUNCTION("""COMPUTED_VALUE"""),"")</f>
        <v/>
      </c>
      <c r="O221" s="64" t="str">
        <f>IFERROR(__xludf.DUMMYFUNCTION("""COMPUTED_VALUE"""),"")</f>
        <v/>
      </c>
      <c r="P221" s="64" t="str">
        <f>IFERROR(__xludf.DUMMYFUNCTION("""COMPUTED_VALUE"""),"")</f>
        <v/>
      </c>
      <c r="Q221" s="64"/>
      <c r="R221" s="64"/>
      <c r="S221" s="64"/>
    </row>
    <row r="222">
      <c r="A222" s="60">
        <v>45614.79439728009</v>
      </c>
      <c r="B222" s="52" t="s">
        <v>131</v>
      </c>
      <c r="C222" s="53" t="b">
        <v>0</v>
      </c>
      <c r="D222" s="53"/>
      <c r="E222" s="53"/>
      <c r="F222" s="53"/>
      <c r="G222" s="53"/>
      <c r="H222" s="53">
        <v>68.0</v>
      </c>
      <c r="I222" s="53"/>
      <c r="J222" s="53" t="s">
        <v>12</v>
      </c>
      <c r="K222" s="61">
        <v>45614.0</v>
      </c>
      <c r="L222" s="53" t="s">
        <v>129</v>
      </c>
      <c r="M222" s="53" t="s">
        <v>19</v>
      </c>
      <c r="N222" s="64">
        <f>IFERROR(__xludf.DUMMYFUNCTION("""COMPUTED_VALUE"""),156.0)</f>
        <v>156</v>
      </c>
      <c r="O222" s="64">
        <f>IFERROR(__xludf.DUMMYFUNCTION("""COMPUTED_VALUE"""),89.0)</f>
        <v>89</v>
      </c>
      <c r="P222" s="64">
        <f>IFERROR(__xludf.DUMMYFUNCTION("""COMPUTED_VALUE"""),245.0)</f>
        <v>245</v>
      </c>
      <c r="Q222" s="64"/>
      <c r="R222" s="64"/>
      <c r="S222" s="64"/>
    </row>
    <row r="223">
      <c r="A223" s="60">
        <v>45615.55490738426</v>
      </c>
      <c r="B223" s="52" t="s">
        <v>150</v>
      </c>
      <c r="C223" s="53" t="b">
        <v>0</v>
      </c>
      <c r="D223" s="53"/>
      <c r="E223" s="53"/>
      <c r="F223" s="53"/>
      <c r="G223" s="53"/>
      <c r="H223" s="53">
        <v>54.0</v>
      </c>
      <c r="I223" s="53"/>
      <c r="J223" s="53" t="s">
        <v>11</v>
      </c>
      <c r="K223" s="61">
        <v>45615.0</v>
      </c>
      <c r="L223" s="53" t="s">
        <v>132</v>
      </c>
      <c r="M223" s="53" t="s">
        <v>18</v>
      </c>
      <c r="N223" s="64" t="str">
        <f>IFERROR(__xludf.DUMMYFUNCTION("""COMPUTED_VALUE"""),"")</f>
        <v/>
      </c>
      <c r="O223" s="64" t="str">
        <f>IFERROR(__xludf.DUMMYFUNCTION("""COMPUTED_VALUE"""),"")</f>
        <v/>
      </c>
      <c r="P223" s="64" t="str">
        <f>IFERROR(__xludf.DUMMYFUNCTION("""COMPUTED_VALUE"""),"")</f>
        <v/>
      </c>
      <c r="Q223" s="64"/>
      <c r="R223" s="64"/>
      <c r="S223" s="64"/>
    </row>
    <row r="224">
      <c r="A224" s="60">
        <v>45615.62599907407</v>
      </c>
      <c r="B224" s="52" t="s">
        <v>131</v>
      </c>
      <c r="C224" s="53" t="b">
        <v>0</v>
      </c>
      <c r="D224" s="53"/>
      <c r="E224" s="53"/>
      <c r="F224" s="53"/>
      <c r="G224" s="53"/>
      <c r="H224" s="53">
        <v>118.0</v>
      </c>
      <c r="I224" s="53"/>
      <c r="J224" s="53" t="s">
        <v>11</v>
      </c>
      <c r="K224" s="61">
        <v>45615.0</v>
      </c>
      <c r="L224" s="53" t="s">
        <v>132</v>
      </c>
      <c r="M224" s="53" t="s">
        <v>19</v>
      </c>
      <c r="N224" s="64" t="str">
        <f>IFERROR(__xludf.DUMMYFUNCTION("""COMPUTED_VALUE"""),"")</f>
        <v/>
      </c>
      <c r="O224" s="64" t="str">
        <f>IFERROR(__xludf.DUMMYFUNCTION("""COMPUTED_VALUE"""),"")</f>
        <v/>
      </c>
      <c r="P224" s="64" t="str">
        <f>IFERROR(__xludf.DUMMYFUNCTION("""COMPUTED_VALUE"""),"")</f>
        <v/>
      </c>
      <c r="Q224" s="64"/>
      <c r="R224" s="64"/>
      <c r="S224" s="64"/>
    </row>
    <row r="225">
      <c r="A225" s="60">
        <v>45615.8744765162</v>
      </c>
      <c r="B225" s="52" t="s">
        <v>163</v>
      </c>
      <c r="C225" s="53" t="b">
        <v>0</v>
      </c>
      <c r="D225" s="53"/>
      <c r="E225" s="53"/>
      <c r="F225" s="53"/>
      <c r="G225" s="53"/>
      <c r="H225" s="53">
        <v>138.0</v>
      </c>
      <c r="I225" s="53"/>
      <c r="J225" s="53" t="s">
        <v>12</v>
      </c>
      <c r="K225" s="61">
        <v>45615.0</v>
      </c>
      <c r="L225" s="53" t="s">
        <v>132</v>
      </c>
      <c r="M225" s="53" t="s">
        <v>19</v>
      </c>
      <c r="N225" s="64" t="str">
        <f>IFERROR(__xludf.DUMMYFUNCTION("""COMPUTED_VALUE"""),"")</f>
        <v/>
      </c>
      <c r="O225" s="64" t="str">
        <f>IFERROR(__xludf.DUMMYFUNCTION("""COMPUTED_VALUE"""),"")</f>
        <v/>
      </c>
      <c r="P225" s="64" t="str">
        <f>IFERROR(__xludf.DUMMYFUNCTION("""COMPUTED_VALUE"""),"")</f>
        <v/>
      </c>
      <c r="Q225" s="64"/>
      <c r="R225" s="64"/>
      <c r="S225" s="64"/>
    </row>
    <row r="226">
      <c r="A226" s="60">
        <v>45616.80977114583</v>
      </c>
      <c r="B226" s="52" t="s">
        <v>153</v>
      </c>
      <c r="C226" s="53" t="b">
        <v>0</v>
      </c>
      <c r="D226" s="53"/>
      <c r="E226" s="53"/>
      <c r="F226" s="53"/>
      <c r="G226" s="53"/>
      <c r="H226" s="53">
        <v>44.0</v>
      </c>
      <c r="I226" s="53"/>
      <c r="J226" s="53" t="s">
        <v>10</v>
      </c>
      <c r="K226" s="61">
        <v>45615.0</v>
      </c>
      <c r="L226" s="53" t="s">
        <v>132</v>
      </c>
      <c r="M226" s="53" t="s">
        <v>19</v>
      </c>
      <c r="N226" s="64">
        <f>IFERROR(__xludf.DUMMYFUNCTION("""COMPUTED_VALUE"""),54.0)</f>
        <v>54</v>
      </c>
      <c r="O226" s="64">
        <f>IFERROR(__xludf.DUMMYFUNCTION("""COMPUTED_VALUE"""),300.0)</f>
        <v>300</v>
      </c>
      <c r="P226" s="64">
        <f>IFERROR(__xludf.DUMMYFUNCTION("""COMPUTED_VALUE"""),354.0)</f>
        <v>354</v>
      </c>
      <c r="Q226" s="64"/>
      <c r="R226" s="64"/>
      <c r="S226" s="64"/>
    </row>
    <row r="227">
      <c r="A227" s="60">
        <v>45616.42322488426</v>
      </c>
      <c r="B227" s="52" t="s">
        <v>136</v>
      </c>
      <c r="C227" s="53" t="b">
        <v>0</v>
      </c>
      <c r="D227" s="53"/>
      <c r="E227" s="53"/>
      <c r="F227" s="53"/>
      <c r="G227" s="53"/>
      <c r="H227" s="53">
        <v>71.0</v>
      </c>
      <c r="I227" s="53"/>
      <c r="J227" s="53" t="s">
        <v>10</v>
      </c>
      <c r="K227" s="61">
        <v>45616.0</v>
      </c>
      <c r="L227" s="53" t="s">
        <v>135</v>
      </c>
      <c r="M227" s="53" t="s">
        <v>19</v>
      </c>
      <c r="N227" s="64" t="str">
        <f>IFERROR(__xludf.DUMMYFUNCTION("""COMPUTED_VALUE"""),"")</f>
        <v/>
      </c>
      <c r="O227" s="64" t="str">
        <f>IFERROR(__xludf.DUMMYFUNCTION("""COMPUTED_VALUE"""),"")</f>
        <v/>
      </c>
      <c r="P227" s="64" t="str">
        <f>IFERROR(__xludf.DUMMYFUNCTION("""COMPUTED_VALUE"""),"")</f>
        <v/>
      </c>
      <c r="Q227" s="64"/>
      <c r="R227" s="64"/>
      <c r="S227" s="64"/>
    </row>
    <row r="228">
      <c r="A228" s="60">
        <v>45616.62288621528</v>
      </c>
      <c r="B228" s="52" t="s">
        <v>149</v>
      </c>
      <c r="C228" s="53" t="b">
        <v>0</v>
      </c>
      <c r="D228" s="53"/>
      <c r="E228" s="53"/>
      <c r="F228" s="53"/>
      <c r="G228" s="53"/>
      <c r="H228" s="53">
        <v>158.0</v>
      </c>
      <c r="I228" s="53"/>
      <c r="J228" s="53" t="s">
        <v>11</v>
      </c>
      <c r="K228" s="61">
        <v>45616.0</v>
      </c>
      <c r="L228" s="53" t="s">
        <v>135</v>
      </c>
      <c r="M228" s="53" t="s">
        <v>19</v>
      </c>
      <c r="N228" s="64" t="str">
        <f>IFERROR(__xludf.DUMMYFUNCTION("""COMPUTED_VALUE"""),"")</f>
        <v/>
      </c>
      <c r="O228" s="64" t="str">
        <f>IFERROR(__xludf.DUMMYFUNCTION("""COMPUTED_VALUE"""),"")</f>
        <v/>
      </c>
      <c r="P228" s="64" t="str">
        <f>IFERROR(__xludf.DUMMYFUNCTION("""COMPUTED_VALUE"""),"")</f>
        <v/>
      </c>
      <c r="Q228" s="64"/>
      <c r="R228" s="64"/>
      <c r="S228" s="64"/>
    </row>
    <row r="229">
      <c r="A229" s="60">
        <v>45616.64441599537</v>
      </c>
      <c r="B229" s="52" t="s">
        <v>148</v>
      </c>
      <c r="C229" s="53" t="b">
        <v>0</v>
      </c>
      <c r="D229" s="53"/>
      <c r="E229" s="53"/>
      <c r="F229" s="53"/>
      <c r="G229" s="53"/>
      <c r="H229" s="53">
        <v>132.0</v>
      </c>
      <c r="I229" s="53"/>
      <c r="J229" s="53" t="s">
        <v>11</v>
      </c>
      <c r="K229" s="61">
        <v>45616.0</v>
      </c>
      <c r="L229" s="53" t="s">
        <v>135</v>
      </c>
      <c r="M229" s="53" t="s">
        <v>18</v>
      </c>
      <c r="N229" s="64" t="str">
        <f>IFERROR(__xludf.DUMMYFUNCTION("""COMPUTED_VALUE"""),"")</f>
        <v/>
      </c>
      <c r="O229" s="64" t="str">
        <f>IFERROR(__xludf.DUMMYFUNCTION("""COMPUTED_VALUE"""),"")</f>
        <v/>
      </c>
      <c r="P229" s="64" t="str">
        <f>IFERROR(__xludf.DUMMYFUNCTION("""COMPUTED_VALUE"""),"")</f>
        <v/>
      </c>
      <c r="Q229" s="64"/>
      <c r="R229" s="64"/>
      <c r="S229" s="64"/>
    </row>
    <row r="230">
      <c r="A230" s="60">
        <v>45616.78748768519</v>
      </c>
      <c r="B230" s="52" t="s">
        <v>149</v>
      </c>
      <c r="C230" s="53" t="b">
        <v>0</v>
      </c>
      <c r="D230" s="53"/>
      <c r="E230" s="53"/>
      <c r="F230" s="53"/>
      <c r="G230" s="53"/>
      <c r="H230" s="53">
        <v>185.0</v>
      </c>
      <c r="I230" s="53"/>
      <c r="J230" s="53" t="s">
        <v>12</v>
      </c>
      <c r="K230" s="61">
        <v>45616.0</v>
      </c>
      <c r="L230" s="53" t="s">
        <v>135</v>
      </c>
      <c r="M230" s="53" t="s">
        <v>18</v>
      </c>
      <c r="N230" s="64" t="str">
        <f>IFERROR(__xludf.DUMMYFUNCTION("""COMPUTED_VALUE"""),"")</f>
        <v/>
      </c>
      <c r="O230" s="64" t="str">
        <f>IFERROR(__xludf.DUMMYFUNCTION("""COMPUTED_VALUE"""),"")</f>
        <v/>
      </c>
      <c r="P230" s="64" t="str">
        <f>IFERROR(__xludf.DUMMYFUNCTION("""COMPUTED_VALUE"""),"")</f>
        <v/>
      </c>
      <c r="Q230" s="64"/>
      <c r="R230" s="64"/>
      <c r="S230" s="64"/>
    </row>
    <row r="231">
      <c r="A231" s="60">
        <v>45616.87897890047</v>
      </c>
      <c r="B231" s="52" t="s">
        <v>149</v>
      </c>
      <c r="C231" s="53" t="b">
        <v>0</v>
      </c>
      <c r="D231" s="53"/>
      <c r="E231" s="53"/>
      <c r="F231" s="53"/>
      <c r="G231" s="53"/>
      <c r="H231" s="53">
        <v>170.0</v>
      </c>
      <c r="I231" s="53"/>
      <c r="J231" s="53" t="s">
        <v>12</v>
      </c>
      <c r="K231" s="61">
        <v>45616.0</v>
      </c>
      <c r="L231" s="53" t="s">
        <v>135</v>
      </c>
      <c r="M231" s="53" t="s">
        <v>18</v>
      </c>
      <c r="N231" s="64">
        <f>IFERROR(__xludf.DUMMYFUNCTION("""COMPUTED_VALUE"""),487.0)</f>
        <v>487</v>
      </c>
      <c r="O231" s="64">
        <f>IFERROR(__xludf.DUMMYFUNCTION("""COMPUTED_VALUE"""),229.0)</f>
        <v>229</v>
      </c>
      <c r="P231" s="64">
        <f>IFERROR(__xludf.DUMMYFUNCTION("""COMPUTED_VALUE"""),716.0)</f>
        <v>716</v>
      </c>
      <c r="Q231" s="64"/>
      <c r="R231" s="64"/>
      <c r="S231" s="64"/>
    </row>
    <row r="232">
      <c r="A232" s="60">
        <v>45617.55616444445</v>
      </c>
      <c r="B232" s="52" t="s">
        <v>150</v>
      </c>
      <c r="C232" s="53" t="b">
        <v>0</v>
      </c>
      <c r="D232" s="53"/>
      <c r="E232" s="53"/>
      <c r="F232" s="53"/>
      <c r="G232" s="53"/>
      <c r="H232" s="53">
        <v>70.0</v>
      </c>
      <c r="I232" s="53"/>
      <c r="J232" s="53" t="s">
        <v>11</v>
      </c>
      <c r="K232" s="61">
        <v>45617.0</v>
      </c>
      <c r="L232" s="53" t="s">
        <v>137</v>
      </c>
      <c r="M232" s="53" t="s">
        <v>18</v>
      </c>
      <c r="N232" s="64" t="str">
        <f>IFERROR(__xludf.DUMMYFUNCTION("""COMPUTED_VALUE"""),"")</f>
        <v/>
      </c>
      <c r="O232" s="64" t="str">
        <f>IFERROR(__xludf.DUMMYFUNCTION("""COMPUTED_VALUE"""),"")</f>
        <v/>
      </c>
      <c r="P232" s="64" t="str">
        <f>IFERROR(__xludf.DUMMYFUNCTION("""COMPUTED_VALUE"""),"")</f>
        <v/>
      </c>
      <c r="Q232" s="64"/>
      <c r="R232" s="64"/>
      <c r="S232" s="64"/>
    </row>
    <row r="233">
      <c r="A233" s="60">
        <v>45617.62747275463</v>
      </c>
      <c r="B233" s="52" t="s">
        <v>149</v>
      </c>
      <c r="C233" s="53" t="b">
        <v>0</v>
      </c>
      <c r="D233" s="53"/>
      <c r="E233" s="53"/>
      <c r="F233" s="53"/>
      <c r="G233" s="53"/>
      <c r="H233" s="53">
        <v>174.0</v>
      </c>
      <c r="I233" s="53"/>
      <c r="J233" s="53" t="s">
        <v>11</v>
      </c>
      <c r="K233" s="61">
        <v>45617.0</v>
      </c>
      <c r="L233" s="53" t="s">
        <v>137</v>
      </c>
      <c r="M233" s="53" t="s">
        <v>19</v>
      </c>
      <c r="N233" s="64" t="str">
        <f>IFERROR(__xludf.DUMMYFUNCTION("""COMPUTED_VALUE"""),"")</f>
        <v/>
      </c>
      <c r="O233" s="64" t="str">
        <f>IFERROR(__xludf.DUMMYFUNCTION("""COMPUTED_VALUE"""),"")</f>
        <v/>
      </c>
      <c r="P233" s="64" t="str">
        <f>IFERROR(__xludf.DUMMYFUNCTION("""COMPUTED_VALUE"""),"")</f>
        <v/>
      </c>
      <c r="Q233" s="64"/>
      <c r="R233" s="64"/>
      <c r="S233" s="64"/>
    </row>
    <row r="234">
      <c r="A234" s="60">
        <v>45617.87326505787</v>
      </c>
      <c r="B234" s="52" t="s">
        <v>148</v>
      </c>
      <c r="C234" s="53" t="b">
        <v>0</v>
      </c>
      <c r="D234" s="53"/>
      <c r="E234" s="53"/>
      <c r="F234" s="53"/>
      <c r="G234" s="53"/>
      <c r="H234" s="53">
        <v>190.0</v>
      </c>
      <c r="I234" s="53"/>
      <c r="J234" s="53" t="s">
        <v>12</v>
      </c>
      <c r="K234" s="61">
        <v>45617.0</v>
      </c>
      <c r="L234" s="53" t="s">
        <v>137</v>
      </c>
      <c r="M234" s="53" t="s">
        <v>19</v>
      </c>
      <c r="N234" s="64">
        <f>IFERROR(__xludf.DUMMYFUNCTION("""COMPUTED_VALUE"""),70.0)</f>
        <v>70</v>
      </c>
      <c r="O234" s="64">
        <f>IFERROR(__xludf.DUMMYFUNCTION("""COMPUTED_VALUE"""),364.0)</f>
        <v>364</v>
      </c>
      <c r="P234" s="64">
        <f>IFERROR(__xludf.DUMMYFUNCTION("""COMPUTED_VALUE"""),434.0)</f>
        <v>434</v>
      </c>
      <c r="Q234" s="64"/>
      <c r="R234" s="64"/>
      <c r="S234" s="64"/>
    </row>
    <row r="235">
      <c r="A235" s="60">
        <v>45618.38844113426</v>
      </c>
      <c r="B235" s="52" t="s">
        <v>136</v>
      </c>
      <c r="C235" s="53" t="b">
        <v>0</v>
      </c>
      <c r="D235" s="53"/>
      <c r="E235" s="53"/>
      <c r="F235" s="53"/>
      <c r="G235" s="53"/>
      <c r="H235" s="53">
        <v>48.0</v>
      </c>
      <c r="I235" s="53"/>
      <c r="J235" s="53" t="s">
        <v>10</v>
      </c>
      <c r="K235" s="61">
        <v>45618.0</v>
      </c>
      <c r="L235" s="53" t="s">
        <v>138</v>
      </c>
      <c r="M235" s="53" t="s">
        <v>19</v>
      </c>
      <c r="N235" s="64" t="str">
        <f>IFERROR(__xludf.DUMMYFUNCTION("""COMPUTED_VALUE"""),"")</f>
        <v/>
      </c>
      <c r="O235" s="64" t="str">
        <f>IFERROR(__xludf.DUMMYFUNCTION("""COMPUTED_VALUE"""),"")</f>
        <v/>
      </c>
      <c r="P235" s="64" t="str">
        <f>IFERROR(__xludf.DUMMYFUNCTION("""COMPUTED_VALUE"""),"")</f>
        <v/>
      </c>
      <c r="Q235" s="64"/>
      <c r="R235" s="64"/>
      <c r="S235" s="64"/>
    </row>
    <row r="236">
      <c r="A236" s="60">
        <v>45618.71117829861</v>
      </c>
      <c r="B236" s="52" t="s">
        <v>130</v>
      </c>
      <c r="C236" s="53" t="b">
        <v>0</v>
      </c>
      <c r="D236" s="53"/>
      <c r="E236" s="53"/>
      <c r="F236" s="53"/>
      <c r="G236" s="53"/>
      <c r="H236" s="53">
        <v>52.0</v>
      </c>
      <c r="I236" s="53"/>
      <c r="J236" s="53" t="s">
        <v>11</v>
      </c>
      <c r="K236" s="61">
        <v>45618.0</v>
      </c>
      <c r="L236" s="53" t="s">
        <v>138</v>
      </c>
      <c r="M236" s="53" t="s">
        <v>18</v>
      </c>
      <c r="N236" s="64" t="str">
        <f>IFERROR(__xludf.DUMMYFUNCTION("""COMPUTED_VALUE"""),"")</f>
        <v/>
      </c>
      <c r="O236" s="64" t="str">
        <f>IFERROR(__xludf.DUMMYFUNCTION("""COMPUTED_VALUE"""),"")</f>
        <v/>
      </c>
      <c r="P236" s="64" t="str">
        <f>IFERROR(__xludf.DUMMYFUNCTION("""COMPUTED_VALUE"""),"")</f>
        <v/>
      </c>
      <c r="Q236" s="64"/>
      <c r="R236" s="64"/>
      <c r="S236" s="64"/>
    </row>
    <row r="237">
      <c r="A237" s="60">
        <v>45618.83372569444</v>
      </c>
      <c r="B237" s="52" t="s">
        <v>148</v>
      </c>
      <c r="C237" s="53" t="b">
        <v>0</v>
      </c>
      <c r="D237" s="53"/>
      <c r="E237" s="53"/>
      <c r="F237" s="53"/>
      <c r="G237" s="53"/>
      <c r="H237" s="53">
        <v>216.0</v>
      </c>
      <c r="I237" s="53"/>
      <c r="J237" s="53" t="s">
        <v>12</v>
      </c>
      <c r="K237" s="61">
        <v>45618.0</v>
      </c>
      <c r="L237" s="53" t="s">
        <v>138</v>
      </c>
      <c r="M237" s="53" t="s">
        <v>18</v>
      </c>
      <c r="N237" s="64">
        <f>IFERROR(__xludf.DUMMYFUNCTION("""COMPUTED_VALUE"""),268.0)</f>
        <v>268</v>
      </c>
      <c r="O237" s="64">
        <f>IFERROR(__xludf.DUMMYFUNCTION("""COMPUTED_VALUE"""),48.0)</f>
        <v>48</v>
      </c>
      <c r="P237" s="64">
        <f>IFERROR(__xludf.DUMMYFUNCTION("""COMPUTED_VALUE"""),316.0)</f>
        <v>316</v>
      </c>
      <c r="Q237" s="64"/>
      <c r="R237" s="64"/>
      <c r="S237" s="64"/>
    </row>
    <row r="238">
      <c r="A238" s="60">
        <v>45621.41820619213</v>
      </c>
      <c r="B238" s="52" t="s">
        <v>136</v>
      </c>
      <c r="C238" s="53" t="b">
        <v>0</v>
      </c>
      <c r="D238" s="53"/>
      <c r="E238" s="53"/>
      <c r="F238" s="53"/>
      <c r="G238" s="53"/>
      <c r="H238" s="53">
        <v>41.0</v>
      </c>
      <c r="I238" s="53"/>
      <c r="J238" s="53" t="s">
        <v>10</v>
      </c>
      <c r="K238" s="61">
        <v>45621.0</v>
      </c>
      <c r="L238" s="53" t="s">
        <v>129</v>
      </c>
      <c r="M238" s="53" t="s">
        <v>19</v>
      </c>
      <c r="N238" s="64" t="str">
        <f>IFERROR(__xludf.DUMMYFUNCTION("""COMPUTED_VALUE"""),"")</f>
        <v/>
      </c>
      <c r="O238" s="64" t="str">
        <f>IFERROR(__xludf.DUMMYFUNCTION("""COMPUTED_VALUE"""),"")</f>
        <v/>
      </c>
      <c r="P238" s="64" t="str">
        <f>IFERROR(__xludf.DUMMYFUNCTION("""COMPUTED_VALUE"""),"")</f>
        <v/>
      </c>
      <c r="Q238" s="64"/>
      <c r="R238" s="64"/>
      <c r="S238" s="64"/>
    </row>
    <row r="239">
      <c r="A239" s="60">
        <v>45621.62244697916</v>
      </c>
      <c r="B239" s="52" t="s">
        <v>149</v>
      </c>
      <c r="C239" s="53" t="b">
        <v>0</v>
      </c>
      <c r="D239" s="53"/>
      <c r="E239" s="53"/>
      <c r="F239" s="53"/>
      <c r="G239" s="53"/>
      <c r="H239" s="53">
        <v>103.0</v>
      </c>
      <c r="I239" s="53"/>
      <c r="J239" s="53" t="s">
        <v>11</v>
      </c>
      <c r="K239" s="61">
        <v>45621.0</v>
      </c>
      <c r="L239" s="53" t="s">
        <v>129</v>
      </c>
      <c r="M239" s="53" t="s">
        <v>19</v>
      </c>
      <c r="N239" s="64" t="str">
        <f>IFERROR(__xludf.DUMMYFUNCTION("""COMPUTED_VALUE"""),"")</f>
        <v/>
      </c>
      <c r="O239" s="64" t="str">
        <f>IFERROR(__xludf.DUMMYFUNCTION("""COMPUTED_VALUE"""),"")</f>
        <v/>
      </c>
      <c r="P239" s="64" t="str">
        <f>IFERROR(__xludf.DUMMYFUNCTION("""COMPUTED_VALUE"""),"")</f>
        <v/>
      </c>
      <c r="Q239" s="64"/>
      <c r="R239" s="64"/>
      <c r="S239" s="64"/>
    </row>
    <row r="240">
      <c r="A240" s="60">
        <v>45621.64485361111</v>
      </c>
      <c r="B240" s="52" t="s">
        <v>148</v>
      </c>
      <c r="C240" s="53" t="b">
        <v>0</v>
      </c>
      <c r="D240" s="53"/>
      <c r="E240" s="53"/>
      <c r="F240" s="53"/>
      <c r="G240" s="53"/>
      <c r="H240" s="53">
        <v>106.0</v>
      </c>
      <c r="I240" s="53"/>
      <c r="J240" s="53" t="s">
        <v>11</v>
      </c>
      <c r="K240" s="61">
        <v>45621.0</v>
      </c>
      <c r="L240" s="53" t="s">
        <v>129</v>
      </c>
      <c r="M240" s="53" t="s">
        <v>18</v>
      </c>
      <c r="N240" s="64" t="str">
        <f>IFERROR(__xludf.DUMMYFUNCTION("""COMPUTED_VALUE"""),"")</f>
        <v/>
      </c>
      <c r="O240" s="64" t="str">
        <f>IFERROR(__xludf.DUMMYFUNCTION("""COMPUTED_VALUE"""),"")</f>
        <v/>
      </c>
      <c r="P240" s="64" t="str">
        <f>IFERROR(__xludf.DUMMYFUNCTION("""COMPUTED_VALUE"""),"")</f>
        <v/>
      </c>
      <c r="Q240" s="64"/>
      <c r="R240" s="64"/>
      <c r="S240" s="64"/>
    </row>
    <row r="241">
      <c r="A241" s="60">
        <v>45621.70989550926</v>
      </c>
      <c r="B241" s="52" t="s">
        <v>130</v>
      </c>
      <c r="C241" s="53" t="b">
        <v>0</v>
      </c>
      <c r="D241" s="53"/>
      <c r="E241" s="53"/>
      <c r="F241" s="53"/>
      <c r="G241" s="53"/>
      <c r="H241" s="53">
        <v>1.0</v>
      </c>
      <c r="I241" s="53"/>
      <c r="J241" s="53" t="s">
        <v>11</v>
      </c>
      <c r="K241" s="61">
        <v>45621.0</v>
      </c>
      <c r="L241" s="53" t="s">
        <v>129</v>
      </c>
      <c r="M241" s="53" t="s">
        <v>18</v>
      </c>
      <c r="N241" s="64">
        <f>IFERROR(__xludf.DUMMYFUNCTION("""COMPUTED_VALUE"""),107.0)</f>
        <v>107</v>
      </c>
      <c r="O241" s="64">
        <f>IFERROR(__xludf.DUMMYFUNCTION("""COMPUTED_VALUE"""),144.0)</f>
        <v>144</v>
      </c>
      <c r="P241" s="64">
        <f>IFERROR(__xludf.DUMMYFUNCTION("""COMPUTED_VALUE"""),251.0)</f>
        <v>251</v>
      </c>
      <c r="Q241" s="64"/>
      <c r="R241" s="64"/>
      <c r="S241" s="64"/>
    </row>
    <row r="242">
      <c r="A242" s="60">
        <v>45622.6256087037</v>
      </c>
      <c r="B242" s="52" t="s">
        <v>131</v>
      </c>
      <c r="C242" s="53" t="b">
        <v>0</v>
      </c>
      <c r="D242" s="53"/>
      <c r="E242" s="53"/>
      <c r="F242" s="53"/>
      <c r="G242" s="53"/>
      <c r="H242" s="53">
        <v>71.0</v>
      </c>
      <c r="I242" s="53"/>
      <c r="J242" s="53" t="s">
        <v>11</v>
      </c>
      <c r="K242" s="61">
        <v>45622.0</v>
      </c>
      <c r="L242" s="53" t="s">
        <v>132</v>
      </c>
      <c r="M242" s="53" t="s">
        <v>19</v>
      </c>
      <c r="N242" s="64" t="str">
        <f>IFERROR(__xludf.DUMMYFUNCTION("""COMPUTED_VALUE"""),"")</f>
        <v/>
      </c>
      <c r="O242" s="64">
        <f>IFERROR(__xludf.DUMMYFUNCTION("""COMPUTED_VALUE"""),71.0)</f>
        <v>71</v>
      </c>
      <c r="P242" s="64">
        <f>IFERROR(__xludf.DUMMYFUNCTION("""COMPUTED_VALUE"""),71.0)</f>
        <v>71</v>
      </c>
      <c r="Q242" s="64"/>
      <c r="R242" s="64"/>
      <c r="S242" s="64"/>
    </row>
    <row r="243">
      <c r="A243" s="60">
        <v>45628.41154924768</v>
      </c>
      <c r="B243" s="52" t="s">
        <v>136</v>
      </c>
      <c r="C243" s="53" t="b">
        <v>0</v>
      </c>
      <c r="D243" s="53"/>
      <c r="E243" s="53"/>
      <c r="F243" s="53"/>
      <c r="G243" s="53"/>
      <c r="H243" s="53">
        <v>56.0</v>
      </c>
      <c r="I243" s="53"/>
      <c r="J243" s="53" t="s">
        <v>10</v>
      </c>
      <c r="K243" s="61">
        <v>45628.0</v>
      </c>
      <c r="L243" s="53" t="s">
        <v>129</v>
      </c>
      <c r="M243" s="53" t="s">
        <v>19</v>
      </c>
      <c r="N243" s="64" t="str">
        <f>IFERROR(__xludf.DUMMYFUNCTION("""COMPUTED_VALUE"""),"")</f>
        <v/>
      </c>
      <c r="O243" s="64" t="str">
        <f>IFERROR(__xludf.DUMMYFUNCTION("""COMPUTED_VALUE"""),"")</f>
        <v/>
      </c>
      <c r="P243" s="64" t="str">
        <f>IFERROR(__xludf.DUMMYFUNCTION("""COMPUTED_VALUE"""),"")</f>
        <v/>
      </c>
      <c r="Q243" s="64"/>
      <c r="R243" s="64"/>
      <c r="S243" s="64"/>
    </row>
    <row r="244">
      <c r="A244" s="60">
        <v>45628.53293636574</v>
      </c>
      <c r="B244" s="52" t="s">
        <v>130</v>
      </c>
      <c r="C244" s="53" t="b">
        <v>0</v>
      </c>
      <c r="D244" s="53"/>
      <c r="E244" s="53"/>
      <c r="F244" s="53"/>
      <c r="G244" s="53"/>
      <c r="H244" s="53">
        <v>6.0</v>
      </c>
      <c r="I244" s="53"/>
      <c r="J244" s="53" t="s">
        <v>11</v>
      </c>
      <c r="K244" s="61">
        <v>45628.0</v>
      </c>
      <c r="L244" s="53" t="s">
        <v>129</v>
      </c>
      <c r="M244" s="53" t="s">
        <v>18</v>
      </c>
      <c r="N244" s="64" t="str">
        <f>IFERROR(__xludf.DUMMYFUNCTION("""COMPUTED_VALUE"""),"")</f>
        <v/>
      </c>
      <c r="O244" s="64" t="str">
        <f>IFERROR(__xludf.DUMMYFUNCTION("""COMPUTED_VALUE"""),"")</f>
        <v/>
      </c>
      <c r="P244" s="64" t="str">
        <f>IFERROR(__xludf.DUMMYFUNCTION("""COMPUTED_VALUE"""),"")</f>
        <v/>
      </c>
      <c r="Q244" s="64"/>
      <c r="R244" s="64"/>
      <c r="S244" s="64"/>
    </row>
    <row r="245">
      <c r="A245" s="60">
        <v>45628.62244872685</v>
      </c>
      <c r="B245" s="52" t="s">
        <v>149</v>
      </c>
      <c r="C245" s="53" t="b">
        <v>0</v>
      </c>
      <c r="D245" s="53"/>
      <c r="E245" s="53"/>
      <c r="F245" s="53"/>
      <c r="G245" s="53"/>
      <c r="H245" s="53">
        <v>138.0</v>
      </c>
      <c r="I245" s="53"/>
      <c r="J245" s="53" t="s">
        <v>11</v>
      </c>
      <c r="K245" s="61">
        <v>45628.0</v>
      </c>
      <c r="L245" s="53" t="s">
        <v>129</v>
      </c>
      <c r="M245" s="53" t="s">
        <v>19</v>
      </c>
      <c r="N245" s="64" t="str">
        <f>IFERROR(__xludf.DUMMYFUNCTION("""COMPUTED_VALUE"""),"")</f>
        <v/>
      </c>
      <c r="O245" s="64" t="str">
        <f>IFERROR(__xludf.DUMMYFUNCTION("""COMPUTED_VALUE"""),"")</f>
        <v/>
      </c>
      <c r="P245" s="64" t="str">
        <f>IFERROR(__xludf.DUMMYFUNCTION("""COMPUTED_VALUE"""),"")</f>
        <v/>
      </c>
      <c r="Q245" s="64"/>
      <c r="R245" s="64"/>
      <c r="S245" s="64"/>
    </row>
    <row r="246">
      <c r="A246" s="60">
        <v>45628.64470730324</v>
      </c>
      <c r="B246" s="52" t="s">
        <v>148</v>
      </c>
      <c r="C246" s="53" t="b">
        <v>0</v>
      </c>
      <c r="D246" s="53"/>
      <c r="E246" s="53"/>
      <c r="F246" s="53"/>
      <c r="G246" s="53"/>
      <c r="H246" s="53">
        <v>169.0</v>
      </c>
      <c r="I246" s="53"/>
      <c r="J246" s="53" t="s">
        <v>11</v>
      </c>
      <c r="K246" s="61">
        <v>45628.0</v>
      </c>
      <c r="L246" s="53" t="s">
        <v>129</v>
      </c>
      <c r="M246" s="53" t="s">
        <v>18</v>
      </c>
      <c r="N246" s="64" t="str">
        <f>IFERROR(__xludf.DUMMYFUNCTION("""COMPUTED_VALUE"""),"")</f>
        <v/>
      </c>
      <c r="O246" s="64" t="str">
        <f>IFERROR(__xludf.DUMMYFUNCTION("""COMPUTED_VALUE"""),"")</f>
        <v/>
      </c>
      <c r="P246" s="64" t="str">
        <f>IFERROR(__xludf.DUMMYFUNCTION("""COMPUTED_VALUE"""),"")</f>
        <v/>
      </c>
      <c r="Q246" s="64"/>
      <c r="R246" s="64"/>
      <c r="S246" s="64"/>
    </row>
    <row r="247">
      <c r="A247" s="60">
        <v>45629.46494424769</v>
      </c>
      <c r="B247" s="52" t="s">
        <v>164</v>
      </c>
      <c r="C247" s="53" t="b">
        <v>0</v>
      </c>
      <c r="D247" s="53"/>
      <c r="E247" s="53"/>
      <c r="F247" s="53"/>
      <c r="G247" s="53"/>
      <c r="H247" s="53">
        <v>115.0</v>
      </c>
      <c r="I247" s="53"/>
      <c r="J247" s="53" t="s">
        <v>12</v>
      </c>
      <c r="K247" s="61">
        <v>45628.0</v>
      </c>
      <c r="L247" s="53" t="s">
        <v>129</v>
      </c>
      <c r="M247" s="53" t="s">
        <v>19</v>
      </c>
      <c r="N247" s="64">
        <f>IFERROR(__xludf.DUMMYFUNCTION("""COMPUTED_VALUE"""),175.0)</f>
        <v>175</v>
      </c>
      <c r="O247" s="64">
        <f>IFERROR(__xludf.DUMMYFUNCTION("""COMPUTED_VALUE"""),309.0)</f>
        <v>309</v>
      </c>
      <c r="P247" s="64">
        <f>IFERROR(__xludf.DUMMYFUNCTION("""COMPUTED_VALUE"""),484.0)</f>
        <v>484</v>
      </c>
      <c r="Q247" s="64"/>
      <c r="R247" s="64"/>
      <c r="S247" s="64"/>
    </row>
    <row r="248">
      <c r="A248" s="60">
        <v>45629.62272909722</v>
      </c>
      <c r="B248" s="52" t="s">
        <v>131</v>
      </c>
      <c r="C248" s="53" t="b">
        <v>0</v>
      </c>
      <c r="D248" s="53"/>
      <c r="E248" s="53"/>
      <c r="F248" s="53"/>
      <c r="G248" s="53"/>
      <c r="H248" s="53">
        <v>118.0</v>
      </c>
      <c r="I248" s="53"/>
      <c r="J248" s="53" t="s">
        <v>11</v>
      </c>
      <c r="K248" s="61">
        <v>45629.0</v>
      </c>
      <c r="L248" s="53" t="s">
        <v>132</v>
      </c>
      <c r="M248" s="53" t="s">
        <v>19</v>
      </c>
      <c r="N248" s="64" t="str">
        <f>IFERROR(__xludf.DUMMYFUNCTION("""COMPUTED_VALUE"""),"")</f>
        <v/>
      </c>
      <c r="O248" s="64" t="str">
        <f>IFERROR(__xludf.DUMMYFUNCTION("""COMPUTED_VALUE"""),"")</f>
        <v/>
      </c>
      <c r="P248" s="64" t="str">
        <f>IFERROR(__xludf.DUMMYFUNCTION("""COMPUTED_VALUE"""),"")</f>
        <v/>
      </c>
      <c r="Q248" s="64"/>
      <c r="R248" s="64"/>
      <c r="S248" s="64"/>
    </row>
    <row r="249">
      <c r="A249" s="60">
        <v>45629.87485256945</v>
      </c>
      <c r="B249" s="52" t="s">
        <v>149</v>
      </c>
      <c r="C249" s="53" t="b">
        <v>0</v>
      </c>
      <c r="D249" s="53"/>
      <c r="E249" s="53"/>
      <c r="F249" s="53"/>
      <c r="G249" s="53"/>
      <c r="H249" s="53">
        <v>98.0</v>
      </c>
      <c r="I249" s="53"/>
      <c r="J249" s="53" t="s">
        <v>12</v>
      </c>
      <c r="K249" s="61">
        <v>45629.0</v>
      </c>
      <c r="L249" s="53" t="s">
        <v>132</v>
      </c>
      <c r="M249" s="53" t="s">
        <v>19</v>
      </c>
      <c r="N249" s="64" t="str">
        <f>IFERROR(__xludf.DUMMYFUNCTION("""COMPUTED_VALUE"""),"")</f>
        <v/>
      </c>
      <c r="O249" s="64" t="str">
        <f>IFERROR(__xludf.DUMMYFUNCTION("""COMPUTED_VALUE"""),"")</f>
        <v/>
      </c>
      <c r="P249" s="64" t="str">
        <f>IFERROR(__xludf.DUMMYFUNCTION("""COMPUTED_VALUE"""),"")</f>
        <v/>
      </c>
      <c r="Q249" s="64"/>
      <c r="R249" s="64"/>
      <c r="S249" s="64"/>
    </row>
    <row r="250">
      <c r="A250" s="60">
        <v>45631.41470571759</v>
      </c>
      <c r="B250" s="52" t="s">
        <v>153</v>
      </c>
      <c r="C250" s="53" t="b">
        <v>0</v>
      </c>
      <c r="D250" s="53"/>
      <c r="E250" s="53"/>
      <c r="F250" s="53"/>
      <c r="G250" s="53"/>
      <c r="H250" s="53">
        <v>44.0</v>
      </c>
      <c r="I250" s="53"/>
      <c r="J250" s="53" t="s">
        <v>10</v>
      </c>
      <c r="K250" s="61">
        <v>45629.0</v>
      </c>
      <c r="L250" s="53" t="s">
        <v>132</v>
      </c>
      <c r="M250" s="53" t="s">
        <v>19</v>
      </c>
      <c r="N250" s="64" t="str">
        <f>IFERROR(__xludf.DUMMYFUNCTION("""COMPUTED_VALUE"""),"")</f>
        <v/>
      </c>
      <c r="O250" s="64">
        <f>IFERROR(__xludf.DUMMYFUNCTION("""COMPUTED_VALUE"""),260.0)</f>
        <v>260</v>
      </c>
      <c r="P250" s="64">
        <f>IFERROR(__xludf.DUMMYFUNCTION("""COMPUTED_VALUE"""),260.0)</f>
        <v>260</v>
      </c>
      <c r="Q250" s="64"/>
      <c r="R250" s="64"/>
      <c r="S250" s="64"/>
    </row>
    <row r="251">
      <c r="A251" s="60">
        <v>45630.41649172454</v>
      </c>
      <c r="B251" s="52" t="s">
        <v>136</v>
      </c>
      <c r="C251" s="53" t="b">
        <v>0</v>
      </c>
      <c r="D251" s="53"/>
      <c r="E251" s="53"/>
      <c r="F251" s="53"/>
      <c r="G251" s="53"/>
      <c r="H251" s="53">
        <v>80.0</v>
      </c>
      <c r="I251" s="53"/>
      <c r="J251" s="53" t="s">
        <v>10</v>
      </c>
      <c r="K251" s="61">
        <v>45630.0</v>
      </c>
      <c r="L251" s="53" t="s">
        <v>135</v>
      </c>
      <c r="M251" s="53" t="s">
        <v>19</v>
      </c>
      <c r="N251" s="64" t="str">
        <f>IFERROR(__xludf.DUMMYFUNCTION("""COMPUTED_VALUE"""),"")</f>
        <v/>
      </c>
      <c r="O251" s="64" t="str">
        <f>IFERROR(__xludf.DUMMYFUNCTION("""COMPUTED_VALUE"""),"")</f>
        <v/>
      </c>
      <c r="P251" s="64" t="str">
        <f>IFERROR(__xludf.DUMMYFUNCTION("""COMPUTED_VALUE"""),"")</f>
        <v/>
      </c>
      <c r="Q251" s="64"/>
      <c r="R251" s="64"/>
      <c r="S251" s="64"/>
    </row>
    <row r="252">
      <c r="A252" s="60">
        <v>45630.49937802083</v>
      </c>
      <c r="B252" s="52" t="s">
        <v>130</v>
      </c>
      <c r="C252" s="53" t="b">
        <v>0</v>
      </c>
      <c r="D252" s="53"/>
      <c r="E252" s="53"/>
      <c r="F252" s="53"/>
      <c r="G252" s="53"/>
      <c r="H252" s="53">
        <v>12.0</v>
      </c>
      <c r="I252" s="53"/>
      <c r="J252" s="53" t="s">
        <v>11</v>
      </c>
      <c r="K252" s="61">
        <v>45630.0</v>
      </c>
      <c r="L252" s="53" t="s">
        <v>135</v>
      </c>
      <c r="M252" s="53" t="s">
        <v>18</v>
      </c>
      <c r="N252" s="64" t="str">
        <f>IFERROR(__xludf.DUMMYFUNCTION("""COMPUTED_VALUE"""),"")</f>
        <v/>
      </c>
      <c r="O252" s="64" t="str">
        <f>IFERROR(__xludf.DUMMYFUNCTION("""COMPUTED_VALUE"""),"")</f>
        <v/>
      </c>
      <c r="P252" s="64" t="str">
        <f>IFERROR(__xludf.DUMMYFUNCTION("""COMPUTED_VALUE"""),"")</f>
        <v/>
      </c>
      <c r="Q252" s="64"/>
      <c r="R252" s="64"/>
      <c r="S252" s="64"/>
    </row>
    <row r="253">
      <c r="A253" s="60">
        <v>45630.563414375</v>
      </c>
      <c r="B253" s="52" t="s">
        <v>149</v>
      </c>
      <c r="C253" s="53" t="b">
        <v>0</v>
      </c>
      <c r="D253" s="53"/>
      <c r="E253" s="53"/>
      <c r="F253" s="53"/>
      <c r="G253" s="53"/>
      <c r="H253" s="53">
        <v>144.0</v>
      </c>
      <c r="I253" s="53"/>
      <c r="J253" s="53" t="s">
        <v>11</v>
      </c>
      <c r="K253" s="61">
        <v>45630.0</v>
      </c>
      <c r="L253" s="53" t="s">
        <v>135</v>
      </c>
      <c r="M253" s="53" t="s">
        <v>19</v>
      </c>
      <c r="N253" s="64" t="str">
        <f>IFERROR(__xludf.DUMMYFUNCTION("""COMPUTED_VALUE"""),"")</f>
        <v/>
      </c>
      <c r="O253" s="64" t="str">
        <f>IFERROR(__xludf.DUMMYFUNCTION("""COMPUTED_VALUE"""),"")</f>
        <v/>
      </c>
      <c r="P253" s="64" t="str">
        <f>IFERROR(__xludf.DUMMYFUNCTION("""COMPUTED_VALUE"""),"")</f>
        <v/>
      </c>
      <c r="Q253" s="64"/>
      <c r="R253" s="64"/>
      <c r="S253" s="64"/>
    </row>
    <row r="254">
      <c r="A254" s="60">
        <v>45630.62625657408</v>
      </c>
      <c r="B254" s="52" t="s">
        <v>149</v>
      </c>
      <c r="C254" s="53" t="b">
        <v>0</v>
      </c>
      <c r="D254" s="53"/>
      <c r="E254" s="53"/>
      <c r="F254" s="53"/>
      <c r="G254" s="53"/>
      <c r="H254" s="53">
        <v>61.0</v>
      </c>
      <c r="I254" s="53"/>
      <c r="J254" s="53" t="s">
        <v>11</v>
      </c>
      <c r="K254" s="61">
        <v>45630.0</v>
      </c>
      <c r="L254" s="53" t="s">
        <v>135</v>
      </c>
      <c r="M254" s="53" t="s">
        <v>19</v>
      </c>
      <c r="N254" s="64" t="str">
        <f>IFERROR(__xludf.DUMMYFUNCTION("""COMPUTED_VALUE"""),"")</f>
        <v/>
      </c>
      <c r="O254" s="64" t="str">
        <f>IFERROR(__xludf.DUMMYFUNCTION("""COMPUTED_VALUE"""),"")</f>
        <v/>
      </c>
      <c r="P254" s="64" t="str">
        <f>IFERROR(__xludf.DUMMYFUNCTION("""COMPUTED_VALUE"""),"")</f>
        <v/>
      </c>
      <c r="Q254" s="64"/>
      <c r="R254" s="64"/>
      <c r="S254" s="64"/>
    </row>
    <row r="255">
      <c r="A255" s="60">
        <v>45630.64449920139</v>
      </c>
      <c r="B255" s="52" t="s">
        <v>148</v>
      </c>
      <c r="C255" s="53" t="b">
        <v>0</v>
      </c>
      <c r="D255" s="53"/>
      <c r="E255" s="53"/>
      <c r="F255" s="53"/>
      <c r="G255" s="53"/>
      <c r="H255" s="53">
        <v>141.0</v>
      </c>
      <c r="I255" s="53"/>
      <c r="J255" s="53" t="s">
        <v>11</v>
      </c>
      <c r="K255" s="61">
        <v>45630.0</v>
      </c>
      <c r="L255" s="53" t="s">
        <v>135</v>
      </c>
      <c r="M255" s="53" t="s">
        <v>18</v>
      </c>
      <c r="N255" s="64" t="str">
        <f>IFERROR(__xludf.DUMMYFUNCTION("""COMPUTED_VALUE"""),"")</f>
        <v/>
      </c>
      <c r="O255" s="64" t="str">
        <f>IFERROR(__xludf.DUMMYFUNCTION("""COMPUTED_VALUE"""),"")</f>
        <v/>
      </c>
      <c r="P255" s="64" t="str">
        <f>IFERROR(__xludf.DUMMYFUNCTION("""COMPUTED_VALUE"""),"")</f>
        <v/>
      </c>
      <c r="Q255" s="64"/>
      <c r="R255" s="64"/>
      <c r="S255" s="64"/>
    </row>
    <row r="256">
      <c r="A256" s="60">
        <v>45630.80038868055</v>
      </c>
      <c r="B256" s="52" t="s">
        <v>149</v>
      </c>
      <c r="C256" s="53" t="b">
        <v>0</v>
      </c>
      <c r="D256" s="53"/>
      <c r="E256" s="53"/>
      <c r="F256" s="53"/>
      <c r="G256" s="53"/>
      <c r="H256" s="53">
        <v>273.0</v>
      </c>
      <c r="I256" s="53"/>
      <c r="J256" s="53" t="s">
        <v>12</v>
      </c>
      <c r="K256" s="61">
        <v>45630.0</v>
      </c>
      <c r="L256" s="53" t="s">
        <v>135</v>
      </c>
      <c r="M256" s="53" t="s">
        <v>18</v>
      </c>
      <c r="N256" s="64" t="str">
        <f>IFERROR(__xludf.DUMMYFUNCTION("""COMPUTED_VALUE"""),"")</f>
        <v/>
      </c>
      <c r="O256" s="64" t="str">
        <f>IFERROR(__xludf.DUMMYFUNCTION("""COMPUTED_VALUE"""),"")</f>
        <v/>
      </c>
      <c r="P256" s="64" t="str">
        <f>IFERROR(__xludf.DUMMYFUNCTION("""COMPUTED_VALUE"""),"")</f>
        <v/>
      </c>
      <c r="Q256" s="64"/>
      <c r="R256" s="64"/>
      <c r="S256" s="64"/>
    </row>
    <row r="257">
      <c r="A257" s="60">
        <v>45630.88642461805</v>
      </c>
      <c r="B257" s="52" t="s">
        <v>149</v>
      </c>
      <c r="C257" s="53" t="b">
        <v>0</v>
      </c>
      <c r="D257" s="53"/>
      <c r="E257" s="53"/>
      <c r="F257" s="53"/>
      <c r="G257" s="53"/>
      <c r="H257" s="53">
        <v>245.0</v>
      </c>
      <c r="I257" s="53"/>
      <c r="J257" s="53" t="s">
        <v>12</v>
      </c>
      <c r="K257" s="61">
        <v>45630.0</v>
      </c>
      <c r="L257" s="53" t="s">
        <v>135</v>
      </c>
      <c r="M257" s="53" t="s">
        <v>18</v>
      </c>
      <c r="N257" s="64">
        <f>IFERROR(__xludf.DUMMYFUNCTION("""COMPUTED_VALUE"""),671.0)</f>
        <v>671</v>
      </c>
      <c r="O257" s="64">
        <f>IFERROR(__xludf.DUMMYFUNCTION("""COMPUTED_VALUE"""),285.0)</f>
        <v>285</v>
      </c>
      <c r="P257" s="64">
        <f>IFERROR(__xludf.DUMMYFUNCTION("""COMPUTED_VALUE"""),956.0)</f>
        <v>956</v>
      </c>
      <c r="Q257" s="64"/>
      <c r="R257" s="64"/>
      <c r="S257" s="64"/>
    </row>
    <row r="258">
      <c r="A258" s="60">
        <v>45631.46325993056</v>
      </c>
      <c r="B258" s="52" t="s">
        <v>153</v>
      </c>
      <c r="C258" s="53" t="b">
        <v>0</v>
      </c>
      <c r="D258" s="53"/>
      <c r="E258" s="53"/>
      <c r="F258" s="53"/>
      <c r="G258" s="53"/>
      <c r="H258" s="53">
        <v>51.0</v>
      </c>
      <c r="I258" s="53"/>
      <c r="J258" s="53" t="s">
        <v>10</v>
      </c>
      <c r="K258" s="61">
        <v>45631.0</v>
      </c>
      <c r="L258" s="53" t="s">
        <v>137</v>
      </c>
      <c r="M258" s="53" t="s">
        <v>19</v>
      </c>
      <c r="N258" s="64" t="str">
        <f>IFERROR(__xludf.DUMMYFUNCTION("""COMPUTED_VALUE"""),"")</f>
        <v/>
      </c>
      <c r="O258" s="64" t="str">
        <f>IFERROR(__xludf.DUMMYFUNCTION("""COMPUTED_VALUE"""),"")</f>
        <v/>
      </c>
      <c r="P258" s="64" t="str">
        <f>IFERROR(__xludf.DUMMYFUNCTION("""COMPUTED_VALUE"""),"")</f>
        <v/>
      </c>
      <c r="Q258" s="64"/>
      <c r="R258" s="64"/>
      <c r="S258" s="64"/>
    </row>
    <row r="259">
      <c r="A259" s="60">
        <v>45631.59118349537</v>
      </c>
      <c r="B259" s="52" t="s">
        <v>150</v>
      </c>
      <c r="C259" s="53" t="b">
        <v>0</v>
      </c>
      <c r="D259" s="53"/>
      <c r="E259" s="53"/>
      <c r="F259" s="53"/>
      <c r="G259" s="53"/>
      <c r="H259" s="53">
        <v>59.0</v>
      </c>
      <c r="I259" s="53"/>
      <c r="J259" s="53" t="s">
        <v>11</v>
      </c>
      <c r="K259" s="61">
        <v>45631.0</v>
      </c>
      <c r="L259" s="53" t="s">
        <v>137</v>
      </c>
      <c r="M259" s="53" t="s">
        <v>18</v>
      </c>
      <c r="N259" s="64" t="str">
        <f>IFERROR(__xludf.DUMMYFUNCTION("""COMPUTED_VALUE"""),"")</f>
        <v/>
      </c>
      <c r="O259" s="64" t="str">
        <f>IFERROR(__xludf.DUMMYFUNCTION("""COMPUTED_VALUE"""),"")</f>
        <v/>
      </c>
      <c r="P259" s="64" t="str">
        <f>IFERROR(__xludf.DUMMYFUNCTION("""COMPUTED_VALUE"""),"")</f>
        <v/>
      </c>
      <c r="Q259" s="64"/>
      <c r="R259" s="64"/>
      <c r="S259" s="64"/>
    </row>
    <row r="260">
      <c r="A260" s="60">
        <v>45631.62531482639</v>
      </c>
      <c r="B260" s="52" t="s">
        <v>149</v>
      </c>
      <c r="C260" s="53" t="b">
        <v>0</v>
      </c>
      <c r="D260" s="53"/>
      <c r="E260" s="53"/>
      <c r="F260" s="53"/>
      <c r="G260" s="53"/>
      <c r="H260" s="53">
        <v>104.0</v>
      </c>
      <c r="I260" s="53"/>
      <c r="J260" s="53" t="s">
        <v>11</v>
      </c>
      <c r="K260" s="61">
        <v>45631.0</v>
      </c>
      <c r="L260" s="53" t="s">
        <v>137</v>
      </c>
      <c r="M260" s="53" t="s">
        <v>19</v>
      </c>
      <c r="N260" s="64" t="str">
        <f>IFERROR(__xludf.DUMMYFUNCTION("""COMPUTED_VALUE"""),"")</f>
        <v/>
      </c>
      <c r="O260" s="64" t="str">
        <f>IFERROR(__xludf.DUMMYFUNCTION("""COMPUTED_VALUE"""),"")</f>
        <v/>
      </c>
      <c r="P260" s="64" t="str">
        <f>IFERROR(__xludf.DUMMYFUNCTION("""COMPUTED_VALUE"""),"")</f>
        <v/>
      </c>
      <c r="Q260" s="64"/>
      <c r="R260" s="64"/>
      <c r="S260" s="64"/>
    </row>
    <row r="261">
      <c r="A261" s="60">
        <v>45631.87311570602</v>
      </c>
      <c r="B261" s="52" t="s">
        <v>148</v>
      </c>
      <c r="C261" s="53" t="b">
        <v>0</v>
      </c>
      <c r="D261" s="53"/>
      <c r="E261" s="53"/>
      <c r="F261" s="53"/>
      <c r="G261" s="53"/>
      <c r="H261" s="53">
        <v>142.0</v>
      </c>
      <c r="I261" s="53"/>
      <c r="J261" s="53" t="s">
        <v>12</v>
      </c>
      <c r="K261" s="61">
        <v>45631.0</v>
      </c>
      <c r="L261" s="53" t="s">
        <v>137</v>
      </c>
      <c r="M261" s="53" t="s">
        <v>19</v>
      </c>
      <c r="N261" s="64">
        <f>IFERROR(__xludf.DUMMYFUNCTION("""COMPUTED_VALUE"""),59.0)</f>
        <v>59</v>
      </c>
      <c r="O261" s="64">
        <f>IFERROR(__xludf.DUMMYFUNCTION("""COMPUTED_VALUE"""),297.0)</f>
        <v>297</v>
      </c>
      <c r="P261" s="64">
        <f>IFERROR(__xludf.DUMMYFUNCTION("""COMPUTED_VALUE"""),356.0)</f>
        <v>356</v>
      </c>
      <c r="Q261" s="64"/>
      <c r="R261" s="64"/>
      <c r="S261" s="64"/>
    </row>
    <row r="262">
      <c r="A262" s="60">
        <v>45632.37406539352</v>
      </c>
      <c r="B262" s="52" t="s">
        <v>136</v>
      </c>
      <c r="C262" s="53" t="b">
        <v>0</v>
      </c>
      <c r="D262" s="53"/>
      <c r="E262" s="53"/>
      <c r="F262" s="53"/>
      <c r="G262" s="53"/>
      <c r="H262" s="53">
        <v>38.0</v>
      </c>
      <c r="I262" s="53"/>
      <c r="J262" s="53" t="s">
        <v>10</v>
      </c>
      <c r="K262" s="61">
        <v>45632.0</v>
      </c>
      <c r="L262" s="53" t="s">
        <v>138</v>
      </c>
      <c r="M262" s="53" t="s">
        <v>19</v>
      </c>
      <c r="N262" s="64" t="str">
        <f>IFERROR(__xludf.DUMMYFUNCTION("""COMPUTED_VALUE"""),"")</f>
        <v/>
      </c>
      <c r="O262" s="64" t="str">
        <f>IFERROR(__xludf.DUMMYFUNCTION("""COMPUTED_VALUE"""),"")</f>
        <v/>
      </c>
      <c r="P262" s="64" t="str">
        <f>IFERROR(__xludf.DUMMYFUNCTION("""COMPUTED_VALUE"""),"")</f>
        <v/>
      </c>
      <c r="Q262" s="64"/>
      <c r="R262" s="64"/>
      <c r="S262" s="64"/>
    </row>
    <row r="263">
      <c r="A263" s="60">
        <v>45632.66141892361</v>
      </c>
      <c r="B263" s="52" t="s">
        <v>130</v>
      </c>
      <c r="C263" s="53" t="b">
        <v>0</v>
      </c>
      <c r="D263" s="53"/>
      <c r="E263" s="53"/>
      <c r="F263" s="53"/>
      <c r="G263" s="53"/>
      <c r="H263" s="53">
        <v>130.0</v>
      </c>
      <c r="I263" s="53"/>
      <c r="J263" s="53" t="s">
        <v>11</v>
      </c>
      <c r="K263" s="61">
        <v>45632.0</v>
      </c>
      <c r="L263" s="53" t="s">
        <v>138</v>
      </c>
      <c r="M263" s="53" t="s">
        <v>18</v>
      </c>
      <c r="N263" s="64" t="str">
        <f>IFERROR(__xludf.DUMMYFUNCTION("""COMPUTED_VALUE"""),"")</f>
        <v/>
      </c>
      <c r="O263" s="64" t="str">
        <f>IFERROR(__xludf.DUMMYFUNCTION("""COMPUTED_VALUE"""),"")</f>
        <v/>
      </c>
      <c r="P263" s="64" t="str">
        <f>IFERROR(__xludf.DUMMYFUNCTION("""COMPUTED_VALUE"""),"")</f>
        <v/>
      </c>
      <c r="Q263" s="64"/>
      <c r="R263" s="64"/>
      <c r="S263" s="64"/>
    </row>
    <row r="264">
      <c r="A264" s="60">
        <v>45632.83343077546</v>
      </c>
      <c r="B264" s="52" t="s">
        <v>148</v>
      </c>
      <c r="C264" s="53" t="b">
        <v>0</v>
      </c>
      <c r="D264" s="53"/>
      <c r="E264" s="53"/>
      <c r="F264" s="53"/>
      <c r="G264" s="53"/>
      <c r="H264" s="53">
        <v>184.0</v>
      </c>
      <c r="I264" s="53"/>
      <c r="J264" s="53" t="s">
        <v>12</v>
      </c>
      <c r="K264" s="61">
        <v>45632.0</v>
      </c>
      <c r="L264" s="53" t="s">
        <v>138</v>
      </c>
      <c r="M264" s="53" t="s">
        <v>18</v>
      </c>
      <c r="N264" s="64">
        <f>IFERROR(__xludf.DUMMYFUNCTION("""COMPUTED_VALUE"""),314.0)</f>
        <v>314</v>
      </c>
      <c r="O264" s="64">
        <f>IFERROR(__xludf.DUMMYFUNCTION("""COMPUTED_VALUE"""),38.0)</f>
        <v>38</v>
      </c>
      <c r="P264" s="64">
        <f>IFERROR(__xludf.DUMMYFUNCTION("""COMPUTED_VALUE"""),352.0)</f>
        <v>352</v>
      </c>
      <c r="Q264" s="64"/>
      <c r="R264" s="64"/>
      <c r="S264" s="64"/>
    </row>
    <row r="265">
      <c r="A265" s="60">
        <v>45635.41359890046</v>
      </c>
      <c r="B265" s="52" t="s">
        <v>136</v>
      </c>
      <c r="C265" s="53" t="b">
        <v>0</v>
      </c>
      <c r="D265" s="53"/>
      <c r="E265" s="53"/>
      <c r="F265" s="53"/>
      <c r="G265" s="53"/>
      <c r="H265" s="53">
        <v>59.0</v>
      </c>
      <c r="I265" s="53"/>
      <c r="J265" s="53" t="s">
        <v>10</v>
      </c>
      <c r="K265" s="61">
        <v>45635.0</v>
      </c>
      <c r="L265" s="53" t="s">
        <v>129</v>
      </c>
      <c r="M265" s="53" t="s">
        <v>19</v>
      </c>
      <c r="N265" s="64" t="str">
        <f>IFERROR(__xludf.DUMMYFUNCTION("""COMPUTED_VALUE"""),"")</f>
        <v/>
      </c>
      <c r="O265" s="64" t="str">
        <f>IFERROR(__xludf.DUMMYFUNCTION("""COMPUTED_VALUE"""),"")</f>
        <v/>
      </c>
      <c r="P265" s="64" t="str">
        <f>IFERROR(__xludf.DUMMYFUNCTION("""COMPUTED_VALUE"""),"")</f>
        <v/>
      </c>
      <c r="Q265" s="64"/>
      <c r="R265" s="64"/>
      <c r="S265" s="64"/>
    </row>
    <row r="266">
      <c r="A266" s="60">
        <v>45635.50088103009</v>
      </c>
      <c r="B266" s="52" t="s">
        <v>130</v>
      </c>
      <c r="C266" s="53" t="b">
        <v>0</v>
      </c>
      <c r="D266" s="53"/>
      <c r="E266" s="53"/>
      <c r="F266" s="53"/>
      <c r="G266" s="53"/>
      <c r="H266" s="53">
        <v>4.0</v>
      </c>
      <c r="I266" s="53"/>
      <c r="J266" s="53" t="s">
        <v>11</v>
      </c>
      <c r="K266" s="61">
        <v>45635.0</v>
      </c>
      <c r="L266" s="53" t="s">
        <v>129</v>
      </c>
      <c r="M266" s="53" t="s">
        <v>18</v>
      </c>
      <c r="N266" s="64" t="str">
        <f>IFERROR(__xludf.DUMMYFUNCTION("""COMPUTED_VALUE"""),"")</f>
        <v/>
      </c>
      <c r="O266" s="64" t="str">
        <f>IFERROR(__xludf.DUMMYFUNCTION("""COMPUTED_VALUE"""),"")</f>
        <v/>
      </c>
      <c r="P266" s="64" t="str">
        <f>IFERROR(__xludf.DUMMYFUNCTION("""COMPUTED_VALUE"""),"")</f>
        <v/>
      </c>
      <c r="Q266" s="64"/>
      <c r="R266" s="64"/>
      <c r="S266" s="64"/>
    </row>
    <row r="267">
      <c r="A267" s="60">
        <v>45635.60968702546</v>
      </c>
      <c r="B267" s="52" t="s">
        <v>149</v>
      </c>
      <c r="C267" s="53" t="b">
        <v>0</v>
      </c>
      <c r="D267" s="53"/>
      <c r="E267" s="53"/>
      <c r="F267" s="53"/>
      <c r="G267" s="53"/>
      <c r="H267" s="53">
        <v>129.0</v>
      </c>
      <c r="I267" s="53"/>
      <c r="J267" s="53" t="s">
        <v>11</v>
      </c>
      <c r="K267" s="61">
        <v>45635.0</v>
      </c>
      <c r="L267" s="53" t="s">
        <v>129</v>
      </c>
      <c r="M267" s="53" t="s">
        <v>19</v>
      </c>
      <c r="N267" s="64" t="str">
        <f>IFERROR(__xludf.DUMMYFUNCTION("""COMPUTED_VALUE"""),"")</f>
        <v/>
      </c>
      <c r="O267" s="64" t="str">
        <f>IFERROR(__xludf.DUMMYFUNCTION("""COMPUTED_VALUE"""),"")</f>
        <v/>
      </c>
      <c r="P267" s="64" t="str">
        <f>IFERROR(__xludf.DUMMYFUNCTION("""COMPUTED_VALUE"""),"")</f>
        <v/>
      </c>
      <c r="Q267" s="64"/>
      <c r="R267" s="64"/>
      <c r="S267" s="64"/>
    </row>
    <row r="268">
      <c r="A268" s="60">
        <v>45635.64190175926</v>
      </c>
      <c r="B268" s="52" t="s">
        <v>148</v>
      </c>
      <c r="C268" s="53" t="b">
        <v>0</v>
      </c>
      <c r="D268" s="53"/>
      <c r="E268" s="53"/>
      <c r="F268" s="53"/>
      <c r="G268" s="53"/>
      <c r="H268" s="53">
        <v>163.0</v>
      </c>
      <c r="I268" s="53"/>
      <c r="J268" s="53" t="s">
        <v>11</v>
      </c>
      <c r="K268" s="61">
        <v>45635.0</v>
      </c>
      <c r="L268" s="53" t="s">
        <v>129</v>
      </c>
      <c r="M268" s="53" t="s">
        <v>18</v>
      </c>
      <c r="N268" s="64" t="str">
        <f>IFERROR(__xludf.DUMMYFUNCTION("""COMPUTED_VALUE"""),"")</f>
        <v/>
      </c>
      <c r="O268" s="64" t="str">
        <f>IFERROR(__xludf.DUMMYFUNCTION("""COMPUTED_VALUE"""),"")</f>
        <v/>
      </c>
      <c r="P268" s="64" t="str">
        <f>IFERROR(__xludf.DUMMYFUNCTION("""COMPUTED_VALUE"""),"")</f>
        <v/>
      </c>
      <c r="Q268" s="64"/>
      <c r="R268" s="64"/>
      <c r="S268" s="64"/>
    </row>
    <row r="269">
      <c r="A269" s="60">
        <v>45635.78942061342</v>
      </c>
      <c r="B269" s="52" t="s">
        <v>131</v>
      </c>
      <c r="C269" s="53" t="b">
        <v>0</v>
      </c>
      <c r="D269" s="53"/>
      <c r="E269" s="53"/>
      <c r="F269" s="53"/>
      <c r="G269" s="53"/>
      <c r="H269" s="53">
        <v>77.0</v>
      </c>
      <c r="I269" s="53"/>
      <c r="J269" s="53" t="s">
        <v>12</v>
      </c>
      <c r="K269" s="61">
        <v>45635.0</v>
      </c>
      <c r="L269" s="53" t="s">
        <v>129</v>
      </c>
      <c r="M269" s="53" t="s">
        <v>19</v>
      </c>
      <c r="N269" s="64">
        <f>IFERROR(__xludf.DUMMYFUNCTION("""COMPUTED_VALUE"""),167.0)</f>
        <v>167</v>
      </c>
      <c r="O269" s="64">
        <f>IFERROR(__xludf.DUMMYFUNCTION("""COMPUTED_VALUE"""),265.0)</f>
        <v>265</v>
      </c>
      <c r="P269" s="64">
        <f>IFERROR(__xludf.DUMMYFUNCTION("""COMPUTED_VALUE"""),432.0)</f>
        <v>432</v>
      </c>
      <c r="Q269" s="64"/>
      <c r="R269" s="64"/>
      <c r="S269" s="64"/>
    </row>
    <row r="270">
      <c r="A270" s="60">
        <v>45636.62347291667</v>
      </c>
      <c r="B270" s="52" t="s">
        <v>131</v>
      </c>
      <c r="C270" s="53" t="b">
        <v>0</v>
      </c>
      <c r="D270" s="53"/>
      <c r="E270" s="53"/>
      <c r="F270" s="53"/>
      <c r="G270" s="53"/>
      <c r="H270" s="53">
        <v>114.0</v>
      </c>
      <c r="I270" s="53"/>
      <c r="J270" s="53" t="s">
        <v>11</v>
      </c>
      <c r="K270" s="61">
        <v>45636.0</v>
      </c>
      <c r="L270" s="53" t="s">
        <v>132</v>
      </c>
      <c r="M270" s="53" t="s">
        <v>19</v>
      </c>
      <c r="N270" s="64" t="str">
        <f>IFERROR(__xludf.DUMMYFUNCTION("""COMPUTED_VALUE"""),"")</f>
        <v/>
      </c>
      <c r="O270" s="64" t="str">
        <f>IFERROR(__xludf.DUMMYFUNCTION("""COMPUTED_VALUE"""),"")</f>
        <v/>
      </c>
      <c r="P270" s="64" t="str">
        <f>IFERROR(__xludf.DUMMYFUNCTION("""COMPUTED_VALUE"""),"")</f>
        <v/>
      </c>
      <c r="Q270" s="64"/>
      <c r="R270" s="64"/>
      <c r="S270" s="64"/>
    </row>
    <row r="271">
      <c r="A271" s="60">
        <v>45636.88593614583</v>
      </c>
      <c r="B271" s="52" t="s">
        <v>149</v>
      </c>
      <c r="C271" s="53" t="b">
        <v>0</v>
      </c>
      <c r="D271" s="53"/>
      <c r="E271" s="53"/>
      <c r="F271" s="53"/>
      <c r="G271" s="53"/>
      <c r="H271" s="53">
        <v>168.0</v>
      </c>
      <c r="I271" s="53"/>
      <c r="J271" s="53" t="s">
        <v>12</v>
      </c>
      <c r="K271" s="61">
        <v>45636.0</v>
      </c>
      <c r="L271" s="53" t="s">
        <v>132</v>
      </c>
      <c r="M271" s="53" t="s">
        <v>19</v>
      </c>
      <c r="N271" s="64" t="str">
        <f>IFERROR(__xludf.DUMMYFUNCTION("""COMPUTED_VALUE"""),"")</f>
        <v/>
      </c>
      <c r="O271" s="64" t="str">
        <f>IFERROR(__xludf.DUMMYFUNCTION("""COMPUTED_VALUE"""),"")</f>
        <v/>
      </c>
      <c r="P271" s="64" t="str">
        <f>IFERROR(__xludf.DUMMYFUNCTION("""COMPUTED_VALUE"""),"")</f>
        <v/>
      </c>
      <c r="Q271" s="64"/>
      <c r="R271" s="64"/>
      <c r="S271" s="64"/>
    </row>
    <row r="272">
      <c r="A272" s="60">
        <v>45639.29696326389</v>
      </c>
      <c r="B272" s="52" t="s">
        <v>153</v>
      </c>
      <c r="C272" s="53" t="b">
        <v>0</v>
      </c>
      <c r="D272" s="53"/>
      <c r="E272" s="53"/>
      <c r="F272" s="53"/>
      <c r="G272" s="53"/>
      <c r="H272" s="53">
        <v>38.0</v>
      </c>
      <c r="I272" s="53"/>
      <c r="J272" s="53" t="s">
        <v>10</v>
      </c>
      <c r="K272" s="61">
        <v>45636.0</v>
      </c>
      <c r="L272" s="53" t="s">
        <v>132</v>
      </c>
      <c r="M272" s="53" t="s">
        <v>19</v>
      </c>
      <c r="N272" s="64" t="str">
        <f>IFERROR(__xludf.DUMMYFUNCTION("""COMPUTED_VALUE"""),"")</f>
        <v/>
      </c>
      <c r="O272" s="64">
        <f>IFERROR(__xludf.DUMMYFUNCTION("""COMPUTED_VALUE"""),320.0)</f>
        <v>320</v>
      </c>
      <c r="P272" s="64">
        <f>IFERROR(__xludf.DUMMYFUNCTION("""COMPUTED_VALUE"""),320.0)</f>
        <v>320</v>
      </c>
      <c r="Q272" s="64"/>
      <c r="R272" s="64"/>
      <c r="S272" s="64"/>
    </row>
    <row r="273">
      <c r="A273" s="60">
        <v>45637.41294680555</v>
      </c>
      <c r="B273" s="52" t="s">
        <v>136</v>
      </c>
      <c r="C273" s="53" t="b">
        <v>0</v>
      </c>
      <c r="D273" s="53"/>
      <c r="E273" s="53"/>
      <c r="F273" s="53"/>
      <c r="G273" s="53"/>
      <c r="H273" s="53">
        <v>26.0</v>
      </c>
      <c r="I273" s="53"/>
      <c r="J273" s="53" t="s">
        <v>10</v>
      </c>
      <c r="K273" s="61">
        <v>45637.0</v>
      </c>
      <c r="L273" s="53" t="s">
        <v>135</v>
      </c>
      <c r="M273" s="53" t="s">
        <v>19</v>
      </c>
      <c r="N273" s="64" t="str">
        <f>IFERROR(__xludf.DUMMYFUNCTION("""COMPUTED_VALUE"""),"")</f>
        <v/>
      </c>
      <c r="O273" s="64" t="str">
        <f>IFERROR(__xludf.DUMMYFUNCTION("""COMPUTED_VALUE"""),"")</f>
        <v/>
      </c>
      <c r="P273" s="64" t="str">
        <f>IFERROR(__xludf.DUMMYFUNCTION("""COMPUTED_VALUE"""),"")</f>
        <v/>
      </c>
      <c r="Q273" s="64"/>
      <c r="R273" s="64"/>
      <c r="S273" s="64"/>
    </row>
    <row r="274">
      <c r="A274" s="60">
        <v>45637.50167236111</v>
      </c>
      <c r="B274" s="52" t="s">
        <v>130</v>
      </c>
      <c r="C274" s="53" t="b">
        <v>0</v>
      </c>
      <c r="D274" s="53"/>
      <c r="E274" s="53"/>
      <c r="F274" s="53"/>
      <c r="G274" s="53"/>
      <c r="H274" s="53">
        <v>1.0</v>
      </c>
      <c r="I274" s="53"/>
      <c r="J274" s="53" t="s">
        <v>11</v>
      </c>
      <c r="K274" s="61">
        <v>45637.0</v>
      </c>
      <c r="L274" s="53" t="s">
        <v>135</v>
      </c>
      <c r="M274" s="53" t="s">
        <v>18</v>
      </c>
      <c r="N274" s="64" t="str">
        <f>IFERROR(__xludf.DUMMYFUNCTION("""COMPUTED_VALUE"""),"")</f>
        <v/>
      </c>
      <c r="O274" s="64" t="str">
        <f>IFERROR(__xludf.DUMMYFUNCTION("""COMPUTED_VALUE"""),"")</f>
        <v/>
      </c>
      <c r="P274" s="64" t="str">
        <f>IFERROR(__xludf.DUMMYFUNCTION("""COMPUTED_VALUE"""),"")</f>
        <v/>
      </c>
      <c r="Q274" s="64"/>
      <c r="R274" s="64"/>
      <c r="S274" s="64"/>
    </row>
    <row r="275">
      <c r="A275" s="60">
        <v>45637.62298474537</v>
      </c>
      <c r="B275" s="52" t="s">
        <v>165</v>
      </c>
      <c r="C275" s="53" t="b">
        <v>0</v>
      </c>
      <c r="D275" s="53"/>
      <c r="E275" s="53"/>
      <c r="F275" s="53"/>
      <c r="G275" s="53"/>
      <c r="H275" s="53">
        <v>204.0</v>
      </c>
      <c r="I275" s="53"/>
      <c r="J275" s="53" t="s">
        <v>11</v>
      </c>
      <c r="K275" s="61">
        <v>45637.0</v>
      </c>
      <c r="L275" s="53" t="s">
        <v>135</v>
      </c>
      <c r="M275" s="53" t="s">
        <v>19</v>
      </c>
      <c r="N275" s="64" t="str">
        <f>IFERROR(__xludf.DUMMYFUNCTION("""COMPUTED_VALUE"""),"")</f>
        <v/>
      </c>
      <c r="O275" s="64" t="str">
        <f>IFERROR(__xludf.DUMMYFUNCTION("""COMPUTED_VALUE"""),"")</f>
        <v/>
      </c>
      <c r="P275" s="64" t="str">
        <f>IFERROR(__xludf.DUMMYFUNCTION("""COMPUTED_VALUE"""),"")</f>
        <v/>
      </c>
      <c r="Q275" s="64"/>
      <c r="R275" s="64"/>
      <c r="S275" s="64"/>
    </row>
    <row r="276">
      <c r="A276" s="60">
        <v>45637.64478331018</v>
      </c>
      <c r="B276" s="52" t="s">
        <v>148</v>
      </c>
      <c r="C276" s="53" t="b">
        <v>0</v>
      </c>
      <c r="D276" s="53"/>
      <c r="E276" s="53"/>
      <c r="F276" s="53"/>
      <c r="G276" s="53"/>
      <c r="H276" s="53">
        <v>149.0</v>
      </c>
      <c r="I276" s="53"/>
      <c r="J276" s="53" t="s">
        <v>11</v>
      </c>
      <c r="K276" s="61">
        <v>45637.0</v>
      </c>
      <c r="L276" s="53" t="s">
        <v>135</v>
      </c>
      <c r="M276" s="53" t="s">
        <v>18</v>
      </c>
      <c r="N276" s="64" t="str">
        <f>IFERROR(__xludf.DUMMYFUNCTION("""COMPUTED_VALUE"""),"")</f>
        <v/>
      </c>
      <c r="O276" s="64" t="str">
        <f>IFERROR(__xludf.DUMMYFUNCTION("""COMPUTED_VALUE"""),"")</f>
        <v/>
      </c>
      <c r="P276" s="64" t="str">
        <f>IFERROR(__xludf.DUMMYFUNCTION("""COMPUTED_VALUE"""),"")</f>
        <v/>
      </c>
      <c r="Q276" s="64"/>
      <c r="R276" s="64"/>
      <c r="S276" s="64"/>
    </row>
    <row r="277">
      <c r="A277" s="60">
        <v>45637.8766778125</v>
      </c>
      <c r="B277" s="52" t="s">
        <v>149</v>
      </c>
      <c r="C277" s="53" t="b">
        <v>0</v>
      </c>
      <c r="D277" s="53"/>
      <c r="E277" s="53"/>
      <c r="F277" s="53"/>
      <c r="G277" s="53"/>
      <c r="H277" s="53">
        <v>106.0</v>
      </c>
      <c r="I277" s="53"/>
      <c r="J277" s="53" t="s">
        <v>12</v>
      </c>
      <c r="K277" s="61">
        <v>45637.0</v>
      </c>
      <c r="L277" s="53" t="s">
        <v>135</v>
      </c>
      <c r="M277" s="53" t="s">
        <v>18</v>
      </c>
      <c r="N277" s="64">
        <f>IFERROR(__xludf.DUMMYFUNCTION("""COMPUTED_VALUE"""),256.0)</f>
        <v>256</v>
      </c>
      <c r="O277" s="64">
        <f>IFERROR(__xludf.DUMMYFUNCTION("""COMPUTED_VALUE"""),230.0)</f>
        <v>230</v>
      </c>
      <c r="P277" s="64">
        <f>IFERROR(__xludf.DUMMYFUNCTION("""COMPUTED_VALUE"""),486.0)</f>
        <v>486</v>
      </c>
      <c r="Q277" s="64"/>
      <c r="R277" s="64"/>
      <c r="S277" s="64"/>
    </row>
    <row r="278">
      <c r="A278" s="60">
        <v>45638.53576179398</v>
      </c>
      <c r="B278" s="52" t="s">
        <v>149</v>
      </c>
      <c r="C278" s="53" t="b">
        <v>0</v>
      </c>
      <c r="D278" s="53"/>
      <c r="E278" s="53"/>
      <c r="F278" s="53"/>
      <c r="G278" s="53"/>
      <c r="H278" s="53">
        <v>51.0</v>
      </c>
      <c r="I278" s="53"/>
      <c r="J278" s="53" t="s">
        <v>11</v>
      </c>
      <c r="K278" s="61">
        <v>45638.0</v>
      </c>
      <c r="L278" s="53" t="s">
        <v>137</v>
      </c>
      <c r="M278" s="53" t="s">
        <v>19</v>
      </c>
      <c r="N278" s="64" t="str">
        <f>IFERROR(__xludf.DUMMYFUNCTION("""COMPUTED_VALUE"""),"")</f>
        <v/>
      </c>
      <c r="O278" s="64" t="str">
        <f>IFERROR(__xludf.DUMMYFUNCTION("""COMPUTED_VALUE"""),"")</f>
        <v/>
      </c>
      <c r="P278" s="64" t="str">
        <f>IFERROR(__xludf.DUMMYFUNCTION("""COMPUTED_VALUE"""),"")</f>
        <v/>
      </c>
      <c r="Q278" s="64"/>
      <c r="R278" s="64"/>
      <c r="S278" s="64"/>
    </row>
    <row r="279">
      <c r="A279" s="60">
        <v>45638.81908582176</v>
      </c>
      <c r="B279" s="52" t="s">
        <v>148</v>
      </c>
      <c r="C279" s="53" t="b">
        <v>0</v>
      </c>
      <c r="D279" s="53"/>
      <c r="E279" s="53"/>
      <c r="F279" s="53"/>
      <c r="G279" s="53"/>
      <c r="H279" s="53">
        <v>107.0</v>
      </c>
      <c r="I279" s="53"/>
      <c r="J279" s="53" t="s">
        <v>12</v>
      </c>
      <c r="K279" s="61">
        <v>45638.0</v>
      </c>
      <c r="L279" s="53" t="s">
        <v>137</v>
      </c>
      <c r="M279" s="53" t="s">
        <v>19</v>
      </c>
      <c r="N279" s="64" t="str">
        <f>IFERROR(__xludf.DUMMYFUNCTION("""COMPUTED_VALUE"""),"")</f>
        <v/>
      </c>
      <c r="O279" s="64" t="str">
        <f>IFERROR(__xludf.DUMMYFUNCTION("""COMPUTED_VALUE"""),"")</f>
        <v/>
      </c>
      <c r="P279" s="64" t="str">
        <f>IFERROR(__xludf.DUMMYFUNCTION("""COMPUTED_VALUE"""),"")</f>
        <v/>
      </c>
      <c r="Q279" s="64"/>
      <c r="R279" s="64"/>
      <c r="S279" s="64"/>
    </row>
    <row r="280">
      <c r="A280" s="60">
        <v>45638.87409592592</v>
      </c>
      <c r="B280" s="52" t="s">
        <v>148</v>
      </c>
      <c r="C280" s="53" t="b">
        <v>0</v>
      </c>
      <c r="D280" s="53"/>
      <c r="E280" s="53"/>
      <c r="F280" s="53"/>
      <c r="G280" s="53"/>
      <c r="H280" s="53">
        <v>40.0</v>
      </c>
      <c r="I280" s="53"/>
      <c r="J280" s="53" t="s">
        <v>12</v>
      </c>
      <c r="K280" s="61">
        <v>45638.0</v>
      </c>
      <c r="L280" s="53" t="s">
        <v>137</v>
      </c>
      <c r="M280" s="53" t="s">
        <v>19</v>
      </c>
      <c r="N280" s="64" t="str">
        <f>IFERROR(__xludf.DUMMYFUNCTION("""COMPUTED_VALUE"""),"")</f>
        <v/>
      </c>
      <c r="O280" s="64" t="str">
        <f>IFERROR(__xludf.DUMMYFUNCTION("""COMPUTED_VALUE"""),"")</f>
        <v/>
      </c>
      <c r="P280" s="64" t="str">
        <f>IFERROR(__xludf.DUMMYFUNCTION("""COMPUTED_VALUE"""),"")</f>
        <v/>
      </c>
      <c r="Q280" s="64"/>
      <c r="R280" s="64"/>
      <c r="S280" s="64"/>
    </row>
    <row r="281">
      <c r="A281" s="60">
        <v>45639.29850928241</v>
      </c>
      <c r="B281" s="52" t="s">
        <v>153</v>
      </c>
      <c r="C281" s="53" t="b">
        <v>0</v>
      </c>
      <c r="D281" s="53"/>
      <c r="E281" s="53"/>
      <c r="F281" s="53"/>
      <c r="G281" s="53"/>
      <c r="H281" s="53">
        <v>50.0</v>
      </c>
      <c r="I281" s="53"/>
      <c r="J281" s="53" t="s">
        <v>10</v>
      </c>
      <c r="K281" s="61">
        <v>45638.0</v>
      </c>
      <c r="L281" s="53" t="s">
        <v>137</v>
      </c>
      <c r="M281" s="53" t="s">
        <v>19</v>
      </c>
      <c r="N281" s="64" t="str">
        <f>IFERROR(__xludf.DUMMYFUNCTION("""COMPUTED_VALUE"""),"")</f>
        <v/>
      </c>
      <c r="O281" s="64">
        <f>IFERROR(__xludf.DUMMYFUNCTION("""COMPUTED_VALUE"""),248.0)</f>
        <v>248</v>
      </c>
      <c r="P281" s="64">
        <f>IFERROR(__xludf.DUMMYFUNCTION("""COMPUTED_VALUE"""),248.0)</f>
        <v>248</v>
      </c>
      <c r="Q281" s="64"/>
      <c r="R281" s="64"/>
      <c r="S281" s="64"/>
    </row>
    <row r="282">
      <c r="A282" s="60">
        <v>45640.56232107639</v>
      </c>
      <c r="B282" s="52" t="s">
        <v>130</v>
      </c>
      <c r="C282" s="53" t="b">
        <v>0</v>
      </c>
      <c r="D282" s="53"/>
      <c r="E282" s="53"/>
      <c r="F282" s="53"/>
      <c r="G282" s="53"/>
      <c r="H282" s="53">
        <v>91.0</v>
      </c>
      <c r="I282" s="53"/>
      <c r="J282" s="53" t="s">
        <v>11</v>
      </c>
      <c r="K282" s="61">
        <v>45639.0</v>
      </c>
      <c r="L282" s="53" t="s">
        <v>138</v>
      </c>
      <c r="M282" s="53" t="s">
        <v>18</v>
      </c>
      <c r="N282" s="64">
        <f>IFERROR(__xludf.DUMMYFUNCTION("""COMPUTED_VALUE"""),91.0)</f>
        <v>91</v>
      </c>
      <c r="O282" s="64" t="str">
        <f>IFERROR(__xludf.DUMMYFUNCTION("""COMPUTED_VALUE"""),"")</f>
        <v/>
      </c>
      <c r="P282" s="64">
        <f>IFERROR(__xludf.DUMMYFUNCTION("""COMPUTED_VALUE"""),91.0)</f>
        <v>91</v>
      </c>
      <c r="Q282" s="64"/>
      <c r="R282" s="64"/>
      <c r="S282" s="64"/>
    </row>
  </sheetData>
  <conditionalFormatting sqref="C1:C282">
    <cfRule type="cellIs" dxfId="0" priority="1" operator="equal">
      <formula>"TRUE"</formula>
    </cfRule>
  </conditionalFormatting>
  <conditionalFormatting sqref="M1:M282">
    <cfRule type="cellIs" dxfId="17" priority="2" operator="equal">
      <formula>"MF"</formula>
    </cfRule>
  </conditionalFormatting>
  <conditionalFormatting sqref="M1:M282">
    <cfRule type="cellIs" dxfId="18" priority="3" operator="equal">
      <formula>"BF"</formula>
    </cfRule>
  </conditionalFormatting>
  <conditionalFormatting sqref="I1:I282">
    <cfRule type="cellIs" dxfId="1" priority="4" operator="greaterThanOrEqual">
      <formula>100</formula>
    </cfRule>
  </conditionalFormatting>
  <conditionalFormatting sqref="I1:I282">
    <cfRule type="cellIs" dxfId="2" priority="5" operator="greaterThanOrEqual">
      <formula>70</formula>
    </cfRule>
  </conditionalFormatting>
  <conditionalFormatting sqref="I1:I282">
    <cfRule type="cellIs" dxfId="3" priority="6" operator="lessThanOrEqual">
      <formula>25</formula>
    </cfRule>
  </conditionalFormatting>
  <conditionalFormatting sqref="I1:I282">
    <cfRule type="cellIs" dxfId="4" priority="7" operator="lessThanOrEqual">
      <formula>30</formula>
    </cfRule>
  </conditionalFormatting>
  <conditionalFormatting sqref="I1:I282">
    <cfRule type="cellIs" dxfId="5" priority="8" operator="lessThanOrEqual">
      <formula>40</formula>
    </cfRule>
  </conditionalFormatting>
  <conditionalFormatting sqref="J1:J282">
    <cfRule type="cellIs" dxfId="6" priority="9" operator="equal">
      <formula>"Breakfast"</formula>
    </cfRule>
  </conditionalFormatting>
  <conditionalFormatting sqref="J1:J282">
    <cfRule type="cellIs" dxfId="7" priority="10" operator="equal">
      <formula>"Breakfast/Lunch"</formula>
    </cfRule>
  </conditionalFormatting>
  <conditionalFormatting sqref="J1:J282">
    <cfRule type="cellIs" dxfId="8" priority="11" operator="equal">
      <formula>"Lunch"</formula>
    </cfRule>
  </conditionalFormatting>
  <conditionalFormatting sqref="J1:J282">
    <cfRule type="cellIs" dxfId="9" priority="12" operator="equal">
      <formula>"Lunch/Dinner"</formula>
    </cfRule>
  </conditionalFormatting>
  <conditionalFormatting sqref="J1:J282">
    <cfRule type="cellIs" dxfId="10" priority="13" operator="equal">
      <formula>"Dinner"</formula>
    </cfRule>
  </conditionalFormatting>
  <conditionalFormatting sqref="L1:L282 N1:P1">
    <cfRule type="cellIs" dxfId="11" priority="14" operator="equal">
      <formula>"Monday"</formula>
    </cfRule>
  </conditionalFormatting>
  <conditionalFormatting sqref="L1:L282 N1:P1">
    <cfRule type="cellIs" dxfId="12" priority="15" operator="equal">
      <formula>"Tuesday"</formula>
    </cfRule>
  </conditionalFormatting>
  <conditionalFormatting sqref="L1:L282 N1:P1">
    <cfRule type="cellIs" dxfId="13" priority="16" operator="equal">
      <formula>"Wednesday"</formula>
    </cfRule>
  </conditionalFormatting>
  <conditionalFormatting sqref="L1:L282 N1:P1">
    <cfRule type="cellIs" dxfId="14" priority="17" operator="equal">
      <formula>"Thursday"</formula>
    </cfRule>
  </conditionalFormatting>
  <conditionalFormatting sqref="L1:L282 N1:P1">
    <cfRule type="cellIs" dxfId="15" priority="18" operator="equal">
      <formula>"Friday"</formula>
    </cfRule>
  </conditionalFormatting>
  <conditionalFormatting sqref="K3:K282">
    <cfRule type="expression" dxfId="16" priority="19">
      <formula>AND(K3&lt;&gt;"", ISEVEN(SUMPRODUCT((K$3:K3&lt;&gt;OFFSET(K$3:K3,-1,0))*(K$3:K3&lt;&gt;""))))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3" max="3" width="9.5"/>
    <col customWidth="1" min="4" max="4" width="10.88"/>
    <col customWidth="1" min="5" max="5" width="7.63"/>
    <col customWidth="1" min="6" max="6" width="10.88"/>
    <col customWidth="1" min="7" max="7" width="7.63"/>
    <col customWidth="1" min="8" max="8" width="6.5"/>
    <col customWidth="1" min="9" max="9" width="8.5"/>
    <col customWidth="1" min="10" max="10" width="11.0"/>
    <col customWidth="1" min="11" max="11" width="9.63"/>
    <col customWidth="1" min="13" max="13" width="5.63"/>
    <col customWidth="1" min="14" max="16" width="11.0"/>
    <col customWidth="1" min="17" max="19" width="35.38"/>
  </cols>
  <sheetData>
    <row r="1">
      <c r="A1" s="65" t="s">
        <v>115</v>
      </c>
      <c r="B1" s="66" t="s">
        <v>116</v>
      </c>
      <c r="C1" s="65" t="s">
        <v>117</v>
      </c>
      <c r="D1" s="65" t="s">
        <v>118</v>
      </c>
      <c r="E1" s="67" t="s">
        <v>119</v>
      </c>
      <c r="F1" s="65" t="s">
        <v>120</v>
      </c>
      <c r="G1" s="67" t="s">
        <v>121</v>
      </c>
      <c r="H1" s="68" t="s">
        <v>122</v>
      </c>
      <c r="I1" s="69" t="s">
        <v>123</v>
      </c>
      <c r="J1" s="65" t="s">
        <v>124</v>
      </c>
      <c r="K1" s="65" t="s">
        <v>125</v>
      </c>
      <c r="L1" s="65" t="s">
        <v>126</v>
      </c>
      <c r="M1" s="65" t="s">
        <v>145</v>
      </c>
      <c r="N1" s="51" t="s">
        <v>146</v>
      </c>
      <c r="O1" s="51" t="s">
        <v>147</v>
      </c>
      <c r="P1" s="51" t="s">
        <v>127</v>
      </c>
      <c r="Q1" s="70"/>
      <c r="R1" s="70"/>
      <c r="S1" s="70"/>
    </row>
    <row r="2">
      <c r="A2" s="71">
        <v>45677.0</v>
      </c>
      <c r="B2" s="56" t="s">
        <v>128</v>
      </c>
      <c r="C2" s="53" t="b">
        <v>0</v>
      </c>
      <c r="D2" s="53"/>
      <c r="E2" s="53"/>
      <c r="F2" s="53"/>
      <c r="G2" s="53"/>
      <c r="H2" s="56">
        <v>0.0</v>
      </c>
      <c r="I2" s="53"/>
      <c r="J2" s="57"/>
      <c r="K2" s="72">
        <v>45677.0</v>
      </c>
      <c r="L2" s="53" t="s">
        <v>129</v>
      </c>
      <c r="M2" s="59"/>
      <c r="N2" s="59"/>
      <c r="O2" s="59"/>
      <c r="P2" s="59"/>
      <c r="Q2" s="73"/>
      <c r="R2" s="73"/>
      <c r="S2" s="73"/>
    </row>
    <row r="3">
      <c r="A3" s="71">
        <v>45681.0</v>
      </c>
      <c r="B3" s="56" t="s">
        <v>128</v>
      </c>
      <c r="C3" s="53" t="b">
        <v>0</v>
      </c>
      <c r="D3" s="53"/>
      <c r="E3" s="53"/>
      <c r="F3" s="53"/>
      <c r="G3" s="53"/>
      <c r="H3" s="56">
        <v>0.0</v>
      </c>
      <c r="I3" s="53"/>
      <c r="J3" s="57"/>
      <c r="K3" s="72">
        <v>45681.0</v>
      </c>
      <c r="L3" s="74" t="s">
        <v>138</v>
      </c>
      <c r="M3" s="59"/>
      <c r="N3" s="59"/>
      <c r="O3" s="59"/>
      <c r="P3" s="59"/>
      <c r="Q3" s="73"/>
      <c r="R3" s="73"/>
      <c r="S3" s="73"/>
    </row>
    <row r="4">
      <c r="A4" s="75">
        <v>45684.63236559027</v>
      </c>
      <c r="B4" s="66" t="s">
        <v>153</v>
      </c>
      <c r="C4" s="73" t="b">
        <v>0</v>
      </c>
      <c r="D4" s="73"/>
      <c r="E4" s="73"/>
      <c r="F4" s="73"/>
      <c r="G4" s="76"/>
      <c r="H4" s="77">
        <v>50.0</v>
      </c>
      <c r="I4" s="78"/>
      <c r="J4" s="79" t="s">
        <v>11</v>
      </c>
      <c r="K4" s="80">
        <v>45684.0</v>
      </c>
      <c r="L4" s="70" t="s">
        <v>129</v>
      </c>
      <c r="M4" s="73" t="s">
        <v>19</v>
      </c>
      <c r="N4" s="59" t="str">
        <f>IFERROR(__xludf.DUMMYFUNCTION("BYROW('S25'!K4:K784, LAMBDA(r,
  IF(r="""","""",
    LET(
      nextVal, IFERROR(INDEX('S25'!K4:K784, ROW(r)-ROW('S25'!K4)+2), """"),
      IF(r &lt;&gt; nextVal,
         IFERROR(
           SUM(FILTER('S25'!H4:H784, 'S25'!K4:K784 = r, 'S25'!M4:M784 = ""MF""))"&amp;",
           """"
         ),
         """"
      )
    )
  )
))"),"")</f>
        <v/>
      </c>
      <c r="O4" s="59" t="str">
        <f>IFERROR(__xludf.DUMMYFUNCTION("BYROW('S25'!K4:K784, LAMBDA(r,
  IF(r="""","""",
    LET(
      nextVal, IFERROR(INDEX('S25'!K4:K784, ROW(r)-ROW('S25'!K4)+2), """"),
      IF(r &lt;&gt; nextVal,
         IFERROR(
           SUM(FILTER('S25'!H4:H784, 'S25'!K4:K784 = r, 'S25'!M4:M784 = ""BF""))"&amp;",
           """"
         ),
         """"
      )
    )
  )
))"),"")</f>
        <v/>
      </c>
      <c r="P4" s="59" t="str">
        <f>IFERROR(__xludf.DUMMYFUNCTION("BYROW('S25'!K4:K784, LAMBDA(r,
  IF(r="""","""",
    LET(
      nextVal, IFERROR(INDEX('S25'!K4:K784, ROW(r)-ROW('S25'!K4)+2), """"),
      IF(r &lt;&gt; nextVal,
         IFERROR(
           SUM(FILTER('S25'!H4:H784, 'S25'!K4:K784 = r)),
           """"
      "&amp;"   ),
         """"
      )
    )
  )
))
"),"")</f>
        <v/>
      </c>
      <c r="Q4" s="73"/>
      <c r="R4" s="73"/>
      <c r="S4" s="73"/>
    </row>
    <row r="5">
      <c r="A5" s="60">
        <v>45684.87621699074</v>
      </c>
      <c r="B5" s="81" t="s">
        <v>149</v>
      </c>
      <c r="C5" s="74" t="b">
        <v>0</v>
      </c>
      <c r="E5" s="82"/>
      <c r="G5" s="82"/>
      <c r="H5" s="83">
        <v>204.0</v>
      </c>
      <c r="I5" s="84"/>
      <c r="J5" s="74" t="s">
        <v>12</v>
      </c>
      <c r="K5" s="61">
        <v>45684.0</v>
      </c>
      <c r="L5" s="74" t="s">
        <v>129</v>
      </c>
      <c r="M5" s="74" t="s">
        <v>19</v>
      </c>
      <c r="N5" s="74" t="str">
        <f>IFERROR(__xludf.DUMMYFUNCTION("""COMPUTED_VALUE"""),"")</f>
        <v/>
      </c>
      <c r="O5" s="74">
        <f>IFERROR(__xludf.DUMMYFUNCTION("""COMPUTED_VALUE"""),254.0)</f>
        <v>254</v>
      </c>
      <c r="P5" s="74">
        <f>IFERROR(__xludf.DUMMYFUNCTION("""COMPUTED_VALUE"""),254.0)</f>
        <v>254</v>
      </c>
    </row>
    <row r="6">
      <c r="A6" s="60">
        <v>45685.45624408565</v>
      </c>
      <c r="B6" s="81" t="s">
        <v>166</v>
      </c>
      <c r="C6" s="74" t="b">
        <v>0</v>
      </c>
      <c r="E6" s="82"/>
      <c r="G6" s="82"/>
      <c r="H6" s="74">
        <v>94.0</v>
      </c>
      <c r="I6" s="84"/>
      <c r="J6" s="74" t="s">
        <v>10</v>
      </c>
      <c r="K6" s="61">
        <v>45685.0</v>
      </c>
      <c r="L6" s="74" t="s">
        <v>132</v>
      </c>
      <c r="M6" s="74" t="s">
        <v>19</v>
      </c>
      <c r="N6" s="74" t="str">
        <f>IFERROR(__xludf.DUMMYFUNCTION("""COMPUTED_VALUE"""),"")</f>
        <v/>
      </c>
      <c r="O6" s="74" t="str">
        <f>IFERROR(__xludf.DUMMYFUNCTION("""COMPUTED_VALUE"""),"")</f>
        <v/>
      </c>
      <c r="P6" s="74" t="str">
        <f>IFERROR(__xludf.DUMMYFUNCTION("""COMPUTED_VALUE"""),"")</f>
        <v/>
      </c>
    </row>
    <row r="7">
      <c r="A7" s="60">
        <v>45685.64782778935</v>
      </c>
      <c r="B7" s="81" t="s">
        <v>167</v>
      </c>
      <c r="C7" s="74" t="b">
        <v>0</v>
      </c>
      <c r="E7" s="82"/>
      <c r="G7" s="82"/>
      <c r="H7" s="74">
        <v>142.0</v>
      </c>
      <c r="I7" s="84"/>
      <c r="J7" s="74" t="s">
        <v>11</v>
      </c>
      <c r="K7" s="61">
        <v>45685.0</v>
      </c>
      <c r="L7" s="74" t="s">
        <v>132</v>
      </c>
      <c r="M7" s="74" t="s">
        <v>18</v>
      </c>
      <c r="N7" s="74" t="str">
        <f>IFERROR(__xludf.DUMMYFUNCTION("""COMPUTED_VALUE"""),"")</f>
        <v/>
      </c>
      <c r="O7" s="74" t="str">
        <f>IFERROR(__xludf.DUMMYFUNCTION("""COMPUTED_VALUE"""),"")</f>
        <v/>
      </c>
      <c r="P7" s="74" t="str">
        <f>IFERROR(__xludf.DUMMYFUNCTION("""COMPUTED_VALUE"""),"")</f>
        <v/>
      </c>
    </row>
    <row r="8">
      <c r="A8" s="60">
        <v>45685.72434866898</v>
      </c>
      <c r="B8" s="81" t="s">
        <v>168</v>
      </c>
      <c r="C8" s="74" t="b">
        <v>0</v>
      </c>
      <c r="E8" s="82"/>
      <c r="G8" s="82"/>
      <c r="H8" s="74">
        <v>197.0</v>
      </c>
      <c r="I8" s="84"/>
      <c r="J8" s="74" t="s">
        <v>12</v>
      </c>
      <c r="K8" s="61">
        <v>45685.0</v>
      </c>
      <c r="L8" s="74" t="s">
        <v>132</v>
      </c>
      <c r="M8" s="74" t="s">
        <v>18</v>
      </c>
      <c r="N8" s="74" t="str">
        <f>IFERROR(__xludf.DUMMYFUNCTION("""COMPUTED_VALUE"""),"")</f>
        <v/>
      </c>
      <c r="O8" s="74" t="str">
        <f>IFERROR(__xludf.DUMMYFUNCTION("""COMPUTED_VALUE"""),"")</f>
        <v/>
      </c>
      <c r="P8" s="74" t="str">
        <f>IFERROR(__xludf.DUMMYFUNCTION("""COMPUTED_VALUE"""),"")</f>
        <v/>
      </c>
    </row>
    <row r="9">
      <c r="A9" s="60">
        <v>45685.87360006945</v>
      </c>
      <c r="B9" s="81" t="s">
        <v>169</v>
      </c>
      <c r="C9" s="74" t="b">
        <v>0</v>
      </c>
      <c r="E9" s="82"/>
      <c r="G9" s="82"/>
      <c r="H9" s="74">
        <v>221.0</v>
      </c>
      <c r="I9" s="84"/>
      <c r="J9" s="74" t="s">
        <v>12</v>
      </c>
      <c r="K9" s="61">
        <v>45685.0</v>
      </c>
      <c r="L9" s="74" t="s">
        <v>132</v>
      </c>
      <c r="M9" s="74" t="s">
        <v>18</v>
      </c>
      <c r="N9" s="74" t="str">
        <f>IFERROR(__xludf.DUMMYFUNCTION("""COMPUTED_VALUE"""),"")</f>
        <v/>
      </c>
      <c r="O9" s="74" t="str">
        <f>IFERROR(__xludf.DUMMYFUNCTION("""COMPUTED_VALUE"""),"")</f>
        <v/>
      </c>
      <c r="P9" s="74" t="str">
        <f>IFERROR(__xludf.DUMMYFUNCTION("""COMPUTED_VALUE"""),"")</f>
        <v/>
      </c>
    </row>
    <row r="10">
      <c r="A10" s="60">
        <v>45685.87951221065</v>
      </c>
      <c r="B10" s="81" t="s">
        <v>149</v>
      </c>
      <c r="C10" s="74" t="b">
        <v>0</v>
      </c>
      <c r="E10" s="82"/>
      <c r="G10" s="82"/>
      <c r="H10" s="74">
        <v>127.0</v>
      </c>
      <c r="I10" s="84"/>
      <c r="J10" s="74" t="s">
        <v>12</v>
      </c>
      <c r="K10" s="61">
        <v>45685.0</v>
      </c>
      <c r="L10" s="74" t="s">
        <v>132</v>
      </c>
      <c r="M10" s="74" t="s">
        <v>19</v>
      </c>
      <c r="N10" s="74">
        <f>IFERROR(__xludf.DUMMYFUNCTION("""COMPUTED_VALUE"""),560.0)</f>
        <v>560</v>
      </c>
      <c r="O10" s="74">
        <f>IFERROR(__xludf.DUMMYFUNCTION("""COMPUTED_VALUE"""),221.0)</f>
        <v>221</v>
      </c>
      <c r="P10" s="74">
        <f>IFERROR(__xludf.DUMMYFUNCTION("""COMPUTED_VALUE"""),781.0)</f>
        <v>781</v>
      </c>
    </row>
    <row r="11">
      <c r="A11" s="60">
        <v>45686.5535146412</v>
      </c>
      <c r="B11" s="81" t="s">
        <v>170</v>
      </c>
      <c r="C11" s="74" t="b">
        <v>0</v>
      </c>
      <c r="E11" s="82"/>
      <c r="G11" s="82"/>
      <c r="H11" s="74">
        <v>72.0</v>
      </c>
      <c r="I11" s="84"/>
      <c r="J11" s="74" t="s">
        <v>10</v>
      </c>
      <c r="K11" s="61">
        <v>45686.0</v>
      </c>
      <c r="L11" s="74" t="s">
        <v>135</v>
      </c>
      <c r="M11" s="74" t="s">
        <v>19</v>
      </c>
      <c r="N11" s="74" t="str">
        <f>IFERROR(__xludf.DUMMYFUNCTION("""COMPUTED_VALUE"""),"")</f>
        <v/>
      </c>
      <c r="O11" s="74" t="str">
        <f>IFERROR(__xludf.DUMMYFUNCTION("""COMPUTED_VALUE"""),"")</f>
        <v/>
      </c>
      <c r="P11" s="74" t="str">
        <f>IFERROR(__xludf.DUMMYFUNCTION("""COMPUTED_VALUE"""),"")</f>
        <v/>
      </c>
    </row>
    <row r="12">
      <c r="A12" s="60">
        <v>45686.65015078703</v>
      </c>
      <c r="B12" s="81" t="s">
        <v>153</v>
      </c>
      <c r="C12" s="74" t="b">
        <v>0</v>
      </c>
      <c r="E12" s="82"/>
      <c r="G12" s="82"/>
      <c r="H12" s="74">
        <v>178.0</v>
      </c>
      <c r="I12" s="84"/>
      <c r="J12" s="74" t="s">
        <v>11</v>
      </c>
      <c r="K12" s="61">
        <v>45686.0</v>
      </c>
      <c r="L12" s="74" t="s">
        <v>135</v>
      </c>
      <c r="M12" s="74" t="s">
        <v>19</v>
      </c>
      <c r="N12" s="74" t="str">
        <f>IFERROR(__xludf.DUMMYFUNCTION("""COMPUTED_VALUE"""),"")</f>
        <v/>
      </c>
      <c r="O12" s="74" t="str">
        <f>IFERROR(__xludf.DUMMYFUNCTION("""COMPUTED_VALUE"""),"")</f>
        <v/>
      </c>
      <c r="P12" s="74" t="str">
        <f>IFERROR(__xludf.DUMMYFUNCTION("""COMPUTED_VALUE"""),"")</f>
        <v/>
      </c>
    </row>
    <row r="13">
      <c r="A13" s="60">
        <v>45686.88445609953</v>
      </c>
      <c r="B13" s="81" t="s">
        <v>168</v>
      </c>
      <c r="C13" s="74" t="b">
        <v>0</v>
      </c>
      <c r="E13" s="82"/>
      <c r="G13" s="82"/>
      <c r="H13" s="74">
        <v>140.0</v>
      </c>
      <c r="I13" s="84"/>
      <c r="J13" s="74" t="s">
        <v>12</v>
      </c>
      <c r="K13" s="61">
        <v>45686.0</v>
      </c>
      <c r="L13" s="74" t="s">
        <v>135</v>
      </c>
      <c r="M13" s="74" t="s">
        <v>18</v>
      </c>
      <c r="N13" s="74" t="str">
        <f>IFERROR(__xludf.DUMMYFUNCTION("""COMPUTED_VALUE"""),"")</f>
        <v/>
      </c>
      <c r="O13" s="74" t="str">
        <f>IFERROR(__xludf.DUMMYFUNCTION("""COMPUTED_VALUE"""),"")</f>
        <v/>
      </c>
      <c r="P13" s="74" t="str">
        <f>IFERROR(__xludf.DUMMYFUNCTION("""COMPUTED_VALUE"""),"")</f>
        <v/>
      </c>
    </row>
    <row r="14">
      <c r="A14" s="60">
        <v>45686.88844410879</v>
      </c>
      <c r="B14" s="81" t="s">
        <v>171</v>
      </c>
      <c r="C14" s="74" t="b">
        <v>0</v>
      </c>
      <c r="E14" s="82"/>
      <c r="G14" s="82"/>
      <c r="H14" s="74">
        <v>46.0</v>
      </c>
      <c r="I14" s="84"/>
      <c r="J14" s="74" t="s">
        <v>11</v>
      </c>
      <c r="K14" s="61">
        <v>45686.0</v>
      </c>
      <c r="L14" s="74" t="s">
        <v>135</v>
      </c>
      <c r="M14" s="74" t="s">
        <v>18</v>
      </c>
      <c r="N14" s="74">
        <f>IFERROR(__xludf.DUMMYFUNCTION("""COMPUTED_VALUE"""),186.0)</f>
        <v>186</v>
      </c>
      <c r="O14" s="74">
        <f>IFERROR(__xludf.DUMMYFUNCTION("""COMPUTED_VALUE"""),250.0)</f>
        <v>250</v>
      </c>
      <c r="P14" s="74">
        <f>IFERROR(__xludf.DUMMYFUNCTION("""COMPUTED_VALUE"""),436.0)</f>
        <v>436</v>
      </c>
    </row>
    <row r="15">
      <c r="A15" s="60">
        <v>45687.38203890046</v>
      </c>
      <c r="B15" s="81" t="s">
        <v>136</v>
      </c>
      <c r="C15" s="74" t="b">
        <v>0</v>
      </c>
      <c r="E15" s="82"/>
      <c r="G15" s="82"/>
      <c r="H15" s="74">
        <v>40.0</v>
      </c>
      <c r="I15" s="84"/>
      <c r="J15" s="74" t="s">
        <v>10</v>
      </c>
      <c r="K15" s="61">
        <v>45687.0</v>
      </c>
      <c r="L15" s="74" t="s">
        <v>137</v>
      </c>
      <c r="M15" s="74" t="s">
        <v>19</v>
      </c>
      <c r="N15" s="74" t="str">
        <f>IFERROR(__xludf.DUMMYFUNCTION("""COMPUTED_VALUE"""),"")</f>
        <v/>
      </c>
      <c r="O15" s="74" t="str">
        <f>IFERROR(__xludf.DUMMYFUNCTION("""COMPUTED_VALUE"""),"")</f>
        <v/>
      </c>
      <c r="P15" s="74" t="str">
        <f>IFERROR(__xludf.DUMMYFUNCTION("""COMPUTED_VALUE"""),"")</f>
        <v/>
      </c>
    </row>
    <row r="16">
      <c r="A16" s="60">
        <v>45687.62275010416</v>
      </c>
      <c r="B16" s="81" t="s">
        <v>148</v>
      </c>
      <c r="C16" s="74" t="b">
        <v>0</v>
      </c>
      <c r="E16" s="82"/>
      <c r="G16" s="82"/>
      <c r="H16" s="74">
        <v>107.0</v>
      </c>
      <c r="I16" s="84"/>
      <c r="J16" s="74" t="s">
        <v>11</v>
      </c>
      <c r="K16" s="61">
        <v>45687.0</v>
      </c>
      <c r="L16" s="74" t="s">
        <v>137</v>
      </c>
      <c r="M16" s="74" t="s">
        <v>19</v>
      </c>
      <c r="N16" s="74" t="str">
        <f>IFERROR(__xludf.DUMMYFUNCTION("""COMPUTED_VALUE"""),"")</f>
        <v/>
      </c>
      <c r="O16" s="74" t="str">
        <f>IFERROR(__xludf.DUMMYFUNCTION("""COMPUTED_VALUE"""),"")</f>
        <v/>
      </c>
      <c r="P16" s="74" t="str">
        <f>IFERROR(__xludf.DUMMYFUNCTION("""COMPUTED_VALUE"""),"")</f>
        <v/>
      </c>
    </row>
    <row r="17">
      <c r="A17" s="60">
        <v>45687.78535076389</v>
      </c>
      <c r="B17" s="81" t="s">
        <v>172</v>
      </c>
      <c r="C17" s="74" t="b">
        <v>0</v>
      </c>
      <c r="E17" s="82"/>
      <c r="G17" s="82"/>
      <c r="H17" s="74">
        <v>190.0</v>
      </c>
      <c r="I17" s="84"/>
      <c r="J17" s="56" t="s">
        <v>12</v>
      </c>
      <c r="K17" s="61">
        <v>45687.0</v>
      </c>
      <c r="L17" s="74" t="s">
        <v>137</v>
      </c>
      <c r="M17" s="74" t="s">
        <v>18</v>
      </c>
      <c r="N17" s="74">
        <f>IFERROR(__xludf.DUMMYFUNCTION("""COMPUTED_VALUE"""),190.0)</f>
        <v>190</v>
      </c>
      <c r="O17" s="74">
        <f>IFERROR(__xludf.DUMMYFUNCTION("""COMPUTED_VALUE"""),147.0)</f>
        <v>147</v>
      </c>
      <c r="P17" s="74">
        <f>IFERROR(__xludf.DUMMYFUNCTION("""COMPUTED_VALUE"""),337.0)</f>
        <v>337</v>
      </c>
    </row>
    <row r="18">
      <c r="A18" s="60">
        <v>45688.57925711806</v>
      </c>
      <c r="B18" s="81" t="s">
        <v>172</v>
      </c>
      <c r="C18" s="74" t="b">
        <v>0</v>
      </c>
      <c r="E18" s="82"/>
      <c r="G18" s="82"/>
      <c r="H18" s="74">
        <v>174.0</v>
      </c>
      <c r="I18" s="84"/>
      <c r="J18" s="74" t="s">
        <v>11</v>
      </c>
      <c r="K18" s="61">
        <v>45688.0</v>
      </c>
      <c r="L18" s="74" t="s">
        <v>138</v>
      </c>
      <c r="M18" s="74" t="s">
        <v>19</v>
      </c>
      <c r="N18" s="74" t="str">
        <f>IFERROR(__xludf.DUMMYFUNCTION("""COMPUTED_VALUE"""),"")</f>
        <v/>
      </c>
      <c r="O18" s="74" t="str">
        <f>IFERROR(__xludf.DUMMYFUNCTION("""COMPUTED_VALUE"""),"")</f>
        <v/>
      </c>
      <c r="P18" s="74" t="str">
        <f>IFERROR(__xludf.DUMMYFUNCTION("""COMPUTED_VALUE"""),"")</f>
        <v/>
      </c>
    </row>
    <row r="19">
      <c r="A19" s="60">
        <v>45688.64322185185</v>
      </c>
      <c r="B19" s="81" t="s">
        <v>171</v>
      </c>
      <c r="C19" s="74" t="b">
        <v>0</v>
      </c>
      <c r="E19" s="82"/>
      <c r="G19" s="82"/>
      <c r="H19" s="74">
        <v>143.0</v>
      </c>
      <c r="I19" s="84"/>
      <c r="J19" s="74" t="s">
        <v>11</v>
      </c>
      <c r="K19" s="61">
        <v>45688.0</v>
      </c>
      <c r="L19" s="74" t="s">
        <v>138</v>
      </c>
      <c r="M19" s="74" t="s">
        <v>18</v>
      </c>
      <c r="N19" s="74" t="str">
        <f>IFERROR(__xludf.DUMMYFUNCTION("""COMPUTED_VALUE"""),"")</f>
        <v/>
      </c>
      <c r="O19" s="74" t="str">
        <f>IFERROR(__xludf.DUMMYFUNCTION("""COMPUTED_VALUE"""),"")</f>
        <v/>
      </c>
      <c r="P19" s="74" t="str">
        <f>IFERROR(__xludf.DUMMYFUNCTION("""COMPUTED_VALUE"""),"")</f>
        <v/>
      </c>
    </row>
    <row r="20">
      <c r="A20" s="60">
        <v>45688.92677207176</v>
      </c>
      <c r="B20" s="81" t="s">
        <v>134</v>
      </c>
      <c r="C20" s="74" t="b">
        <v>0</v>
      </c>
      <c r="E20" s="82"/>
      <c r="G20" s="82"/>
      <c r="H20" s="74">
        <v>167.0</v>
      </c>
      <c r="I20" s="84"/>
      <c r="J20" s="74" t="s">
        <v>12</v>
      </c>
      <c r="K20" s="61">
        <v>45688.0</v>
      </c>
      <c r="L20" s="74" t="s">
        <v>138</v>
      </c>
      <c r="M20" s="74" t="s">
        <v>18</v>
      </c>
      <c r="N20" s="74">
        <f>IFERROR(__xludf.DUMMYFUNCTION("""COMPUTED_VALUE"""),310.0)</f>
        <v>310</v>
      </c>
      <c r="O20" s="74">
        <f>IFERROR(__xludf.DUMMYFUNCTION("""COMPUTED_VALUE"""),174.0)</f>
        <v>174</v>
      </c>
      <c r="P20" s="74">
        <f>IFERROR(__xludf.DUMMYFUNCTION("""COMPUTED_VALUE"""),484.0)</f>
        <v>484</v>
      </c>
    </row>
    <row r="21">
      <c r="A21" s="60">
        <v>45691.43751137731</v>
      </c>
      <c r="B21" s="81" t="s">
        <v>170</v>
      </c>
      <c r="C21" s="74" t="b">
        <v>0</v>
      </c>
      <c r="E21" s="82"/>
      <c r="G21" s="82"/>
      <c r="H21" s="74">
        <v>67.0</v>
      </c>
      <c r="I21" s="84"/>
      <c r="J21" s="74" t="s">
        <v>10</v>
      </c>
      <c r="K21" s="61">
        <v>45691.0</v>
      </c>
      <c r="L21" s="74" t="s">
        <v>129</v>
      </c>
      <c r="M21" s="74" t="s">
        <v>19</v>
      </c>
      <c r="N21" s="74" t="str">
        <f>IFERROR(__xludf.DUMMYFUNCTION("""COMPUTED_VALUE"""),"")</f>
        <v/>
      </c>
      <c r="O21" s="74" t="str">
        <f>IFERROR(__xludf.DUMMYFUNCTION("""COMPUTED_VALUE"""),"")</f>
        <v/>
      </c>
      <c r="P21" s="74" t="str">
        <f>IFERROR(__xludf.DUMMYFUNCTION("""COMPUTED_VALUE"""),"")</f>
        <v/>
      </c>
    </row>
    <row r="22">
      <c r="A22" s="60">
        <v>45691.87595469908</v>
      </c>
      <c r="B22" s="81" t="s">
        <v>149</v>
      </c>
      <c r="C22" s="74" t="b">
        <v>0</v>
      </c>
      <c r="E22" s="82"/>
      <c r="G22" s="82"/>
      <c r="H22" s="74">
        <v>221.0</v>
      </c>
      <c r="I22" s="84"/>
      <c r="J22" s="74" t="s">
        <v>12</v>
      </c>
      <c r="K22" s="61">
        <v>45691.0</v>
      </c>
      <c r="L22" s="74" t="s">
        <v>129</v>
      </c>
      <c r="M22" s="74" t="s">
        <v>19</v>
      </c>
      <c r="N22" s="74" t="str">
        <f>IFERROR(__xludf.DUMMYFUNCTION("""COMPUTED_VALUE"""),"")</f>
        <v/>
      </c>
      <c r="O22" s="74" t="str">
        <f>IFERROR(__xludf.DUMMYFUNCTION("""COMPUTED_VALUE"""),"")</f>
        <v/>
      </c>
      <c r="P22" s="74" t="str">
        <f>IFERROR(__xludf.DUMMYFUNCTION("""COMPUTED_VALUE"""),"")</f>
        <v/>
      </c>
    </row>
    <row r="23">
      <c r="A23" s="60">
        <v>45691.91569396991</v>
      </c>
      <c r="B23" s="81" t="s">
        <v>168</v>
      </c>
      <c r="C23" s="74" t="b">
        <v>0</v>
      </c>
      <c r="E23" s="82"/>
      <c r="G23" s="82"/>
      <c r="H23" s="74">
        <v>189.0</v>
      </c>
      <c r="I23" s="84"/>
      <c r="J23" s="74" t="s">
        <v>12</v>
      </c>
      <c r="K23" s="61">
        <v>45691.0</v>
      </c>
      <c r="L23" s="74" t="s">
        <v>129</v>
      </c>
      <c r="M23" s="74" t="s">
        <v>18</v>
      </c>
      <c r="N23" s="74" t="str">
        <f>IFERROR(__xludf.DUMMYFUNCTION("""COMPUTED_VALUE"""),"")</f>
        <v/>
      </c>
      <c r="O23" s="74" t="str">
        <f>IFERROR(__xludf.DUMMYFUNCTION("""COMPUTED_VALUE"""),"")</f>
        <v/>
      </c>
      <c r="P23" s="74" t="str">
        <f>IFERROR(__xludf.DUMMYFUNCTION("""COMPUTED_VALUE"""),"")</f>
        <v/>
      </c>
    </row>
    <row r="24">
      <c r="A24" s="60">
        <v>45714.51804145833</v>
      </c>
      <c r="B24" s="81" t="s">
        <v>173</v>
      </c>
      <c r="C24" s="74" t="b">
        <v>0</v>
      </c>
      <c r="E24" s="82"/>
      <c r="G24" s="82"/>
      <c r="H24" s="74">
        <v>143.0</v>
      </c>
      <c r="I24" s="84"/>
      <c r="J24" s="74" t="s">
        <v>11</v>
      </c>
      <c r="K24" s="61">
        <v>45691.0</v>
      </c>
      <c r="L24" s="74" t="s">
        <v>129</v>
      </c>
      <c r="M24" s="74" t="s">
        <v>18</v>
      </c>
      <c r="N24" s="74" t="str">
        <f>IFERROR(__xludf.DUMMYFUNCTION("""COMPUTED_VALUE"""),"")</f>
        <v/>
      </c>
      <c r="O24" s="74" t="str">
        <f>IFERROR(__xludf.DUMMYFUNCTION("""COMPUTED_VALUE"""),"")</f>
        <v/>
      </c>
      <c r="P24" s="74" t="str">
        <f>IFERROR(__xludf.DUMMYFUNCTION("""COMPUTED_VALUE"""),"")</f>
        <v/>
      </c>
    </row>
    <row r="25">
      <c r="A25" s="60">
        <v>45693.64864901621</v>
      </c>
      <c r="B25" s="81" t="s">
        <v>153</v>
      </c>
      <c r="C25" s="74" t="b">
        <v>0</v>
      </c>
      <c r="E25" s="82"/>
      <c r="G25" s="82"/>
      <c r="H25" s="74">
        <v>143.0</v>
      </c>
      <c r="I25" s="84"/>
      <c r="J25" s="74" t="s">
        <v>11</v>
      </c>
      <c r="K25" s="61">
        <v>45691.0</v>
      </c>
      <c r="L25" s="74" t="s">
        <v>129</v>
      </c>
      <c r="M25" s="74" t="s">
        <v>19</v>
      </c>
      <c r="N25" s="74">
        <f>IFERROR(__xludf.DUMMYFUNCTION("""COMPUTED_VALUE"""),332.0)</f>
        <v>332</v>
      </c>
      <c r="O25" s="74">
        <f>IFERROR(__xludf.DUMMYFUNCTION("""COMPUTED_VALUE"""),431.0)</f>
        <v>431</v>
      </c>
      <c r="P25" s="74">
        <f>IFERROR(__xludf.DUMMYFUNCTION("""COMPUTED_VALUE"""),763.0)</f>
        <v>763</v>
      </c>
    </row>
    <row r="26">
      <c r="A26" s="60">
        <v>45692.49144658565</v>
      </c>
      <c r="B26" s="81" t="s">
        <v>167</v>
      </c>
      <c r="C26" s="74" t="b">
        <v>0</v>
      </c>
      <c r="E26" s="82"/>
      <c r="G26" s="82"/>
      <c r="H26" s="74">
        <v>83.0</v>
      </c>
      <c r="I26" s="84"/>
      <c r="J26" s="74" t="s">
        <v>10</v>
      </c>
      <c r="K26" s="61">
        <v>45692.0</v>
      </c>
      <c r="L26" s="74" t="s">
        <v>132</v>
      </c>
      <c r="M26" s="74" t="s">
        <v>19</v>
      </c>
      <c r="N26" s="74" t="str">
        <f>IFERROR(__xludf.DUMMYFUNCTION("""COMPUTED_VALUE"""),"")</f>
        <v/>
      </c>
      <c r="O26" s="74" t="str">
        <f>IFERROR(__xludf.DUMMYFUNCTION("""COMPUTED_VALUE"""),"")</f>
        <v/>
      </c>
      <c r="P26" s="74" t="str">
        <f>IFERROR(__xludf.DUMMYFUNCTION("""COMPUTED_VALUE"""),"")</f>
        <v/>
      </c>
    </row>
    <row r="27">
      <c r="A27" s="60">
        <v>45692.61604627315</v>
      </c>
      <c r="B27" s="81" t="s">
        <v>148</v>
      </c>
      <c r="C27" s="74" t="b">
        <v>0</v>
      </c>
      <c r="E27" s="82"/>
      <c r="G27" s="82"/>
      <c r="H27" s="74">
        <v>117.0</v>
      </c>
      <c r="I27" s="84"/>
      <c r="J27" s="74" t="s">
        <v>11</v>
      </c>
      <c r="K27" s="61">
        <v>45692.0</v>
      </c>
      <c r="L27" s="74" t="s">
        <v>132</v>
      </c>
      <c r="M27" s="74" t="s">
        <v>19</v>
      </c>
      <c r="N27" s="74" t="str">
        <f>IFERROR(__xludf.DUMMYFUNCTION("""COMPUTED_VALUE"""),"")</f>
        <v/>
      </c>
      <c r="O27" s="74" t="str">
        <f>IFERROR(__xludf.DUMMYFUNCTION("""COMPUTED_VALUE"""),"")</f>
        <v/>
      </c>
      <c r="P27" s="74" t="str">
        <f>IFERROR(__xludf.DUMMYFUNCTION("""COMPUTED_VALUE"""),"")</f>
        <v/>
      </c>
    </row>
    <row r="28">
      <c r="A28" s="60">
        <v>45692.81996253472</v>
      </c>
      <c r="B28" s="81" t="s">
        <v>169</v>
      </c>
      <c r="C28" s="74" t="b">
        <v>0</v>
      </c>
      <c r="E28" s="82"/>
      <c r="G28" s="82"/>
      <c r="H28" s="74">
        <v>241.0</v>
      </c>
      <c r="I28" s="84"/>
      <c r="J28" s="74" t="s">
        <v>12</v>
      </c>
      <c r="K28" s="61">
        <v>45692.0</v>
      </c>
      <c r="L28" s="74" t="s">
        <v>132</v>
      </c>
      <c r="M28" s="74" t="s">
        <v>18</v>
      </c>
      <c r="N28" s="74" t="str">
        <f>IFERROR(__xludf.DUMMYFUNCTION("""COMPUTED_VALUE"""),"")</f>
        <v/>
      </c>
      <c r="O28" s="74" t="str">
        <f>IFERROR(__xludf.DUMMYFUNCTION("""COMPUTED_VALUE"""),"")</f>
        <v/>
      </c>
      <c r="P28" s="74" t="str">
        <f>IFERROR(__xludf.DUMMYFUNCTION("""COMPUTED_VALUE"""),"")</f>
        <v/>
      </c>
    </row>
    <row r="29">
      <c r="A29" s="60">
        <v>45692.91789386574</v>
      </c>
      <c r="B29" s="81" t="s">
        <v>149</v>
      </c>
      <c r="C29" s="74" t="b">
        <v>0</v>
      </c>
      <c r="E29" s="82"/>
      <c r="G29" s="82"/>
      <c r="H29" s="74">
        <v>123.0</v>
      </c>
      <c r="I29" s="84"/>
      <c r="J29" s="74" t="s">
        <v>12</v>
      </c>
      <c r="K29" s="61">
        <v>45692.0</v>
      </c>
      <c r="L29" s="74" t="s">
        <v>132</v>
      </c>
      <c r="M29" s="74" t="s">
        <v>19</v>
      </c>
      <c r="N29" s="74" t="str">
        <f>IFERROR(__xludf.DUMMYFUNCTION("""COMPUTED_VALUE"""),"")</f>
        <v/>
      </c>
      <c r="O29" s="74" t="str">
        <f>IFERROR(__xludf.DUMMYFUNCTION("""COMPUTED_VALUE"""),"")</f>
        <v/>
      </c>
      <c r="P29" s="74" t="str">
        <f>IFERROR(__xludf.DUMMYFUNCTION("""COMPUTED_VALUE"""),"")</f>
        <v/>
      </c>
    </row>
    <row r="30">
      <c r="A30" s="60">
        <v>45692.94817321759</v>
      </c>
      <c r="B30" s="81" t="s">
        <v>167</v>
      </c>
      <c r="C30" s="74" t="b">
        <v>0</v>
      </c>
      <c r="E30" s="82"/>
      <c r="G30" s="82"/>
      <c r="H30" s="74">
        <v>105.0</v>
      </c>
      <c r="I30" s="84"/>
      <c r="J30" s="74" t="s">
        <v>11</v>
      </c>
      <c r="K30" s="61">
        <v>45692.0</v>
      </c>
      <c r="L30" s="74" t="s">
        <v>132</v>
      </c>
      <c r="M30" s="74" t="s">
        <v>18</v>
      </c>
      <c r="N30" s="74">
        <f>IFERROR(__xludf.DUMMYFUNCTION("""COMPUTED_VALUE"""),346.0)</f>
        <v>346</v>
      </c>
      <c r="O30" s="74">
        <f>IFERROR(__xludf.DUMMYFUNCTION("""COMPUTED_VALUE"""),323.0)</f>
        <v>323</v>
      </c>
      <c r="P30" s="74">
        <f>IFERROR(__xludf.DUMMYFUNCTION("""COMPUTED_VALUE"""),669.0)</f>
        <v>669</v>
      </c>
    </row>
    <row r="31">
      <c r="A31" s="60">
        <v>45693.37572600695</v>
      </c>
      <c r="B31" s="81" t="s">
        <v>170</v>
      </c>
      <c r="C31" s="74" t="b">
        <v>0</v>
      </c>
      <c r="E31" s="82"/>
      <c r="G31" s="82"/>
      <c r="H31" s="74">
        <v>65.0</v>
      </c>
      <c r="I31" s="84"/>
      <c r="J31" s="74" t="s">
        <v>10</v>
      </c>
      <c r="K31" s="61">
        <v>45693.0</v>
      </c>
      <c r="L31" s="74" t="s">
        <v>135</v>
      </c>
      <c r="M31" s="74" t="s">
        <v>19</v>
      </c>
      <c r="N31" s="74" t="str">
        <f>IFERROR(__xludf.DUMMYFUNCTION("""COMPUTED_VALUE"""),"")</f>
        <v/>
      </c>
      <c r="O31" s="74" t="str">
        <f>IFERROR(__xludf.DUMMYFUNCTION("""COMPUTED_VALUE"""),"")</f>
        <v/>
      </c>
      <c r="P31" s="74" t="str">
        <f>IFERROR(__xludf.DUMMYFUNCTION("""COMPUTED_VALUE"""),"")</f>
        <v/>
      </c>
    </row>
    <row r="32">
      <c r="A32" s="60">
        <v>45693.44145907407</v>
      </c>
      <c r="B32" s="81" t="s">
        <v>170</v>
      </c>
      <c r="C32" s="74" t="b">
        <v>0</v>
      </c>
      <c r="E32" s="82"/>
      <c r="G32" s="82"/>
      <c r="H32" s="74">
        <v>44.0</v>
      </c>
      <c r="I32" s="84"/>
      <c r="J32" s="74" t="s">
        <v>10</v>
      </c>
      <c r="K32" s="61">
        <v>45693.0</v>
      </c>
      <c r="L32" s="74" t="s">
        <v>135</v>
      </c>
      <c r="M32" s="74" t="s">
        <v>19</v>
      </c>
      <c r="N32" s="74" t="str">
        <f>IFERROR(__xludf.DUMMYFUNCTION("""COMPUTED_VALUE"""),"")</f>
        <v/>
      </c>
      <c r="O32" s="74" t="str">
        <f>IFERROR(__xludf.DUMMYFUNCTION("""COMPUTED_VALUE"""),"")</f>
        <v/>
      </c>
      <c r="P32" s="74" t="str">
        <f>IFERROR(__xludf.DUMMYFUNCTION("""COMPUTED_VALUE"""),"")</f>
        <v/>
      </c>
    </row>
    <row r="33">
      <c r="A33" s="60">
        <v>45693.57041016204</v>
      </c>
      <c r="B33" s="81" t="s">
        <v>171</v>
      </c>
      <c r="C33" s="74" t="b">
        <v>0</v>
      </c>
      <c r="E33" s="82"/>
      <c r="G33" s="82"/>
      <c r="H33" s="74">
        <v>71.0</v>
      </c>
      <c r="I33" s="84"/>
      <c r="J33" s="74" t="s">
        <v>11</v>
      </c>
      <c r="K33" s="61">
        <v>45693.0</v>
      </c>
      <c r="L33" s="74" t="s">
        <v>135</v>
      </c>
      <c r="M33" s="74" t="s">
        <v>18</v>
      </c>
      <c r="N33" s="74" t="str">
        <f>IFERROR(__xludf.DUMMYFUNCTION("""COMPUTED_VALUE"""),"")</f>
        <v/>
      </c>
      <c r="O33" s="74" t="str">
        <f>IFERROR(__xludf.DUMMYFUNCTION("""COMPUTED_VALUE"""),"")</f>
        <v/>
      </c>
      <c r="P33" s="74" t="str">
        <f>IFERROR(__xludf.DUMMYFUNCTION("""COMPUTED_VALUE"""),"")</f>
        <v/>
      </c>
    </row>
    <row r="34">
      <c r="A34" s="60">
        <v>45693.98833168981</v>
      </c>
      <c r="B34" s="81" t="s">
        <v>168</v>
      </c>
      <c r="C34" s="74" t="b">
        <v>0</v>
      </c>
      <c r="E34" s="82"/>
      <c r="G34" s="82"/>
      <c r="H34" s="74">
        <v>147.0</v>
      </c>
      <c r="I34" s="84"/>
      <c r="J34" s="74" t="s">
        <v>12</v>
      </c>
      <c r="K34" s="61">
        <v>45693.0</v>
      </c>
      <c r="L34" s="74" t="s">
        <v>135</v>
      </c>
      <c r="M34" s="74" t="s">
        <v>18</v>
      </c>
      <c r="N34" s="74">
        <f>IFERROR(__xludf.DUMMYFUNCTION("""COMPUTED_VALUE"""),218.0)</f>
        <v>218</v>
      </c>
      <c r="O34" s="74">
        <f>IFERROR(__xludf.DUMMYFUNCTION("""COMPUTED_VALUE"""),109.0)</f>
        <v>109</v>
      </c>
      <c r="P34" s="74">
        <f>IFERROR(__xludf.DUMMYFUNCTION("""COMPUTED_VALUE"""),327.0)</f>
        <v>327</v>
      </c>
    </row>
    <row r="35">
      <c r="A35" s="60">
        <v>45693.64964637731</v>
      </c>
      <c r="B35" s="81" t="s">
        <v>153</v>
      </c>
      <c r="C35" s="74" t="b">
        <v>0</v>
      </c>
      <c r="E35" s="82"/>
      <c r="G35" s="82"/>
      <c r="H35" s="74">
        <v>143.0</v>
      </c>
      <c r="I35" s="84"/>
      <c r="J35" s="74" t="s">
        <v>11</v>
      </c>
      <c r="K35" s="61">
        <v>45694.0</v>
      </c>
      <c r="L35" s="74" t="s">
        <v>137</v>
      </c>
      <c r="M35" s="74" t="s">
        <v>19</v>
      </c>
      <c r="N35" s="74" t="str">
        <f>IFERROR(__xludf.DUMMYFUNCTION("""COMPUTED_VALUE"""),"")</f>
        <v/>
      </c>
      <c r="O35" s="74" t="str">
        <f>IFERROR(__xludf.DUMMYFUNCTION("""COMPUTED_VALUE"""),"")</f>
        <v/>
      </c>
      <c r="P35" s="74" t="str">
        <f>IFERROR(__xludf.DUMMYFUNCTION("""COMPUTED_VALUE"""),"")</f>
        <v/>
      </c>
    </row>
    <row r="36">
      <c r="A36" s="60">
        <v>45694.42115711806</v>
      </c>
      <c r="B36" s="81" t="s">
        <v>136</v>
      </c>
      <c r="C36" s="74" t="b">
        <v>0</v>
      </c>
      <c r="E36" s="82"/>
      <c r="G36" s="82"/>
      <c r="H36" s="74">
        <v>40.0</v>
      </c>
      <c r="I36" s="84"/>
      <c r="J36" s="74" t="s">
        <v>10</v>
      </c>
      <c r="K36" s="61">
        <v>45694.0</v>
      </c>
      <c r="L36" s="74" t="s">
        <v>137</v>
      </c>
      <c r="M36" s="74" t="s">
        <v>19</v>
      </c>
      <c r="N36" s="74" t="str">
        <f>IFERROR(__xludf.DUMMYFUNCTION("""COMPUTED_VALUE"""),"")</f>
        <v/>
      </c>
      <c r="O36" s="74" t="str">
        <f>IFERROR(__xludf.DUMMYFUNCTION("""COMPUTED_VALUE"""),"")</f>
        <v/>
      </c>
      <c r="P36" s="74" t="str">
        <f>IFERROR(__xludf.DUMMYFUNCTION("""COMPUTED_VALUE"""),"")</f>
        <v/>
      </c>
    </row>
    <row r="37">
      <c r="A37" s="60">
        <v>45694.62302611111</v>
      </c>
      <c r="B37" s="81" t="s">
        <v>148</v>
      </c>
      <c r="C37" s="74" t="b">
        <v>0</v>
      </c>
      <c r="E37" s="82"/>
      <c r="G37" s="82"/>
      <c r="H37" s="74">
        <v>150.0</v>
      </c>
      <c r="I37" s="84"/>
      <c r="J37" s="74" t="s">
        <v>11</v>
      </c>
      <c r="K37" s="61">
        <v>45694.0</v>
      </c>
      <c r="L37" s="74" t="s">
        <v>137</v>
      </c>
      <c r="M37" s="74" t="s">
        <v>19</v>
      </c>
      <c r="N37" s="74" t="str">
        <f>IFERROR(__xludf.DUMMYFUNCTION("""COMPUTED_VALUE"""),"")</f>
        <v/>
      </c>
      <c r="O37" s="74">
        <f>IFERROR(__xludf.DUMMYFUNCTION("""COMPUTED_VALUE"""),333.0)</f>
        <v>333</v>
      </c>
      <c r="P37" s="74">
        <f>IFERROR(__xludf.DUMMYFUNCTION("""COMPUTED_VALUE"""),333.0)</f>
        <v>333</v>
      </c>
    </row>
    <row r="38">
      <c r="A38" s="60">
        <v>45695.5840415625</v>
      </c>
      <c r="B38" s="81" t="s">
        <v>171</v>
      </c>
      <c r="C38" s="74" t="b">
        <v>0</v>
      </c>
      <c r="E38" s="82"/>
      <c r="G38" s="82"/>
      <c r="H38" s="74">
        <v>185.0</v>
      </c>
      <c r="I38" s="84"/>
      <c r="J38" s="74" t="s">
        <v>11</v>
      </c>
      <c r="K38" s="61">
        <v>45695.0</v>
      </c>
      <c r="L38" s="74" t="s">
        <v>138</v>
      </c>
      <c r="M38" s="74" t="s">
        <v>18</v>
      </c>
      <c r="N38" s="74" t="str">
        <f>IFERROR(__xludf.DUMMYFUNCTION("""COMPUTED_VALUE"""),"")</f>
        <v/>
      </c>
      <c r="O38" s="74" t="str">
        <f>IFERROR(__xludf.DUMMYFUNCTION("""COMPUTED_VALUE"""),"")</f>
        <v/>
      </c>
      <c r="P38" s="74" t="str">
        <f>IFERROR(__xludf.DUMMYFUNCTION("""COMPUTED_VALUE"""),"")</f>
        <v/>
      </c>
    </row>
    <row r="39">
      <c r="A39" s="60">
        <v>45695.64371479167</v>
      </c>
      <c r="B39" s="81" t="s">
        <v>171</v>
      </c>
      <c r="C39" s="74" t="b">
        <v>0</v>
      </c>
      <c r="E39" s="82"/>
      <c r="G39" s="82"/>
      <c r="H39" s="74">
        <v>85.0</v>
      </c>
      <c r="I39" s="84"/>
      <c r="J39" s="74" t="s">
        <v>11</v>
      </c>
      <c r="K39" s="61">
        <v>45695.0</v>
      </c>
      <c r="L39" s="74" t="s">
        <v>138</v>
      </c>
      <c r="M39" s="74" t="s">
        <v>18</v>
      </c>
      <c r="N39" s="74" t="str">
        <f>IFERROR(__xludf.DUMMYFUNCTION("""COMPUTED_VALUE"""),"")</f>
        <v/>
      </c>
      <c r="O39" s="74" t="str">
        <f>IFERROR(__xludf.DUMMYFUNCTION("""COMPUTED_VALUE"""),"")</f>
        <v/>
      </c>
      <c r="P39" s="74" t="str">
        <f>IFERROR(__xludf.DUMMYFUNCTION("""COMPUTED_VALUE"""),"")</f>
        <v/>
      </c>
    </row>
    <row r="40">
      <c r="A40" s="60">
        <v>45696.34489802083</v>
      </c>
      <c r="B40" s="81" t="s">
        <v>134</v>
      </c>
      <c r="C40" s="74" t="b">
        <v>0</v>
      </c>
      <c r="E40" s="82"/>
      <c r="G40" s="82"/>
      <c r="H40" s="74">
        <v>219.0</v>
      </c>
      <c r="I40" s="84"/>
      <c r="J40" s="74" t="s">
        <v>12</v>
      </c>
      <c r="K40" s="61">
        <v>45695.0</v>
      </c>
      <c r="L40" s="74" t="s">
        <v>138</v>
      </c>
      <c r="M40" s="74" t="s">
        <v>18</v>
      </c>
      <c r="N40" s="74">
        <f>IFERROR(__xludf.DUMMYFUNCTION("""COMPUTED_VALUE"""),489.0)</f>
        <v>489</v>
      </c>
      <c r="O40" s="74" t="str">
        <f>IFERROR(__xludf.DUMMYFUNCTION("""COMPUTED_VALUE"""),"")</f>
        <v/>
      </c>
      <c r="P40" s="74">
        <f>IFERROR(__xludf.DUMMYFUNCTION("""COMPUTED_VALUE"""),489.0)</f>
        <v>489</v>
      </c>
    </row>
    <row r="41">
      <c r="A41" s="60">
        <v>45698.44732105324</v>
      </c>
      <c r="B41" s="81" t="s">
        <v>170</v>
      </c>
      <c r="C41" s="74" t="b">
        <v>0</v>
      </c>
      <c r="E41" s="82"/>
      <c r="G41" s="82"/>
      <c r="H41" s="74">
        <v>84.0</v>
      </c>
      <c r="I41" s="84"/>
      <c r="J41" s="74" t="s">
        <v>10</v>
      </c>
      <c r="K41" s="61">
        <v>45698.0</v>
      </c>
      <c r="L41" s="74" t="s">
        <v>129</v>
      </c>
      <c r="M41" s="74" t="s">
        <v>19</v>
      </c>
      <c r="N41" s="74" t="str">
        <f>IFERROR(__xludf.DUMMYFUNCTION("""COMPUTED_VALUE"""),"")</f>
        <v/>
      </c>
      <c r="O41" s="74" t="str">
        <f>IFERROR(__xludf.DUMMYFUNCTION("""COMPUTED_VALUE"""),"")</f>
        <v/>
      </c>
      <c r="P41" s="74" t="str">
        <f>IFERROR(__xludf.DUMMYFUNCTION("""COMPUTED_VALUE"""),"")</f>
        <v/>
      </c>
    </row>
    <row r="42">
      <c r="A42" s="60">
        <v>45698.87662484954</v>
      </c>
      <c r="B42" s="81" t="s">
        <v>149</v>
      </c>
      <c r="C42" s="74" t="b">
        <v>0</v>
      </c>
      <c r="E42" s="82"/>
      <c r="G42" s="82"/>
      <c r="H42" s="74">
        <v>189.0</v>
      </c>
      <c r="I42" s="84"/>
      <c r="J42" s="74" t="s">
        <v>12</v>
      </c>
      <c r="K42" s="61">
        <v>45698.0</v>
      </c>
      <c r="L42" s="74" t="s">
        <v>129</v>
      </c>
      <c r="M42" s="74" t="s">
        <v>19</v>
      </c>
      <c r="N42" s="74" t="str">
        <f>IFERROR(__xludf.DUMMYFUNCTION("""COMPUTED_VALUE"""),"")</f>
        <v/>
      </c>
      <c r="O42" s="74" t="str">
        <f>IFERROR(__xludf.DUMMYFUNCTION("""COMPUTED_VALUE"""),"")</f>
        <v/>
      </c>
      <c r="P42" s="74" t="str">
        <f>IFERROR(__xludf.DUMMYFUNCTION("""COMPUTED_VALUE"""),"")</f>
        <v/>
      </c>
    </row>
    <row r="43">
      <c r="A43" s="60">
        <v>45714.51920137731</v>
      </c>
      <c r="B43" s="81" t="s">
        <v>173</v>
      </c>
      <c r="C43" s="74" t="b">
        <v>0</v>
      </c>
      <c r="E43" s="82"/>
      <c r="G43" s="82"/>
      <c r="H43" s="74">
        <v>129.0</v>
      </c>
      <c r="I43" s="84"/>
      <c r="J43" s="74" t="s">
        <v>11</v>
      </c>
      <c r="K43" s="61">
        <v>45698.0</v>
      </c>
      <c r="L43" s="74" t="s">
        <v>129</v>
      </c>
      <c r="M43" s="74" t="s">
        <v>18</v>
      </c>
      <c r="N43" s="74" t="str">
        <f>IFERROR(__xludf.DUMMYFUNCTION("""COMPUTED_VALUE"""),"")</f>
        <v/>
      </c>
      <c r="O43" s="74" t="str">
        <f>IFERROR(__xludf.DUMMYFUNCTION("""COMPUTED_VALUE"""),"")</f>
        <v/>
      </c>
      <c r="P43" s="74" t="str">
        <f>IFERROR(__xludf.DUMMYFUNCTION("""COMPUTED_VALUE"""),"")</f>
        <v/>
      </c>
    </row>
    <row r="44">
      <c r="A44" s="60">
        <v>45698.95845163194</v>
      </c>
      <c r="B44" s="81" t="s">
        <v>168</v>
      </c>
      <c r="C44" s="74" t="b">
        <v>0</v>
      </c>
      <c r="E44" s="82"/>
      <c r="G44" s="82"/>
      <c r="H44" s="74">
        <v>196.0</v>
      </c>
      <c r="I44" s="84"/>
      <c r="J44" s="74" t="s">
        <v>12</v>
      </c>
      <c r="K44" s="61">
        <v>45698.0</v>
      </c>
      <c r="L44" s="74" t="s">
        <v>129</v>
      </c>
      <c r="M44" s="74" t="s">
        <v>18</v>
      </c>
      <c r="N44" s="74">
        <f>IFERROR(__xludf.DUMMYFUNCTION("""COMPUTED_VALUE"""),325.0)</f>
        <v>325</v>
      </c>
      <c r="O44" s="74">
        <f>IFERROR(__xludf.DUMMYFUNCTION("""COMPUTED_VALUE"""),273.0)</f>
        <v>273</v>
      </c>
      <c r="P44" s="74">
        <f>IFERROR(__xludf.DUMMYFUNCTION("""COMPUTED_VALUE"""),598.0)</f>
        <v>598</v>
      </c>
    </row>
    <row r="45">
      <c r="A45" s="60">
        <v>45699.48656039352</v>
      </c>
      <c r="B45" s="81" t="s">
        <v>167</v>
      </c>
      <c r="C45" s="74" t="b">
        <v>0</v>
      </c>
      <c r="E45" s="82"/>
      <c r="G45" s="82"/>
      <c r="H45" s="74">
        <v>80.0</v>
      </c>
      <c r="I45" s="84"/>
      <c r="J45" s="74" t="s">
        <v>10</v>
      </c>
      <c r="K45" s="61">
        <v>45699.0</v>
      </c>
      <c r="L45" s="74" t="s">
        <v>132</v>
      </c>
      <c r="M45" s="74" t="s">
        <v>19</v>
      </c>
      <c r="N45" s="74" t="str">
        <f>IFERROR(__xludf.DUMMYFUNCTION("""COMPUTED_VALUE"""),"")</f>
        <v/>
      </c>
      <c r="O45" s="74" t="str">
        <f>IFERROR(__xludf.DUMMYFUNCTION("""COMPUTED_VALUE"""),"")</f>
        <v/>
      </c>
      <c r="P45" s="74" t="str">
        <f>IFERROR(__xludf.DUMMYFUNCTION("""COMPUTED_VALUE"""),"")</f>
        <v/>
      </c>
    </row>
    <row r="46">
      <c r="A46" s="60">
        <v>45699.61554618055</v>
      </c>
      <c r="B46" s="81" t="s">
        <v>148</v>
      </c>
      <c r="C46" s="74" t="b">
        <v>0</v>
      </c>
      <c r="E46" s="82"/>
      <c r="G46" s="82"/>
      <c r="H46" s="74">
        <v>108.0</v>
      </c>
      <c r="I46" s="84"/>
      <c r="J46" s="74" t="s">
        <v>11</v>
      </c>
      <c r="K46" s="61">
        <v>45699.0</v>
      </c>
      <c r="L46" s="74" t="s">
        <v>132</v>
      </c>
      <c r="M46" s="74" t="s">
        <v>19</v>
      </c>
      <c r="N46" s="74" t="str">
        <f>IFERROR(__xludf.DUMMYFUNCTION("""COMPUTED_VALUE"""),"")</f>
        <v/>
      </c>
      <c r="O46" s="74" t="str">
        <f>IFERROR(__xludf.DUMMYFUNCTION("""COMPUTED_VALUE"""),"")</f>
        <v/>
      </c>
      <c r="P46" s="74" t="str">
        <f>IFERROR(__xludf.DUMMYFUNCTION("""COMPUTED_VALUE"""),"")</f>
        <v/>
      </c>
    </row>
    <row r="47">
      <c r="A47" s="60">
        <v>45699.67248162037</v>
      </c>
      <c r="B47" s="81" t="s">
        <v>167</v>
      </c>
      <c r="C47" s="74" t="b">
        <v>0</v>
      </c>
      <c r="E47" s="82"/>
      <c r="G47" s="82"/>
      <c r="H47" s="74">
        <v>145.0</v>
      </c>
      <c r="I47" s="84"/>
      <c r="J47" s="74" t="s">
        <v>11</v>
      </c>
      <c r="K47" s="61">
        <v>45699.0</v>
      </c>
      <c r="L47" s="74" t="s">
        <v>132</v>
      </c>
      <c r="M47" s="74" t="s">
        <v>18</v>
      </c>
      <c r="N47" s="74" t="str">
        <f>IFERROR(__xludf.DUMMYFUNCTION("""COMPUTED_VALUE"""),"")</f>
        <v/>
      </c>
      <c r="O47" s="74" t="str">
        <f>IFERROR(__xludf.DUMMYFUNCTION("""COMPUTED_VALUE"""),"")</f>
        <v/>
      </c>
      <c r="P47" s="74" t="str">
        <f>IFERROR(__xludf.DUMMYFUNCTION("""COMPUTED_VALUE"""),"")</f>
        <v/>
      </c>
    </row>
    <row r="48">
      <c r="A48" s="60">
        <v>45699.87689766203</v>
      </c>
      <c r="B48" s="81" t="s">
        <v>169</v>
      </c>
      <c r="C48" s="74" t="b">
        <v>0</v>
      </c>
      <c r="E48" s="82"/>
      <c r="G48" s="82"/>
      <c r="H48" s="74">
        <v>313.0</v>
      </c>
      <c r="I48" s="84"/>
      <c r="J48" s="74" t="s">
        <v>12</v>
      </c>
      <c r="K48" s="61">
        <v>45699.0</v>
      </c>
      <c r="L48" s="74" t="s">
        <v>132</v>
      </c>
      <c r="M48" s="74" t="s">
        <v>18</v>
      </c>
      <c r="N48" s="74" t="str">
        <f>IFERROR(__xludf.DUMMYFUNCTION("""COMPUTED_VALUE"""),"")</f>
        <v/>
      </c>
      <c r="O48" s="74" t="str">
        <f>IFERROR(__xludf.DUMMYFUNCTION("""COMPUTED_VALUE"""),"")</f>
        <v/>
      </c>
      <c r="P48" s="74" t="str">
        <f>IFERROR(__xludf.DUMMYFUNCTION("""COMPUTED_VALUE"""),"")</f>
        <v/>
      </c>
    </row>
    <row r="49">
      <c r="A49" s="60">
        <v>45699.87748395833</v>
      </c>
      <c r="B49" s="81" t="s">
        <v>149</v>
      </c>
      <c r="C49" s="74" t="b">
        <v>0</v>
      </c>
      <c r="E49" s="82"/>
      <c r="G49" s="82"/>
      <c r="H49" s="74">
        <v>201.0</v>
      </c>
      <c r="I49" s="84"/>
      <c r="J49" s="74" t="s">
        <v>12</v>
      </c>
      <c r="K49" s="61">
        <v>45699.0</v>
      </c>
      <c r="L49" s="74" t="s">
        <v>132</v>
      </c>
      <c r="M49" s="74" t="s">
        <v>19</v>
      </c>
      <c r="N49" s="74">
        <f>IFERROR(__xludf.DUMMYFUNCTION("""COMPUTED_VALUE"""),458.0)</f>
        <v>458</v>
      </c>
      <c r="O49" s="74">
        <f>IFERROR(__xludf.DUMMYFUNCTION("""COMPUTED_VALUE"""),389.0)</f>
        <v>389</v>
      </c>
      <c r="P49" s="74">
        <f>IFERROR(__xludf.DUMMYFUNCTION("""COMPUTED_VALUE"""),847.0)</f>
        <v>847</v>
      </c>
    </row>
    <row r="50">
      <c r="A50" s="60">
        <v>45700.44474181713</v>
      </c>
      <c r="B50" s="81" t="s">
        <v>170</v>
      </c>
      <c r="C50" s="74" t="b">
        <v>0</v>
      </c>
      <c r="E50" s="82"/>
      <c r="G50" s="82"/>
      <c r="H50" s="74">
        <v>83.0</v>
      </c>
      <c r="I50" s="84"/>
      <c r="J50" s="74" t="s">
        <v>10</v>
      </c>
      <c r="K50" s="61">
        <v>45700.0</v>
      </c>
      <c r="L50" s="74" t="s">
        <v>135</v>
      </c>
      <c r="M50" s="74" t="s">
        <v>19</v>
      </c>
      <c r="N50" s="74" t="str">
        <f>IFERROR(__xludf.DUMMYFUNCTION("""COMPUTED_VALUE"""),"")</f>
        <v/>
      </c>
      <c r="O50" s="74" t="str">
        <f>IFERROR(__xludf.DUMMYFUNCTION("""COMPUTED_VALUE"""),"")</f>
        <v/>
      </c>
      <c r="P50" s="74" t="str">
        <f>IFERROR(__xludf.DUMMYFUNCTION("""COMPUTED_VALUE"""),"")</f>
        <v/>
      </c>
    </row>
    <row r="51">
      <c r="A51" s="60">
        <v>45700.56592515046</v>
      </c>
      <c r="B51" s="81" t="s">
        <v>171</v>
      </c>
      <c r="C51" s="74" t="b">
        <v>0</v>
      </c>
      <c r="E51" s="82"/>
      <c r="G51" s="82"/>
      <c r="H51" s="74">
        <v>92.0</v>
      </c>
      <c r="I51" s="84"/>
      <c r="J51" s="74" t="s">
        <v>11</v>
      </c>
      <c r="K51" s="61">
        <v>45700.0</v>
      </c>
      <c r="L51" s="74" t="s">
        <v>135</v>
      </c>
      <c r="M51" s="74" t="s">
        <v>18</v>
      </c>
      <c r="N51" s="74" t="str">
        <f>IFERROR(__xludf.DUMMYFUNCTION("""COMPUTED_VALUE"""),"")</f>
        <v/>
      </c>
      <c r="O51" s="74" t="str">
        <f>IFERROR(__xludf.DUMMYFUNCTION("""COMPUTED_VALUE"""),"")</f>
        <v/>
      </c>
      <c r="P51" s="74" t="str">
        <f>IFERROR(__xludf.DUMMYFUNCTION("""COMPUTED_VALUE"""),"")</f>
        <v/>
      </c>
    </row>
    <row r="52">
      <c r="A52" s="60">
        <v>45700.66570581018</v>
      </c>
      <c r="B52" s="81" t="s">
        <v>153</v>
      </c>
      <c r="C52" s="74" t="b">
        <v>0</v>
      </c>
      <c r="E52" s="82"/>
      <c r="G52" s="82"/>
      <c r="H52" s="74">
        <v>161.0</v>
      </c>
      <c r="I52" s="84"/>
      <c r="J52" s="74" t="s">
        <v>10</v>
      </c>
      <c r="K52" s="61">
        <v>45700.0</v>
      </c>
      <c r="L52" s="74" t="s">
        <v>135</v>
      </c>
      <c r="M52" s="74" t="s">
        <v>19</v>
      </c>
      <c r="N52" s="74" t="str">
        <f>IFERROR(__xludf.DUMMYFUNCTION("""COMPUTED_VALUE"""),"")</f>
        <v/>
      </c>
      <c r="O52" s="74" t="str">
        <f>IFERROR(__xludf.DUMMYFUNCTION("""COMPUTED_VALUE"""),"")</f>
        <v/>
      </c>
      <c r="P52" s="74" t="str">
        <f>IFERROR(__xludf.DUMMYFUNCTION("""COMPUTED_VALUE"""),"")</f>
        <v/>
      </c>
    </row>
    <row r="53">
      <c r="A53" s="60">
        <v>45700.68113362268</v>
      </c>
      <c r="B53" s="81" t="s">
        <v>153</v>
      </c>
      <c r="C53" s="74" t="b">
        <v>0</v>
      </c>
      <c r="E53" s="82"/>
      <c r="G53" s="82"/>
      <c r="H53" s="74">
        <v>149.0</v>
      </c>
      <c r="I53" s="84"/>
      <c r="J53" s="74" t="s">
        <v>11</v>
      </c>
      <c r="K53" s="61">
        <v>45700.0</v>
      </c>
      <c r="L53" s="74" t="s">
        <v>135</v>
      </c>
      <c r="M53" s="74" t="s">
        <v>19</v>
      </c>
      <c r="N53" s="74" t="str">
        <f>IFERROR(__xludf.DUMMYFUNCTION("""COMPUTED_VALUE"""),"")</f>
        <v/>
      </c>
      <c r="O53" s="74" t="str">
        <f>IFERROR(__xludf.DUMMYFUNCTION("""COMPUTED_VALUE"""),"")</f>
        <v/>
      </c>
      <c r="P53" s="74" t="str">
        <f>IFERROR(__xludf.DUMMYFUNCTION("""COMPUTED_VALUE"""),"")</f>
        <v/>
      </c>
    </row>
    <row r="54">
      <c r="A54" s="60">
        <v>45700.6841506713</v>
      </c>
      <c r="B54" s="81" t="s">
        <v>153</v>
      </c>
      <c r="C54" s="74" t="b">
        <v>0</v>
      </c>
      <c r="E54" s="82"/>
      <c r="G54" s="82"/>
      <c r="H54" s="74">
        <v>120.0</v>
      </c>
      <c r="I54" s="84"/>
      <c r="J54" s="74" t="s">
        <v>11</v>
      </c>
      <c r="K54" s="61">
        <v>45700.0</v>
      </c>
      <c r="L54" s="74" t="s">
        <v>135</v>
      </c>
      <c r="M54" s="74" t="s">
        <v>19</v>
      </c>
      <c r="N54" s="74">
        <f>IFERROR(__xludf.DUMMYFUNCTION("""COMPUTED_VALUE"""),92.0)</f>
        <v>92</v>
      </c>
      <c r="O54" s="74">
        <f>IFERROR(__xludf.DUMMYFUNCTION("""COMPUTED_VALUE"""),513.0)</f>
        <v>513</v>
      </c>
      <c r="P54" s="74">
        <f>IFERROR(__xludf.DUMMYFUNCTION("""COMPUTED_VALUE"""),605.0)</f>
        <v>605</v>
      </c>
    </row>
    <row r="55">
      <c r="A55" s="60">
        <v>45701.41914650463</v>
      </c>
      <c r="B55" s="81" t="s">
        <v>136</v>
      </c>
      <c r="C55" s="74" t="b">
        <v>0</v>
      </c>
      <c r="E55" s="82"/>
      <c r="G55" s="82"/>
      <c r="H55" s="74">
        <v>36.0</v>
      </c>
      <c r="I55" s="84"/>
      <c r="J55" s="74" t="s">
        <v>10</v>
      </c>
      <c r="K55" s="61">
        <v>45701.0</v>
      </c>
      <c r="L55" s="74" t="s">
        <v>137</v>
      </c>
      <c r="M55" s="74" t="s">
        <v>19</v>
      </c>
      <c r="N55" s="74" t="str">
        <f>IFERROR(__xludf.DUMMYFUNCTION("""COMPUTED_VALUE"""),"")</f>
        <v/>
      </c>
      <c r="O55" s="74" t="str">
        <f>IFERROR(__xludf.DUMMYFUNCTION("""COMPUTED_VALUE"""),"")</f>
        <v/>
      </c>
      <c r="P55" s="74" t="str">
        <f>IFERROR(__xludf.DUMMYFUNCTION("""COMPUTED_VALUE"""),"")</f>
        <v/>
      </c>
    </row>
    <row r="56">
      <c r="A56" s="60">
        <v>45701.50735950231</v>
      </c>
      <c r="B56" s="81" t="s">
        <v>168</v>
      </c>
      <c r="C56" s="74" t="b">
        <v>0</v>
      </c>
      <c r="E56" s="82"/>
      <c r="G56" s="82"/>
      <c r="H56" s="74">
        <v>133.0</v>
      </c>
      <c r="I56" s="84"/>
      <c r="J56" s="74" t="s">
        <v>12</v>
      </c>
      <c r="K56" s="61">
        <v>45701.0</v>
      </c>
      <c r="L56" s="74" t="s">
        <v>137</v>
      </c>
      <c r="M56" s="74" t="s">
        <v>18</v>
      </c>
      <c r="N56" s="74" t="str">
        <f>IFERROR(__xludf.DUMMYFUNCTION("""COMPUTED_VALUE"""),"")</f>
        <v/>
      </c>
      <c r="O56" s="74" t="str">
        <f>IFERROR(__xludf.DUMMYFUNCTION("""COMPUTED_VALUE"""),"")</f>
        <v/>
      </c>
      <c r="P56" s="74" t="str">
        <f>IFERROR(__xludf.DUMMYFUNCTION("""COMPUTED_VALUE"""),"")</f>
        <v/>
      </c>
    </row>
    <row r="57">
      <c r="A57" s="60">
        <v>45701.62246792824</v>
      </c>
      <c r="B57" s="81" t="s">
        <v>148</v>
      </c>
      <c r="C57" s="74" t="b">
        <v>0</v>
      </c>
      <c r="E57" s="82"/>
      <c r="G57" s="82"/>
      <c r="H57" s="74">
        <v>143.0</v>
      </c>
      <c r="I57" s="84"/>
      <c r="J57" s="74" t="s">
        <v>11</v>
      </c>
      <c r="K57" s="61">
        <v>45701.0</v>
      </c>
      <c r="L57" s="74" t="s">
        <v>137</v>
      </c>
      <c r="M57" s="74" t="s">
        <v>19</v>
      </c>
      <c r="N57" s="74" t="str">
        <f>IFERROR(__xludf.DUMMYFUNCTION("""COMPUTED_VALUE"""),"")</f>
        <v/>
      </c>
      <c r="O57" s="74" t="str">
        <f>IFERROR(__xludf.DUMMYFUNCTION("""COMPUTED_VALUE"""),"")</f>
        <v/>
      </c>
      <c r="P57" s="74" t="str">
        <f>IFERROR(__xludf.DUMMYFUNCTION("""COMPUTED_VALUE"""),"")</f>
        <v/>
      </c>
    </row>
    <row r="58">
      <c r="A58" s="60">
        <v>45701.70325734954</v>
      </c>
      <c r="B58" s="81" t="s">
        <v>172</v>
      </c>
      <c r="C58" s="74" t="b">
        <v>0</v>
      </c>
      <c r="E58" s="82"/>
      <c r="G58" s="82"/>
      <c r="H58" s="74">
        <v>170.0</v>
      </c>
      <c r="I58" s="84"/>
      <c r="J58" s="74" t="s">
        <v>11</v>
      </c>
      <c r="K58" s="61">
        <v>45701.0</v>
      </c>
      <c r="L58" s="74" t="s">
        <v>137</v>
      </c>
      <c r="M58" s="74" t="s">
        <v>18</v>
      </c>
      <c r="N58" s="74" t="str">
        <f>IFERROR(__xludf.DUMMYFUNCTION("""COMPUTED_VALUE"""),"")</f>
        <v/>
      </c>
      <c r="O58" s="74" t="str">
        <f>IFERROR(__xludf.DUMMYFUNCTION("""COMPUTED_VALUE"""),"")</f>
        <v/>
      </c>
      <c r="P58" s="74" t="str">
        <f>IFERROR(__xludf.DUMMYFUNCTION("""COMPUTED_VALUE"""),"")</f>
        <v/>
      </c>
    </row>
    <row r="59">
      <c r="A59" s="60">
        <v>45701.78963363426</v>
      </c>
      <c r="B59" s="81" t="s">
        <v>171</v>
      </c>
      <c r="C59" s="74" t="b">
        <v>0</v>
      </c>
      <c r="E59" s="82"/>
      <c r="G59" s="82"/>
      <c r="H59" s="74">
        <v>65.0</v>
      </c>
      <c r="I59" s="84"/>
      <c r="J59" s="74" t="s">
        <v>12</v>
      </c>
      <c r="K59" s="61">
        <v>45701.0</v>
      </c>
      <c r="L59" s="74" t="s">
        <v>137</v>
      </c>
      <c r="M59" s="74" t="s">
        <v>18</v>
      </c>
      <c r="N59" s="74">
        <f>IFERROR(__xludf.DUMMYFUNCTION("""COMPUTED_VALUE"""),368.0)</f>
        <v>368</v>
      </c>
      <c r="O59" s="74">
        <f>IFERROR(__xludf.DUMMYFUNCTION("""COMPUTED_VALUE"""),179.0)</f>
        <v>179</v>
      </c>
      <c r="P59" s="74">
        <f>IFERROR(__xludf.DUMMYFUNCTION("""COMPUTED_VALUE"""),547.0)</f>
        <v>547</v>
      </c>
    </row>
    <row r="60">
      <c r="A60" s="60">
        <v>45702.4138437037</v>
      </c>
      <c r="B60" s="81" t="s">
        <v>136</v>
      </c>
      <c r="C60" s="74" t="b">
        <v>0</v>
      </c>
      <c r="E60" s="82"/>
      <c r="G60" s="82"/>
      <c r="H60" s="74">
        <v>41.0</v>
      </c>
      <c r="I60" s="84"/>
      <c r="J60" s="74" t="s">
        <v>10</v>
      </c>
      <c r="K60" s="61">
        <v>45702.0</v>
      </c>
      <c r="L60" s="74" t="s">
        <v>138</v>
      </c>
      <c r="M60" s="74" t="s">
        <v>19</v>
      </c>
      <c r="N60" s="74" t="str">
        <f>IFERROR(__xludf.DUMMYFUNCTION("""COMPUTED_VALUE"""),"")</f>
        <v/>
      </c>
      <c r="O60" s="74" t="str">
        <f>IFERROR(__xludf.DUMMYFUNCTION("""COMPUTED_VALUE"""),"")</f>
        <v/>
      </c>
      <c r="P60" s="74" t="str">
        <f>IFERROR(__xludf.DUMMYFUNCTION("""COMPUTED_VALUE"""),"")</f>
        <v/>
      </c>
    </row>
    <row r="61">
      <c r="A61" s="60">
        <v>45702.57749506945</v>
      </c>
      <c r="B61" s="81" t="s">
        <v>172</v>
      </c>
      <c r="C61" s="74" t="b">
        <v>0</v>
      </c>
      <c r="E61" s="82"/>
      <c r="G61" s="82"/>
      <c r="H61" s="74">
        <v>110.0</v>
      </c>
      <c r="I61" s="84"/>
      <c r="J61" s="74" t="s">
        <v>11</v>
      </c>
      <c r="K61" s="61">
        <v>45702.0</v>
      </c>
      <c r="L61" s="74" t="s">
        <v>138</v>
      </c>
      <c r="M61" s="74" t="s">
        <v>19</v>
      </c>
      <c r="N61" s="74" t="str">
        <f>IFERROR(__xludf.DUMMYFUNCTION("""COMPUTED_VALUE"""),"")</f>
        <v/>
      </c>
      <c r="O61" s="74" t="str">
        <f>IFERROR(__xludf.DUMMYFUNCTION("""COMPUTED_VALUE"""),"")</f>
        <v/>
      </c>
      <c r="P61" s="74" t="str">
        <f>IFERROR(__xludf.DUMMYFUNCTION("""COMPUTED_VALUE"""),"")</f>
        <v/>
      </c>
    </row>
    <row r="62">
      <c r="A62" s="60">
        <v>45709.816878125</v>
      </c>
      <c r="B62" s="81" t="s">
        <v>134</v>
      </c>
      <c r="C62" s="74" t="b">
        <v>0</v>
      </c>
      <c r="E62" s="82"/>
      <c r="G62" s="82"/>
      <c r="H62" s="74">
        <v>109.0</v>
      </c>
      <c r="I62" s="84"/>
      <c r="J62" s="74" t="s">
        <v>12</v>
      </c>
      <c r="K62" s="61">
        <v>45702.0</v>
      </c>
      <c r="L62" s="74" t="s">
        <v>138</v>
      </c>
      <c r="M62" s="74" t="s">
        <v>18</v>
      </c>
      <c r="N62" s="74">
        <f>IFERROR(__xludf.DUMMYFUNCTION("""COMPUTED_VALUE"""),109.0)</f>
        <v>109</v>
      </c>
      <c r="O62" s="74">
        <f>IFERROR(__xludf.DUMMYFUNCTION("""COMPUTED_VALUE"""),151.0)</f>
        <v>151</v>
      </c>
      <c r="P62" s="74">
        <f>IFERROR(__xludf.DUMMYFUNCTION("""COMPUTED_VALUE"""),260.0)</f>
        <v>260</v>
      </c>
    </row>
    <row r="63">
      <c r="A63" s="60">
        <v>45706.52407671297</v>
      </c>
      <c r="B63" s="81" t="s">
        <v>167</v>
      </c>
      <c r="C63" s="74" t="b">
        <v>0</v>
      </c>
      <c r="E63" s="82"/>
      <c r="G63" s="82"/>
      <c r="H63" s="74">
        <v>63.0</v>
      </c>
      <c r="I63" s="84"/>
      <c r="J63" s="74" t="s">
        <v>10</v>
      </c>
      <c r="K63" s="61">
        <v>45706.0</v>
      </c>
      <c r="L63" s="74" t="s">
        <v>132</v>
      </c>
      <c r="M63" s="74" t="s">
        <v>19</v>
      </c>
      <c r="N63" s="74" t="str">
        <f>IFERROR(__xludf.DUMMYFUNCTION("""COMPUTED_VALUE"""),"")</f>
        <v/>
      </c>
      <c r="O63" s="74" t="str">
        <f>IFERROR(__xludf.DUMMYFUNCTION("""COMPUTED_VALUE"""),"")</f>
        <v/>
      </c>
      <c r="P63" s="74" t="str">
        <f>IFERROR(__xludf.DUMMYFUNCTION("""COMPUTED_VALUE"""),"")</f>
        <v/>
      </c>
    </row>
    <row r="64">
      <c r="A64" s="60">
        <v>45706.6153730787</v>
      </c>
      <c r="B64" s="81" t="s">
        <v>148</v>
      </c>
      <c r="C64" s="74" t="b">
        <v>0</v>
      </c>
      <c r="E64" s="82"/>
      <c r="G64" s="82"/>
      <c r="H64" s="74">
        <v>116.0</v>
      </c>
      <c r="I64" s="84"/>
      <c r="J64" s="74" t="s">
        <v>11</v>
      </c>
      <c r="K64" s="61">
        <v>45706.0</v>
      </c>
      <c r="L64" s="74" t="s">
        <v>132</v>
      </c>
      <c r="M64" s="74" t="s">
        <v>19</v>
      </c>
      <c r="N64" s="74" t="str">
        <f>IFERROR(__xludf.DUMMYFUNCTION("""COMPUTED_VALUE"""),"")</f>
        <v/>
      </c>
      <c r="O64" s="74" t="str">
        <f>IFERROR(__xludf.DUMMYFUNCTION("""COMPUTED_VALUE"""),"")</f>
        <v/>
      </c>
      <c r="P64" s="74" t="str">
        <f>IFERROR(__xludf.DUMMYFUNCTION("""COMPUTED_VALUE"""),"")</f>
        <v/>
      </c>
    </row>
    <row r="65">
      <c r="A65" s="60">
        <v>45706.74029508102</v>
      </c>
      <c r="B65" s="81" t="s">
        <v>167</v>
      </c>
      <c r="C65" s="74" t="b">
        <v>0</v>
      </c>
      <c r="E65" s="82"/>
      <c r="G65" s="82"/>
      <c r="H65" s="74">
        <v>109.0</v>
      </c>
      <c r="I65" s="84"/>
      <c r="J65" s="74" t="s">
        <v>11</v>
      </c>
      <c r="K65" s="61">
        <v>45706.0</v>
      </c>
      <c r="L65" s="74" t="s">
        <v>132</v>
      </c>
      <c r="M65" s="74" t="s">
        <v>18</v>
      </c>
      <c r="N65" s="74" t="str">
        <f>IFERROR(__xludf.DUMMYFUNCTION("""COMPUTED_VALUE"""),"")</f>
        <v/>
      </c>
      <c r="O65" s="74" t="str">
        <f>IFERROR(__xludf.DUMMYFUNCTION("""COMPUTED_VALUE"""),"")</f>
        <v/>
      </c>
      <c r="P65" s="74" t="str">
        <f>IFERROR(__xludf.DUMMYFUNCTION("""COMPUTED_VALUE"""),"")</f>
        <v/>
      </c>
    </row>
    <row r="66">
      <c r="A66" s="60">
        <v>45706.87882736111</v>
      </c>
      <c r="B66" s="81" t="s">
        <v>149</v>
      </c>
      <c r="C66" s="74" t="b">
        <v>0</v>
      </c>
      <c r="E66" s="82"/>
      <c r="G66" s="82"/>
      <c r="H66" s="74">
        <v>120.0</v>
      </c>
      <c r="I66" s="84"/>
      <c r="J66" s="74" t="s">
        <v>12</v>
      </c>
      <c r="K66" s="61">
        <v>45706.0</v>
      </c>
      <c r="L66" s="74" t="s">
        <v>132</v>
      </c>
      <c r="M66" s="74" t="s">
        <v>19</v>
      </c>
      <c r="N66" s="74">
        <f>IFERROR(__xludf.DUMMYFUNCTION("""COMPUTED_VALUE"""),109.0)</f>
        <v>109</v>
      </c>
      <c r="O66" s="74">
        <f>IFERROR(__xludf.DUMMYFUNCTION("""COMPUTED_VALUE"""),299.0)</f>
        <v>299</v>
      </c>
      <c r="P66" s="74">
        <f>IFERROR(__xludf.DUMMYFUNCTION("""COMPUTED_VALUE"""),408.0)</f>
        <v>408</v>
      </c>
    </row>
    <row r="67">
      <c r="A67" s="60">
        <v>45707.43697265047</v>
      </c>
      <c r="B67" s="81" t="s">
        <v>170</v>
      </c>
      <c r="C67" s="74" t="b">
        <v>0</v>
      </c>
      <c r="E67" s="82"/>
      <c r="G67" s="82"/>
      <c r="H67" s="74">
        <v>107.0</v>
      </c>
      <c r="I67" s="84"/>
      <c r="J67" s="74" t="s">
        <v>10</v>
      </c>
      <c r="K67" s="61">
        <v>45707.0</v>
      </c>
      <c r="L67" s="74" t="s">
        <v>135</v>
      </c>
      <c r="M67" s="74" t="s">
        <v>19</v>
      </c>
      <c r="N67" s="74" t="str">
        <f>IFERROR(__xludf.DUMMYFUNCTION("""COMPUTED_VALUE"""),"")</f>
        <v/>
      </c>
      <c r="O67" s="74" t="str">
        <f>IFERROR(__xludf.DUMMYFUNCTION("""COMPUTED_VALUE"""),"")</f>
        <v/>
      </c>
      <c r="P67" s="74" t="str">
        <f>IFERROR(__xludf.DUMMYFUNCTION("""COMPUTED_VALUE"""),"")</f>
        <v/>
      </c>
    </row>
    <row r="68">
      <c r="A68" s="60">
        <v>45707.68789539352</v>
      </c>
      <c r="B68" s="81" t="s">
        <v>171</v>
      </c>
      <c r="C68" s="74" t="b">
        <v>0</v>
      </c>
      <c r="E68" s="82"/>
      <c r="G68" s="82"/>
      <c r="H68" s="74">
        <v>74.0</v>
      </c>
      <c r="I68" s="84"/>
      <c r="J68" s="74" t="s">
        <v>11</v>
      </c>
      <c r="K68" s="61">
        <v>45707.0</v>
      </c>
      <c r="L68" s="74" t="s">
        <v>135</v>
      </c>
      <c r="M68" s="74" t="s">
        <v>18</v>
      </c>
      <c r="N68" s="74" t="str">
        <f>IFERROR(__xludf.DUMMYFUNCTION("""COMPUTED_VALUE"""),"")</f>
        <v/>
      </c>
      <c r="O68" s="74" t="str">
        <f>IFERROR(__xludf.DUMMYFUNCTION("""COMPUTED_VALUE"""),"")</f>
        <v/>
      </c>
      <c r="P68" s="74" t="str">
        <f>IFERROR(__xludf.DUMMYFUNCTION("""COMPUTED_VALUE"""),"")</f>
        <v/>
      </c>
    </row>
    <row r="69">
      <c r="A69" s="60">
        <v>45707.88982784722</v>
      </c>
      <c r="B69" s="81" t="s">
        <v>168</v>
      </c>
      <c r="C69" s="74" t="b">
        <v>0</v>
      </c>
      <c r="E69" s="82"/>
      <c r="G69" s="82"/>
      <c r="H69" s="74">
        <v>456.0</v>
      </c>
      <c r="I69" s="84"/>
      <c r="J69" s="74" t="s">
        <v>12</v>
      </c>
      <c r="K69" s="61">
        <v>45707.0</v>
      </c>
      <c r="L69" s="74" t="s">
        <v>135</v>
      </c>
      <c r="M69" s="74" t="s">
        <v>18</v>
      </c>
      <c r="N69" s="74" t="str">
        <f>IFERROR(__xludf.DUMMYFUNCTION("""COMPUTED_VALUE"""),"")</f>
        <v/>
      </c>
      <c r="O69" s="74" t="str">
        <f>IFERROR(__xludf.DUMMYFUNCTION("""COMPUTED_VALUE"""),"")</f>
        <v/>
      </c>
      <c r="P69" s="74" t="str">
        <f>IFERROR(__xludf.DUMMYFUNCTION("""COMPUTED_VALUE"""),"")</f>
        <v/>
      </c>
    </row>
    <row r="70">
      <c r="A70" s="60">
        <v>45708.58594006945</v>
      </c>
      <c r="B70" s="81" t="s">
        <v>153</v>
      </c>
      <c r="C70" s="74" t="b">
        <v>0</v>
      </c>
      <c r="E70" s="82"/>
      <c r="G70" s="82"/>
      <c r="H70" s="74">
        <v>159.0</v>
      </c>
      <c r="I70" s="84"/>
      <c r="J70" s="74" t="s">
        <v>11</v>
      </c>
      <c r="K70" s="61">
        <v>45707.0</v>
      </c>
      <c r="L70" s="74" t="s">
        <v>135</v>
      </c>
      <c r="M70" s="74" t="s">
        <v>19</v>
      </c>
      <c r="N70" s="74">
        <f>IFERROR(__xludf.DUMMYFUNCTION("""COMPUTED_VALUE"""),530.0)</f>
        <v>530</v>
      </c>
      <c r="O70" s="74">
        <f>IFERROR(__xludf.DUMMYFUNCTION("""COMPUTED_VALUE"""),266.0)</f>
        <v>266</v>
      </c>
      <c r="P70" s="74">
        <f>IFERROR(__xludf.DUMMYFUNCTION("""COMPUTED_VALUE"""),796.0)</f>
        <v>796</v>
      </c>
    </row>
    <row r="71">
      <c r="A71" s="60">
        <v>45708.41108980324</v>
      </c>
      <c r="B71" s="81" t="s">
        <v>136</v>
      </c>
      <c r="C71" s="74" t="b">
        <v>0</v>
      </c>
      <c r="E71" s="82"/>
      <c r="G71" s="82"/>
      <c r="H71" s="74">
        <v>61.0</v>
      </c>
      <c r="I71" s="84"/>
      <c r="J71" s="74" t="s">
        <v>10</v>
      </c>
      <c r="K71" s="61">
        <v>45708.0</v>
      </c>
      <c r="L71" s="74" t="s">
        <v>137</v>
      </c>
      <c r="M71" s="74" t="s">
        <v>19</v>
      </c>
      <c r="N71" s="74" t="str">
        <f>IFERROR(__xludf.DUMMYFUNCTION("""COMPUTED_VALUE"""),"")</f>
        <v/>
      </c>
      <c r="O71" s="74" t="str">
        <f>IFERROR(__xludf.DUMMYFUNCTION("""COMPUTED_VALUE"""),"")</f>
        <v/>
      </c>
      <c r="P71" s="74" t="str">
        <f>IFERROR(__xludf.DUMMYFUNCTION("""COMPUTED_VALUE"""),"")</f>
        <v/>
      </c>
    </row>
    <row r="72">
      <c r="A72" s="60">
        <v>45708.62260802084</v>
      </c>
      <c r="B72" s="81" t="s">
        <v>148</v>
      </c>
      <c r="C72" s="74" t="b">
        <v>0</v>
      </c>
      <c r="E72" s="82"/>
      <c r="G72" s="82"/>
      <c r="H72" s="74">
        <v>100.0</v>
      </c>
      <c r="I72" s="84"/>
      <c r="J72" s="74" t="s">
        <v>11</v>
      </c>
      <c r="K72" s="61">
        <v>45708.0</v>
      </c>
      <c r="L72" s="74" t="s">
        <v>137</v>
      </c>
      <c r="M72" s="74" t="s">
        <v>19</v>
      </c>
      <c r="N72" s="74" t="str">
        <f>IFERROR(__xludf.DUMMYFUNCTION("""COMPUTED_VALUE"""),"")</f>
        <v/>
      </c>
      <c r="O72" s="74" t="str">
        <f>IFERROR(__xludf.DUMMYFUNCTION("""COMPUTED_VALUE"""),"")</f>
        <v/>
      </c>
      <c r="P72" s="74" t="str">
        <f>IFERROR(__xludf.DUMMYFUNCTION("""COMPUTED_VALUE"""),"")</f>
        <v/>
      </c>
    </row>
    <row r="73">
      <c r="A73" s="60">
        <v>45709.12182408565</v>
      </c>
      <c r="B73" s="81" t="s">
        <v>171</v>
      </c>
      <c r="C73" s="74" t="b">
        <v>0</v>
      </c>
      <c r="E73" s="82"/>
      <c r="G73" s="82"/>
      <c r="H73" s="74">
        <v>157.0</v>
      </c>
      <c r="I73" s="84"/>
      <c r="J73" s="74" t="s">
        <v>12</v>
      </c>
      <c r="K73" s="61">
        <v>45708.0</v>
      </c>
      <c r="L73" s="74" t="s">
        <v>137</v>
      </c>
      <c r="M73" s="74" t="s">
        <v>18</v>
      </c>
      <c r="N73" s="74" t="str">
        <f>IFERROR(__xludf.DUMMYFUNCTION("""COMPUTED_VALUE"""),"")</f>
        <v/>
      </c>
      <c r="O73" s="74" t="str">
        <f>IFERROR(__xludf.DUMMYFUNCTION("""COMPUTED_VALUE"""),"")</f>
        <v/>
      </c>
      <c r="P73" s="74" t="str">
        <f>IFERROR(__xludf.DUMMYFUNCTION("""COMPUTED_VALUE"""),"")</f>
        <v/>
      </c>
    </row>
    <row r="74">
      <c r="A74" s="60">
        <v>45709.54238133102</v>
      </c>
      <c r="B74" s="81" t="s">
        <v>172</v>
      </c>
      <c r="C74" s="74" t="b">
        <v>0</v>
      </c>
      <c r="E74" s="82"/>
      <c r="G74" s="82"/>
      <c r="H74" s="74">
        <v>180.0</v>
      </c>
      <c r="I74" s="84"/>
      <c r="J74" s="74" t="s">
        <v>11</v>
      </c>
      <c r="K74" s="61">
        <v>45708.0</v>
      </c>
      <c r="L74" s="74" t="s">
        <v>137</v>
      </c>
      <c r="M74" s="74" t="s">
        <v>18</v>
      </c>
      <c r="N74" s="74">
        <f>IFERROR(__xludf.DUMMYFUNCTION("""COMPUTED_VALUE"""),337.0)</f>
        <v>337</v>
      </c>
      <c r="O74" s="74">
        <f>IFERROR(__xludf.DUMMYFUNCTION("""COMPUTED_VALUE"""),161.0)</f>
        <v>161</v>
      </c>
      <c r="P74" s="74">
        <f>IFERROR(__xludf.DUMMYFUNCTION("""COMPUTED_VALUE"""),498.0)</f>
        <v>498</v>
      </c>
    </row>
    <row r="75">
      <c r="A75" s="60">
        <v>45709.57974533565</v>
      </c>
      <c r="B75" s="81" t="s">
        <v>172</v>
      </c>
      <c r="C75" s="74" t="b">
        <v>0</v>
      </c>
      <c r="E75" s="82"/>
      <c r="G75" s="82"/>
      <c r="H75" s="74">
        <v>149.0</v>
      </c>
      <c r="I75" s="84"/>
      <c r="J75" s="74" t="s">
        <v>11</v>
      </c>
      <c r="K75" s="61">
        <v>45709.0</v>
      </c>
      <c r="L75" s="74" t="s">
        <v>138</v>
      </c>
      <c r="M75" s="74" t="s">
        <v>19</v>
      </c>
      <c r="N75" s="74" t="str">
        <f>IFERROR(__xludf.DUMMYFUNCTION("""COMPUTED_VALUE"""),"")</f>
        <v/>
      </c>
      <c r="O75" s="74" t="str">
        <f>IFERROR(__xludf.DUMMYFUNCTION("""COMPUTED_VALUE"""),"")</f>
        <v/>
      </c>
      <c r="P75" s="74" t="str">
        <f>IFERROR(__xludf.DUMMYFUNCTION("""COMPUTED_VALUE"""),"")</f>
        <v/>
      </c>
    </row>
    <row r="76">
      <c r="A76" s="60">
        <v>45709.61592010417</v>
      </c>
      <c r="B76" s="81" t="s">
        <v>136</v>
      </c>
      <c r="C76" s="74" t="b">
        <v>0</v>
      </c>
      <c r="E76" s="82"/>
      <c r="G76" s="82"/>
      <c r="H76" s="74">
        <v>54.0</v>
      </c>
      <c r="I76" s="84"/>
      <c r="J76" s="74" t="s">
        <v>10</v>
      </c>
      <c r="K76" s="61">
        <v>45709.0</v>
      </c>
      <c r="L76" s="74" t="s">
        <v>138</v>
      </c>
      <c r="M76" s="74" t="s">
        <v>19</v>
      </c>
      <c r="N76" s="74" t="str">
        <f>IFERROR(__xludf.DUMMYFUNCTION("""COMPUTED_VALUE"""),"")</f>
        <v/>
      </c>
      <c r="O76" s="74" t="str">
        <f>IFERROR(__xludf.DUMMYFUNCTION("""COMPUTED_VALUE"""),"")</f>
        <v/>
      </c>
      <c r="P76" s="74" t="str">
        <f>IFERROR(__xludf.DUMMYFUNCTION("""COMPUTED_VALUE"""),"")</f>
        <v/>
      </c>
    </row>
    <row r="77">
      <c r="A77" s="60">
        <v>45709.6362371875</v>
      </c>
      <c r="B77" s="81" t="s">
        <v>171</v>
      </c>
      <c r="C77" s="74" t="b">
        <v>0</v>
      </c>
      <c r="E77" s="82"/>
      <c r="G77" s="82"/>
      <c r="H77" s="74">
        <v>121.0</v>
      </c>
      <c r="I77" s="84"/>
      <c r="J77" s="74" t="s">
        <v>11</v>
      </c>
      <c r="K77" s="61">
        <v>45709.0</v>
      </c>
      <c r="L77" s="74" t="s">
        <v>138</v>
      </c>
      <c r="M77" s="74" t="s">
        <v>18</v>
      </c>
      <c r="N77" s="74" t="str">
        <f>IFERROR(__xludf.DUMMYFUNCTION("""COMPUTED_VALUE"""),"")</f>
        <v/>
      </c>
      <c r="O77" s="74" t="str">
        <f>IFERROR(__xludf.DUMMYFUNCTION("""COMPUTED_VALUE"""),"")</f>
        <v/>
      </c>
      <c r="P77" s="74" t="str">
        <f>IFERROR(__xludf.DUMMYFUNCTION("""COMPUTED_VALUE"""),"")</f>
        <v/>
      </c>
    </row>
    <row r="78">
      <c r="A78" s="60">
        <v>45709.83111109953</v>
      </c>
      <c r="B78" s="81" t="s">
        <v>134</v>
      </c>
      <c r="C78" s="74" t="b">
        <v>0</v>
      </c>
      <c r="E78" s="82"/>
      <c r="G78" s="82"/>
      <c r="H78" s="74">
        <v>346.0</v>
      </c>
      <c r="I78" s="84"/>
      <c r="J78" s="74" t="s">
        <v>12</v>
      </c>
      <c r="K78" s="61">
        <v>45709.0</v>
      </c>
      <c r="L78" s="74" t="s">
        <v>138</v>
      </c>
      <c r="M78" s="74" t="s">
        <v>18</v>
      </c>
      <c r="N78" s="74">
        <f>IFERROR(__xludf.DUMMYFUNCTION("""COMPUTED_VALUE"""),467.0)</f>
        <v>467</v>
      </c>
      <c r="O78" s="74">
        <f>IFERROR(__xludf.DUMMYFUNCTION("""COMPUTED_VALUE"""),203.0)</f>
        <v>203</v>
      </c>
      <c r="P78" s="74">
        <f>IFERROR(__xludf.DUMMYFUNCTION("""COMPUTED_VALUE"""),670.0)</f>
        <v>670</v>
      </c>
    </row>
    <row r="79">
      <c r="A79" s="60">
        <v>45712.45446392361</v>
      </c>
      <c r="B79" s="81" t="s">
        <v>170</v>
      </c>
      <c r="C79" s="74" t="b">
        <v>0</v>
      </c>
      <c r="E79" s="82"/>
      <c r="G79" s="82"/>
      <c r="H79" s="74">
        <v>131.0</v>
      </c>
      <c r="I79" s="84"/>
      <c r="J79" s="74" t="s">
        <v>10</v>
      </c>
      <c r="K79" s="61">
        <v>45712.0</v>
      </c>
      <c r="L79" s="74" t="s">
        <v>129</v>
      </c>
      <c r="M79" s="74" t="s">
        <v>19</v>
      </c>
      <c r="N79" s="74" t="str">
        <f>IFERROR(__xludf.DUMMYFUNCTION("""COMPUTED_VALUE"""),"")</f>
        <v/>
      </c>
      <c r="O79" s="74" t="str">
        <f>IFERROR(__xludf.DUMMYFUNCTION("""COMPUTED_VALUE"""),"")</f>
        <v/>
      </c>
      <c r="P79" s="74" t="str">
        <f>IFERROR(__xludf.DUMMYFUNCTION("""COMPUTED_VALUE"""),"")</f>
        <v/>
      </c>
    </row>
    <row r="80">
      <c r="A80" s="60">
        <v>45712.71152118056</v>
      </c>
      <c r="B80" s="81" t="s">
        <v>153</v>
      </c>
      <c r="C80" s="74" t="b">
        <v>0</v>
      </c>
      <c r="E80" s="82"/>
      <c r="G80" s="82"/>
      <c r="H80" s="74">
        <v>162.0</v>
      </c>
      <c r="I80" s="84"/>
      <c r="J80" s="74" t="s">
        <v>11</v>
      </c>
      <c r="K80" s="61">
        <v>45712.0</v>
      </c>
      <c r="L80" s="74" t="s">
        <v>129</v>
      </c>
      <c r="M80" s="74" t="s">
        <v>19</v>
      </c>
      <c r="N80" s="74" t="str">
        <f>IFERROR(__xludf.DUMMYFUNCTION("""COMPUTED_VALUE"""),"")</f>
        <v/>
      </c>
      <c r="O80" s="74" t="str">
        <f>IFERROR(__xludf.DUMMYFUNCTION("""COMPUTED_VALUE"""),"")</f>
        <v/>
      </c>
      <c r="P80" s="74" t="str">
        <f>IFERROR(__xludf.DUMMYFUNCTION("""COMPUTED_VALUE"""),"")</f>
        <v/>
      </c>
    </row>
    <row r="81">
      <c r="A81" s="60">
        <v>45714.52004725694</v>
      </c>
      <c r="B81" s="81" t="s">
        <v>173</v>
      </c>
      <c r="C81" s="74" t="b">
        <v>0</v>
      </c>
      <c r="E81" s="82"/>
      <c r="G81" s="82"/>
      <c r="H81" s="74">
        <v>84.0</v>
      </c>
      <c r="I81" s="84"/>
      <c r="J81" s="74" t="s">
        <v>11</v>
      </c>
      <c r="K81" s="61">
        <v>45712.0</v>
      </c>
      <c r="L81" s="74" t="s">
        <v>129</v>
      </c>
      <c r="M81" s="74" t="s">
        <v>18</v>
      </c>
      <c r="N81" s="74" t="str">
        <f>IFERROR(__xludf.DUMMYFUNCTION("""COMPUTED_VALUE"""),"")</f>
        <v/>
      </c>
      <c r="O81" s="74" t="str">
        <f>IFERROR(__xludf.DUMMYFUNCTION("""COMPUTED_VALUE"""),"")</f>
        <v/>
      </c>
      <c r="P81" s="74" t="str">
        <f>IFERROR(__xludf.DUMMYFUNCTION("""COMPUTED_VALUE"""),"")</f>
        <v/>
      </c>
    </row>
    <row r="82">
      <c r="A82" s="60">
        <v>45712.87448568287</v>
      </c>
      <c r="B82" s="81" t="s">
        <v>149</v>
      </c>
      <c r="C82" s="74" t="b">
        <v>0</v>
      </c>
      <c r="E82" s="82"/>
      <c r="G82" s="82"/>
      <c r="H82" s="74">
        <v>143.0</v>
      </c>
      <c r="I82" s="84"/>
      <c r="J82" s="74" t="s">
        <v>12</v>
      </c>
      <c r="K82" s="61">
        <v>45712.0</v>
      </c>
      <c r="L82" s="74" t="s">
        <v>129</v>
      </c>
      <c r="M82" s="74" t="s">
        <v>19</v>
      </c>
      <c r="N82" s="74">
        <f>IFERROR(__xludf.DUMMYFUNCTION("""COMPUTED_VALUE"""),84.0)</f>
        <v>84</v>
      </c>
      <c r="O82" s="74">
        <f>IFERROR(__xludf.DUMMYFUNCTION("""COMPUTED_VALUE"""),436.0)</f>
        <v>436</v>
      </c>
      <c r="P82" s="74">
        <f>IFERROR(__xludf.DUMMYFUNCTION("""COMPUTED_VALUE"""),520.0)</f>
        <v>520</v>
      </c>
    </row>
    <row r="83">
      <c r="A83" s="60">
        <v>45713.50293648148</v>
      </c>
      <c r="B83" s="81" t="s">
        <v>167</v>
      </c>
      <c r="C83" s="74" t="b">
        <v>0</v>
      </c>
      <c r="E83" s="82"/>
      <c r="G83" s="82"/>
      <c r="H83" s="74">
        <v>78.0</v>
      </c>
      <c r="I83" s="84"/>
      <c r="J83" s="74" t="s">
        <v>10</v>
      </c>
      <c r="K83" s="61">
        <v>45713.0</v>
      </c>
      <c r="L83" s="74" t="s">
        <v>132</v>
      </c>
      <c r="M83" s="74" t="s">
        <v>19</v>
      </c>
      <c r="N83" s="74" t="str">
        <f>IFERROR(__xludf.DUMMYFUNCTION("""COMPUTED_VALUE"""),"")</f>
        <v/>
      </c>
      <c r="O83" s="74" t="str">
        <f>IFERROR(__xludf.DUMMYFUNCTION("""COMPUTED_VALUE"""),"")</f>
        <v/>
      </c>
      <c r="P83" s="74" t="str">
        <f>IFERROR(__xludf.DUMMYFUNCTION("""COMPUTED_VALUE"""),"")</f>
        <v/>
      </c>
    </row>
    <row r="84">
      <c r="A84" s="60">
        <v>45713.61268047454</v>
      </c>
      <c r="B84" s="81" t="s">
        <v>148</v>
      </c>
      <c r="C84" s="74" t="b">
        <v>0</v>
      </c>
      <c r="E84" s="82"/>
      <c r="G84" s="82"/>
      <c r="H84" s="74">
        <v>141.0</v>
      </c>
      <c r="I84" s="84"/>
      <c r="J84" s="74" t="s">
        <v>11</v>
      </c>
      <c r="K84" s="61">
        <v>45713.0</v>
      </c>
      <c r="L84" s="74" t="s">
        <v>132</v>
      </c>
      <c r="M84" s="74" t="s">
        <v>19</v>
      </c>
      <c r="N84" s="74" t="str">
        <f>IFERROR(__xludf.DUMMYFUNCTION("""COMPUTED_VALUE"""),"")</f>
        <v/>
      </c>
      <c r="O84" s="74" t="str">
        <f>IFERROR(__xludf.DUMMYFUNCTION("""COMPUTED_VALUE"""),"")</f>
        <v/>
      </c>
      <c r="P84" s="74" t="str">
        <f>IFERROR(__xludf.DUMMYFUNCTION("""COMPUTED_VALUE"""),"")</f>
        <v/>
      </c>
    </row>
    <row r="85">
      <c r="A85" s="60">
        <v>45713.63767238426</v>
      </c>
      <c r="B85" s="81" t="s">
        <v>167</v>
      </c>
      <c r="C85" s="74" t="b">
        <v>0</v>
      </c>
      <c r="E85" s="82"/>
      <c r="G85" s="82"/>
      <c r="H85" s="74">
        <v>153.0</v>
      </c>
      <c r="I85" s="84"/>
      <c r="J85" s="74" t="s">
        <v>11</v>
      </c>
      <c r="K85" s="61">
        <v>45713.0</v>
      </c>
      <c r="L85" s="74" t="s">
        <v>132</v>
      </c>
      <c r="M85" s="74" t="s">
        <v>18</v>
      </c>
      <c r="N85" s="74" t="str">
        <f>IFERROR(__xludf.DUMMYFUNCTION("""COMPUTED_VALUE"""),"")</f>
        <v/>
      </c>
      <c r="O85" s="74" t="str">
        <f>IFERROR(__xludf.DUMMYFUNCTION("""COMPUTED_VALUE"""),"")</f>
        <v/>
      </c>
      <c r="P85" s="74" t="str">
        <f>IFERROR(__xludf.DUMMYFUNCTION("""COMPUTED_VALUE"""),"")</f>
        <v/>
      </c>
    </row>
    <row r="86">
      <c r="A86" s="60">
        <v>45713.87502526621</v>
      </c>
      <c r="B86" s="81" t="s">
        <v>149</v>
      </c>
      <c r="C86" s="74" t="b">
        <v>0</v>
      </c>
      <c r="E86" s="82"/>
      <c r="G86" s="82"/>
      <c r="H86" s="74">
        <v>158.0</v>
      </c>
      <c r="I86" s="84"/>
      <c r="J86" s="74" t="s">
        <v>12</v>
      </c>
      <c r="K86" s="61">
        <v>45713.0</v>
      </c>
      <c r="L86" s="74" t="s">
        <v>132</v>
      </c>
      <c r="M86" s="74" t="s">
        <v>19</v>
      </c>
      <c r="N86" s="74">
        <f>IFERROR(__xludf.DUMMYFUNCTION("""COMPUTED_VALUE"""),153.0)</f>
        <v>153</v>
      </c>
      <c r="O86" s="74">
        <f>IFERROR(__xludf.DUMMYFUNCTION("""COMPUTED_VALUE"""),377.0)</f>
        <v>377</v>
      </c>
      <c r="P86" s="74">
        <f>IFERROR(__xludf.DUMMYFUNCTION("""COMPUTED_VALUE"""),530.0)</f>
        <v>530</v>
      </c>
    </row>
    <row r="87">
      <c r="A87" s="60">
        <v>45714.36989420139</v>
      </c>
      <c r="B87" s="81" t="s">
        <v>170</v>
      </c>
      <c r="C87" s="74" t="b">
        <v>0</v>
      </c>
      <c r="E87" s="82"/>
      <c r="G87" s="82"/>
      <c r="H87" s="74">
        <v>46.0</v>
      </c>
      <c r="I87" s="84"/>
      <c r="J87" s="74" t="s">
        <v>10</v>
      </c>
      <c r="K87" s="61">
        <v>45714.0</v>
      </c>
      <c r="L87" s="74" t="s">
        <v>135</v>
      </c>
      <c r="M87" s="74" t="s">
        <v>19</v>
      </c>
      <c r="N87" s="74" t="str">
        <f>IFERROR(__xludf.DUMMYFUNCTION("""COMPUTED_VALUE"""),"")</f>
        <v/>
      </c>
      <c r="O87" s="74" t="str">
        <f>IFERROR(__xludf.DUMMYFUNCTION("""COMPUTED_VALUE"""),"")</f>
        <v/>
      </c>
      <c r="P87" s="74" t="str">
        <f>IFERROR(__xludf.DUMMYFUNCTION("""COMPUTED_VALUE"""),"")</f>
        <v/>
      </c>
    </row>
    <row r="88">
      <c r="A88" s="60">
        <v>45714.42370984954</v>
      </c>
      <c r="B88" s="81" t="s">
        <v>170</v>
      </c>
      <c r="C88" s="74" t="b">
        <v>0</v>
      </c>
      <c r="E88" s="82"/>
      <c r="G88" s="82"/>
      <c r="H88" s="74">
        <v>48.0</v>
      </c>
      <c r="I88" s="84"/>
      <c r="J88" s="74" t="s">
        <v>10</v>
      </c>
      <c r="K88" s="61">
        <v>45714.0</v>
      </c>
      <c r="L88" s="74" t="s">
        <v>135</v>
      </c>
      <c r="M88" s="74" t="s">
        <v>19</v>
      </c>
      <c r="N88" s="74" t="str">
        <f>IFERROR(__xludf.DUMMYFUNCTION("""COMPUTED_VALUE"""),"")</f>
        <v/>
      </c>
      <c r="O88" s="74" t="str">
        <f>IFERROR(__xludf.DUMMYFUNCTION("""COMPUTED_VALUE"""),"")</f>
        <v/>
      </c>
      <c r="P88" s="74" t="str">
        <f>IFERROR(__xludf.DUMMYFUNCTION("""COMPUTED_VALUE"""),"")</f>
        <v/>
      </c>
    </row>
    <row r="89">
      <c r="A89" s="60">
        <v>45714.74915460648</v>
      </c>
      <c r="B89" s="81" t="s">
        <v>171</v>
      </c>
      <c r="C89" s="74" t="b">
        <v>0</v>
      </c>
      <c r="E89" s="82"/>
      <c r="G89" s="82"/>
      <c r="H89" s="74">
        <v>86.0</v>
      </c>
      <c r="I89" s="84"/>
      <c r="J89" s="74" t="s">
        <v>11</v>
      </c>
      <c r="K89" s="61">
        <v>45714.0</v>
      </c>
      <c r="L89" s="74" t="s">
        <v>135</v>
      </c>
      <c r="M89" s="74" t="s">
        <v>18</v>
      </c>
      <c r="N89" s="74" t="str">
        <f>IFERROR(__xludf.DUMMYFUNCTION("""COMPUTED_VALUE"""),"")</f>
        <v/>
      </c>
      <c r="O89" s="74" t="str">
        <f>IFERROR(__xludf.DUMMYFUNCTION("""COMPUTED_VALUE"""),"")</f>
        <v/>
      </c>
      <c r="P89" s="74" t="str">
        <f>IFERROR(__xludf.DUMMYFUNCTION("""COMPUTED_VALUE"""),"")</f>
        <v/>
      </c>
    </row>
    <row r="90">
      <c r="A90" s="60">
        <v>45714.75675534723</v>
      </c>
      <c r="B90" s="81" t="s">
        <v>168</v>
      </c>
      <c r="C90" s="74" t="b">
        <v>0</v>
      </c>
      <c r="E90" s="82"/>
      <c r="G90" s="82"/>
      <c r="H90" s="74">
        <v>109.0</v>
      </c>
      <c r="I90" s="84"/>
      <c r="J90" s="74" t="s">
        <v>12</v>
      </c>
      <c r="K90" s="61">
        <v>45714.0</v>
      </c>
      <c r="L90" s="74" t="s">
        <v>135</v>
      </c>
      <c r="M90" s="74" t="s">
        <v>18</v>
      </c>
      <c r="N90" s="74" t="str">
        <f>IFERROR(__xludf.DUMMYFUNCTION("""COMPUTED_VALUE"""),"")</f>
        <v/>
      </c>
      <c r="O90" s="74" t="str">
        <f>IFERROR(__xludf.DUMMYFUNCTION("""COMPUTED_VALUE"""),"")</f>
        <v/>
      </c>
      <c r="P90" s="74" t="str">
        <f>IFERROR(__xludf.DUMMYFUNCTION("""COMPUTED_VALUE"""),"")</f>
        <v/>
      </c>
    </row>
    <row r="91">
      <c r="A91" s="60">
        <v>45714.87074075232</v>
      </c>
      <c r="B91" s="81" t="s">
        <v>168</v>
      </c>
      <c r="C91" s="74" t="b">
        <v>0</v>
      </c>
      <c r="E91" s="82"/>
      <c r="G91" s="82"/>
      <c r="H91" s="74">
        <v>97.0</v>
      </c>
      <c r="I91" s="84"/>
      <c r="J91" s="74" t="s">
        <v>12</v>
      </c>
      <c r="K91" s="61">
        <v>45714.0</v>
      </c>
      <c r="L91" s="74" t="s">
        <v>135</v>
      </c>
      <c r="M91" s="74" t="s">
        <v>18</v>
      </c>
      <c r="N91" s="74">
        <f>IFERROR(__xludf.DUMMYFUNCTION("""COMPUTED_VALUE"""),292.0)</f>
        <v>292</v>
      </c>
      <c r="O91" s="74">
        <f>IFERROR(__xludf.DUMMYFUNCTION("""COMPUTED_VALUE"""),94.0)</f>
        <v>94</v>
      </c>
      <c r="P91" s="74">
        <f>IFERROR(__xludf.DUMMYFUNCTION("""COMPUTED_VALUE"""),386.0)</f>
        <v>386</v>
      </c>
    </row>
    <row r="92">
      <c r="A92" s="60">
        <v>45714.51712847222</v>
      </c>
      <c r="B92" s="81" t="s">
        <v>173</v>
      </c>
      <c r="C92" s="74" t="b">
        <v>0</v>
      </c>
      <c r="E92" s="82"/>
      <c r="G92" s="82"/>
      <c r="H92" s="74">
        <v>137.0</v>
      </c>
      <c r="I92" s="84"/>
      <c r="J92" s="74" t="s">
        <v>11</v>
      </c>
      <c r="K92" s="61">
        <v>45715.0</v>
      </c>
      <c r="L92" s="74" t="s">
        <v>137</v>
      </c>
      <c r="M92" s="74" t="s">
        <v>18</v>
      </c>
      <c r="N92" s="74" t="str">
        <f>IFERROR(__xludf.DUMMYFUNCTION("""COMPUTED_VALUE"""),"")</f>
        <v/>
      </c>
      <c r="O92" s="74" t="str">
        <f>IFERROR(__xludf.DUMMYFUNCTION("""COMPUTED_VALUE"""),"")</f>
        <v/>
      </c>
      <c r="P92" s="74" t="str">
        <f>IFERROR(__xludf.DUMMYFUNCTION("""COMPUTED_VALUE"""),"")</f>
        <v/>
      </c>
    </row>
    <row r="93">
      <c r="A93" s="60">
        <v>45715.41038087963</v>
      </c>
      <c r="B93" s="81" t="s">
        <v>136</v>
      </c>
      <c r="C93" s="74" t="b">
        <v>0</v>
      </c>
      <c r="E93" s="82"/>
      <c r="G93" s="82"/>
      <c r="H93" s="74">
        <v>99.0</v>
      </c>
      <c r="I93" s="84"/>
      <c r="J93" s="74" t="s">
        <v>10</v>
      </c>
      <c r="K93" s="61">
        <v>45715.0</v>
      </c>
      <c r="L93" s="74" t="s">
        <v>137</v>
      </c>
      <c r="M93" s="74" t="s">
        <v>19</v>
      </c>
      <c r="N93" s="74" t="str">
        <f>IFERROR(__xludf.DUMMYFUNCTION("""COMPUTED_VALUE"""),"")</f>
        <v/>
      </c>
      <c r="O93" s="74" t="str">
        <f>IFERROR(__xludf.DUMMYFUNCTION("""COMPUTED_VALUE"""),"")</f>
        <v/>
      </c>
      <c r="P93" s="74" t="str">
        <f>IFERROR(__xludf.DUMMYFUNCTION("""COMPUTED_VALUE"""),"")</f>
        <v/>
      </c>
    </row>
    <row r="94">
      <c r="A94" s="60">
        <v>45715.61812822917</v>
      </c>
      <c r="B94" s="81" t="s">
        <v>148</v>
      </c>
      <c r="C94" s="74" t="b">
        <v>0</v>
      </c>
      <c r="E94" s="82"/>
      <c r="G94" s="82"/>
      <c r="H94" s="74">
        <v>148.0</v>
      </c>
      <c r="I94" s="84"/>
      <c r="J94" s="74" t="s">
        <v>11</v>
      </c>
      <c r="K94" s="61">
        <v>45715.0</v>
      </c>
      <c r="L94" s="74" t="s">
        <v>137</v>
      </c>
      <c r="M94" s="74" t="s">
        <v>19</v>
      </c>
      <c r="N94" s="74" t="str">
        <f>IFERROR(__xludf.DUMMYFUNCTION("""COMPUTED_VALUE"""),"")</f>
        <v/>
      </c>
      <c r="O94" s="74" t="str">
        <f>IFERROR(__xludf.DUMMYFUNCTION("""COMPUTED_VALUE"""),"")</f>
        <v/>
      </c>
      <c r="P94" s="74" t="str">
        <f>IFERROR(__xludf.DUMMYFUNCTION("""COMPUTED_VALUE"""),"")</f>
        <v/>
      </c>
    </row>
    <row r="95">
      <c r="A95" s="60">
        <v>45715.69785201389</v>
      </c>
      <c r="B95" s="81" t="s">
        <v>172</v>
      </c>
      <c r="C95" s="74" t="b">
        <v>0</v>
      </c>
      <c r="E95" s="82"/>
      <c r="G95" s="82"/>
      <c r="H95" s="74">
        <v>194.0</v>
      </c>
      <c r="I95" s="84"/>
      <c r="J95" s="74" t="s">
        <v>11</v>
      </c>
      <c r="K95" s="61">
        <v>45715.0</v>
      </c>
      <c r="L95" s="74" t="s">
        <v>137</v>
      </c>
      <c r="M95" s="74" t="s">
        <v>18</v>
      </c>
      <c r="N95" s="74" t="str">
        <f>IFERROR(__xludf.DUMMYFUNCTION("""COMPUTED_VALUE"""),"")</f>
        <v/>
      </c>
      <c r="O95" s="74" t="str">
        <f>IFERROR(__xludf.DUMMYFUNCTION("""COMPUTED_VALUE"""),"")</f>
        <v/>
      </c>
      <c r="P95" s="74" t="str">
        <f>IFERROR(__xludf.DUMMYFUNCTION("""COMPUTED_VALUE"""),"")</f>
        <v/>
      </c>
    </row>
    <row r="96">
      <c r="A96" s="60">
        <v>45716.02655560185</v>
      </c>
      <c r="B96" s="81" t="s">
        <v>171</v>
      </c>
      <c r="C96" s="74" t="b">
        <v>0</v>
      </c>
      <c r="E96" s="82"/>
      <c r="G96" s="82"/>
      <c r="H96" s="74">
        <v>74.0</v>
      </c>
      <c r="I96" s="84"/>
      <c r="J96" s="74" t="s">
        <v>12</v>
      </c>
      <c r="K96" s="61">
        <v>45715.0</v>
      </c>
      <c r="L96" s="74" t="s">
        <v>137</v>
      </c>
      <c r="M96" s="74" t="s">
        <v>18</v>
      </c>
      <c r="N96" s="74">
        <f>IFERROR(__xludf.DUMMYFUNCTION("""COMPUTED_VALUE"""),405.0)</f>
        <v>405</v>
      </c>
      <c r="O96" s="74">
        <f>IFERROR(__xludf.DUMMYFUNCTION("""COMPUTED_VALUE"""),247.0)</f>
        <v>247</v>
      </c>
      <c r="P96" s="74">
        <f>IFERROR(__xludf.DUMMYFUNCTION("""COMPUTED_VALUE"""),652.0)</f>
        <v>652</v>
      </c>
    </row>
    <row r="97">
      <c r="A97" s="60">
        <v>45716.43643925926</v>
      </c>
      <c r="B97" s="81" t="s">
        <v>136</v>
      </c>
      <c r="C97" s="74" t="b">
        <v>0</v>
      </c>
      <c r="E97" s="82"/>
      <c r="G97" s="82"/>
      <c r="H97" s="74">
        <v>71.0</v>
      </c>
      <c r="I97" s="84"/>
      <c r="J97" s="74" t="s">
        <v>10</v>
      </c>
      <c r="K97" s="61">
        <v>45716.0</v>
      </c>
      <c r="L97" s="74" t="s">
        <v>138</v>
      </c>
      <c r="M97" s="74" t="s">
        <v>19</v>
      </c>
      <c r="N97" s="74" t="str">
        <f>IFERROR(__xludf.DUMMYFUNCTION("""COMPUTED_VALUE"""),"")</f>
        <v/>
      </c>
      <c r="O97" s="74" t="str">
        <f>IFERROR(__xludf.DUMMYFUNCTION("""COMPUTED_VALUE"""),"")</f>
        <v/>
      </c>
      <c r="P97" s="74" t="str">
        <f>IFERROR(__xludf.DUMMYFUNCTION("""COMPUTED_VALUE"""),"")</f>
        <v/>
      </c>
    </row>
    <row r="98">
      <c r="A98" s="60">
        <v>45716.58185446759</v>
      </c>
      <c r="B98" s="81" t="s">
        <v>172</v>
      </c>
      <c r="C98" s="74" t="b">
        <v>0</v>
      </c>
      <c r="E98" s="82"/>
      <c r="G98" s="82"/>
      <c r="H98" s="74">
        <v>129.0</v>
      </c>
      <c r="I98" s="84"/>
      <c r="J98" s="74" t="s">
        <v>11</v>
      </c>
      <c r="K98" s="61">
        <v>45716.0</v>
      </c>
      <c r="L98" s="74" t="s">
        <v>138</v>
      </c>
      <c r="M98" s="74" t="s">
        <v>19</v>
      </c>
      <c r="N98" s="74" t="str">
        <f>IFERROR(__xludf.DUMMYFUNCTION("""COMPUTED_VALUE"""),"")</f>
        <v/>
      </c>
      <c r="O98" s="74" t="str">
        <f>IFERROR(__xludf.DUMMYFUNCTION("""COMPUTED_VALUE"""),"")</f>
        <v/>
      </c>
      <c r="P98" s="74" t="str">
        <f>IFERROR(__xludf.DUMMYFUNCTION("""COMPUTED_VALUE"""),"")</f>
        <v/>
      </c>
    </row>
    <row r="99">
      <c r="A99" s="60">
        <v>45716.90464436343</v>
      </c>
      <c r="B99" s="81" t="s">
        <v>171</v>
      </c>
      <c r="C99" s="74" t="b">
        <v>0</v>
      </c>
      <c r="E99" s="82"/>
      <c r="G99" s="82"/>
      <c r="H99" s="74">
        <v>157.0</v>
      </c>
      <c r="I99" s="84"/>
      <c r="J99" s="74" t="s">
        <v>11</v>
      </c>
      <c r="K99" s="61">
        <v>45716.0</v>
      </c>
      <c r="L99" s="74" t="s">
        <v>138</v>
      </c>
      <c r="M99" s="74" t="s">
        <v>18</v>
      </c>
      <c r="N99" s="74" t="str">
        <f>IFERROR(__xludf.DUMMYFUNCTION("""COMPUTED_VALUE"""),"")</f>
        <v/>
      </c>
      <c r="O99" s="74" t="str">
        <f>IFERROR(__xludf.DUMMYFUNCTION("""COMPUTED_VALUE"""),"")</f>
        <v/>
      </c>
      <c r="P99" s="74" t="str">
        <f>IFERROR(__xludf.DUMMYFUNCTION("""COMPUTED_VALUE"""),"")</f>
        <v/>
      </c>
    </row>
    <row r="100">
      <c r="A100" s="60">
        <v>45723.80391787037</v>
      </c>
      <c r="B100" s="81" t="s">
        <v>134</v>
      </c>
      <c r="C100" s="74" t="b">
        <v>0</v>
      </c>
      <c r="E100" s="82"/>
      <c r="G100" s="82"/>
      <c r="H100" s="74">
        <v>162.0</v>
      </c>
      <c r="I100" s="84"/>
      <c r="J100" s="74" t="s">
        <v>12</v>
      </c>
      <c r="K100" s="61">
        <v>45716.0</v>
      </c>
      <c r="L100" s="74" t="s">
        <v>138</v>
      </c>
      <c r="M100" s="74" t="s">
        <v>18</v>
      </c>
      <c r="N100" s="74">
        <f>IFERROR(__xludf.DUMMYFUNCTION("""COMPUTED_VALUE"""),319.0)</f>
        <v>319</v>
      </c>
      <c r="O100" s="74">
        <f>IFERROR(__xludf.DUMMYFUNCTION("""COMPUTED_VALUE"""),200.0)</f>
        <v>200</v>
      </c>
      <c r="P100" s="74">
        <f>IFERROR(__xludf.DUMMYFUNCTION("""COMPUTED_VALUE"""),519.0)</f>
        <v>519</v>
      </c>
    </row>
    <row r="101">
      <c r="A101" s="60">
        <v>45719.43708381944</v>
      </c>
      <c r="B101" s="81" t="s">
        <v>170</v>
      </c>
      <c r="C101" s="74" t="b">
        <v>0</v>
      </c>
      <c r="E101" s="82"/>
      <c r="G101" s="82"/>
      <c r="H101" s="74">
        <v>100.0</v>
      </c>
      <c r="I101" s="84"/>
      <c r="J101" s="74" t="s">
        <v>10</v>
      </c>
      <c r="K101" s="61">
        <v>45719.0</v>
      </c>
      <c r="L101" s="74" t="s">
        <v>129</v>
      </c>
      <c r="M101" s="74" t="s">
        <v>19</v>
      </c>
      <c r="N101" s="74" t="str">
        <f>IFERROR(__xludf.DUMMYFUNCTION("""COMPUTED_VALUE"""),"")</f>
        <v/>
      </c>
      <c r="O101" s="74" t="str">
        <f>IFERROR(__xludf.DUMMYFUNCTION("""COMPUTED_VALUE"""),"")</f>
        <v/>
      </c>
      <c r="P101" s="74" t="str">
        <f>IFERROR(__xludf.DUMMYFUNCTION("""COMPUTED_VALUE"""),"")</f>
        <v/>
      </c>
    </row>
    <row r="102">
      <c r="A102" s="60">
        <v>45719.80542472222</v>
      </c>
      <c r="B102" s="81" t="s">
        <v>153</v>
      </c>
      <c r="C102" s="74" t="b">
        <v>0</v>
      </c>
      <c r="E102" s="82"/>
      <c r="G102" s="82"/>
      <c r="H102" s="74">
        <v>149.0</v>
      </c>
      <c r="I102" s="84"/>
      <c r="J102" s="74" t="s">
        <v>11</v>
      </c>
      <c r="K102" s="61">
        <v>45719.0</v>
      </c>
      <c r="L102" s="74" t="s">
        <v>129</v>
      </c>
      <c r="M102" s="74" t="s">
        <v>19</v>
      </c>
      <c r="N102" s="74" t="str">
        <f>IFERROR(__xludf.DUMMYFUNCTION("""COMPUTED_VALUE"""),"")</f>
        <v/>
      </c>
      <c r="O102" s="74" t="str">
        <f>IFERROR(__xludf.DUMMYFUNCTION("""COMPUTED_VALUE"""),"")</f>
        <v/>
      </c>
      <c r="P102" s="74" t="str">
        <f>IFERROR(__xludf.DUMMYFUNCTION("""COMPUTED_VALUE"""),"")</f>
        <v/>
      </c>
    </row>
    <row r="103">
      <c r="A103" s="60">
        <v>45719.86921488426</v>
      </c>
      <c r="B103" s="81" t="s">
        <v>168</v>
      </c>
      <c r="C103" s="74" t="b">
        <v>0</v>
      </c>
      <c r="E103" s="82"/>
      <c r="G103" s="82"/>
      <c r="H103" s="74">
        <v>182.0</v>
      </c>
      <c r="I103" s="84"/>
      <c r="J103" s="74" t="s">
        <v>12</v>
      </c>
      <c r="K103" s="61">
        <v>45719.0</v>
      </c>
      <c r="L103" s="74" t="s">
        <v>129</v>
      </c>
      <c r="M103" s="74" t="s">
        <v>18</v>
      </c>
      <c r="N103" s="74" t="str">
        <f>IFERROR(__xludf.DUMMYFUNCTION("""COMPUTED_VALUE"""),"")</f>
        <v/>
      </c>
      <c r="O103" s="74" t="str">
        <f>IFERROR(__xludf.DUMMYFUNCTION("""COMPUTED_VALUE"""),"")</f>
        <v/>
      </c>
      <c r="P103" s="74" t="str">
        <f>IFERROR(__xludf.DUMMYFUNCTION("""COMPUTED_VALUE"""),"")</f>
        <v/>
      </c>
    </row>
    <row r="104">
      <c r="A104" s="60">
        <v>45725.42979231481</v>
      </c>
      <c r="B104" s="81" t="s">
        <v>173</v>
      </c>
      <c r="C104" s="74" t="b">
        <v>0</v>
      </c>
      <c r="E104" s="82"/>
      <c r="G104" s="82"/>
      <c r="H104" s="74">
        <v>89.0</v>
      </c>
      <c r="I104" s="84"/>
      <c r="J104" s="74" t="s">
        <v>11</v>
      </c>
      <c r="K104" s="61">
        <v>45719.0</v>
      </c>
      <c r="L104" s="74" t="s">
        <v>129</v>
      </c>
      <c r="M104" s="74" t="s">
        <v>18</v>
      </c>
      <c r="N104" s="74" t="str">
        <f>IFERROR(__xludf.DUMMYFUNCTION("""COMPUTED_VALUE"""),"")</f>
        <v/>
      </c>
      <c r="O104" s="74" t="str">
        <f>IFERROR(__xludf.DUMMYFUNCTION("""COMPUTED_VALUE"""),"")</f>
        <v/>
      </c>
      <c r="P104" s="74" t="str">
        <f>IFERROR(__xludf.DUMMYFUNCTION("""COMPUTED_VALUE"""),"")</f>
        <v/>
      </c>
    </row>
    <row r="105">
      <c r="A105" s="60">
        <v>45719.8771768287</v>
      </c>
      <c r="B105" s="81" t="s">
        <v>149</v>
      </c>
      <c r="C105" s="74" t="b">
        <v>0</v>
      </c>
      <c r="E105" s="82"/>
      <c r="G105" s="82"/>
      <c r="H105" s="74">
        <v>135.0</v>
      </c>
      <c r="I105" s="84"/>
      <c r="J105" s="74" t="s">
        <v>12</v>
      </c>
      <c r="K105" s="61">
        <v>45719.0</v>
      </c>
      <c r="L105" s="74" t="s">
        <v>129</v>
      </c>
      <c r="M105" s="74" t="s">
        <v>19</v>
      </c>
      <c r="N105" s="74">
        <f>IFERROR(__xludf.DUMMYFUNCTION("""COMPUTED_VALUE"""),271.0)</f>
        <v>271</v>
      </c>
      <c r="O105" s="74">
        <f>IFERROR(__xludf.DUMMYFUNCTION("""COMPUTED_VALUE"""),384.0)</f>
        <v>384</v>
      </c>
      <c r="P105" s="74">
        <f>IFERROR(__xludf.DUMMYFUNCTION("""COMPUTED_VALUE"""),655.0)</f>
        <v>655</v>
      </c>
    </row>
    <row r="106">
      <c r="A106" s="60">
        <v>45720.57544275463</v>
      </c>
      <c r="B106" s="81" t="s">
        <v>167</v>
      </c>
      <c r="C106" s="74" t="b">
        <v>0</v>
      </c>
      <c r="E106" s="82"/>
      <c r="G106" s="82"/>
      <c r="H106" s="74">
        <v>53.0</v>
      </c>
      <c r="I106" s="84"/>
      <c r="J106" s="74" t="s">
        <v>11</v>
      </c>
      <c r="K106" s="61">
        <v>45720.0</v>
      </c>
      <c r="L106" s="74" t="s">
        <v>132</v>
      </c>
      <c r="M106" s="74" t="s">
        <v>18</v>
      </c>
      <c r="N106" s="74" t="str">
        <f>IFERROR(__xludf.DUMMYFUNCTION("""COMPUTED_VALUE"""),"")</f>
        <v/>
      </c>
      <c r="O106" s="74" t="str">
        <f>IFERROR(__xludf.DUMMYFUNCTION("""COMPUTED_VALUE"""),"")</f>
        <v/>
      </c>
      <c r="P106" s="74" t="str">
        <f>IFERROR(__xludf.DUMMYFUNCTION("""COMPUTED_VALUE"""),"")</f>
        <v/>
      </c>
    </row>
    <row r="107">
      <c r="A107" s="60">
        <v>45720.88419557871</v>
      </c>
      <c r="B107" s="81" t="s">
        <v>171</v>
      </c>
      <c r="C107" s="74" t="b">
        <v>0</v>
      </c>
      <c r="E107" s="82"/>
      <c r="G107" s="82"/>
      <c r="H107" s="74">
        <v>164.0</v>
      </c>
      <c r="I107" s="84"/>
      <c r="J107" s="74" t="s">
        <v>12</v>
      </c>
      <c r="K107" s="61">
        <v>45720.0</v>
      </c>
      <c r="L107" s="74" t="s">
        <v>132</v>
      </c>
      <c r="M107" s="74" t="s">
        <v>18</v>
      </c>
      <c r="N107" s="74">
        <f>IFERROR(__xludf.DUMMYFUNCTION("""COMPUTED_VALUE"""),217.0)</f>
        <v>217</v>
      </c>
      <c r="O107" s="74" t="str">
        <f>IFERROR(__xludf.DUMMYFUNCTION("""COMPUTED_VALUE"""),"")</f>
        <v/>
      </c>
      <c r="P107" s="74">
        <f>IFERROR(__xludf.DUMMYFUNCTION("""COMPUTED_VALUE"""),217.0)</f>
        <v>217</v>
      </c>
    </row>
    <row r="108">
      <c r="A108" s="60">
        <v>45721.4574687037</v>
      </c>
      <c r="B108" s="81" t="s">
        <v>170</v>
      </c>
      <c r="C108" s="74" t="b">
        <v>0</v>
      </c>
      <c r="E108" s="82"/>
      <c r="G108" s="82"/>
      <c r="H108" s="74">
        <v>84.0</v>
      </c>
      <c r="I108" s="84"/>
      <c r="J108" s="74" t="s">
        <v>10</v>
      </c>
      <c r="K108" s="61">
        <v>45721.0</v>
      </c>
      <c r="L108" s="74" t="s">
        <v>135</v>
      </c>
      <c r="M108" s="74" t="s">
        <v>19</v>
      </c>
      <c r="N108" s="74" t="str">
        <f>IFERROR(__xludf.DUMMYFUNCTION("""COMPUTED_VALUE"""),"")</f>
        <v/>
      </c>
      <c r="O108" s="74" t="str">
        <f>IFERROR(__xludf.DUMMYFUNCTION("""COMPUTED_VALUE"""),"")</f>
        <v/>
      </c>
      <c r="P108" s="74" t="str">
        <f>IFERROR(__xludf.DUMMYFUNCTION("""COMPUTED_VALUE"""),"")</f>
        <v/>
      </c>
    </row>
    <row r="109">
      <c r="A109" s="60">
        <v>45721.6610537963</v>
      </c>
      <c r="B109" s="81" t="s">
        <v>153</v>
      </c>
      <c r="C109" s="74" t="b">
        <v>0</v>
      </c>
      <c r="E109" s="82"/>
      <c r="G109" s="82"/>
      <c r="H109" s="74">
        <v>151.0</v>
      </c>
      <c r="I109" s="84"/>
      <c r="J109" s="74" t="s">
        <v>11</v>
      </c>
      <c r="K109" s="61">
        <v>45721.0</v>
      </c>
      <c r="L109" s="74" t="s">
        <v>135</v>
      </c>
      <c r="M109" s="74" t="s">
        <v>19</v>
      </c>
      <c r="N109" s="74" t="str">
        <f>IFERROR(__xludf.DUMMYFUNCTION("""COMPUTED_VALUE"""),"")</f>
        <v/>
      </c>
      <c r="O109" s="74" t="str">
        <f>IFERROR(__xludf.DUMMYFUNCTION("""COMPUTED_VALUE"""),"")</f>
        <v/>
      </c>
      <c r="P109" s="74" t="str">
        <f>IFERROR(__xludf.DUMMYFUNCTION("""COMPUTED_VALUE"""),"")</f>
        <v/>
      </c>
    </row>
    <row r="110">
      <c r="A110" s="60">
        <v>45721.86796104167</v>
      </c>
      <c r="B110" s="81" t="s">
        <v>168</v>
      </c>
      <c r="C110" s="74" t="b">
        <v>0</v>
      </c>
      <c r="E110" s="82"/>
      <c r="G110" s="82"/>
      <c r="H110" s="74">
        <v>163.0</v>
      </c>
      <c r="I110" s="84"/>
      <c r="J110" s="74" t="s">
        <v>12</v>
      </c>
      <c r="K110" s="61">
        <v>45721.0</v>
      </c>
      <c r="L110" s="74" t="s">
        <v>135</v>
      </c>
      <c r="M110" s="74" t="s">
        <v>18</v>
      </c>
      <c r="N110" s="74" t="str">
        <f>IFERROR(__xludf.DUMMYFUNCTION("""COMPUTED_VALUE"""),"")</f>
        <v/>
      </c>
      <c r="O110" s="74" t="str">
        <f>IFERROR(__xludf.DUMMYFUNCTION("""COMPUTED_VALUE"""),"")</f>
        <v/>
      </c>
      <c r="P110" s="74" t="str">
        <f>IFERROR(__xludf.DUMMYFUNCTION("""COMPUTED_VALUE"""),"")</f>
        <v/>
      </c>
    </row>
    <row r="111">
      <c r="A111" s="60">
        <v>45721.87679684028</v>
      </c>
      <c r="B111" s="81" t="s">
        <v>149</v>
      </c>
      <c r="C111" s="74" t="b">
        <v>0</v>
      </c>
      <c r="E111" s="82"/>
      <c r="G111" s="82"/>
      <c r="H111" s="74">
        <v>160.0</v>
      </c>
      <c r="I111" s="84"/>
      <c r="J111" s="74" t="s">
        <v>12</v>
      </c>
      <c r="K111" s="61">
        <v>45721.0</v>
      </c>
      <c r="L111" s="74" t="s">
        <v>135</v>
      </c>
      <c r="M111" s="74" t="s">
        <v>19</v>
      </c>
      <c r="N111" s="74">
        <f>IFERROR(__xludf.DUMMYFUNCTION("""COMPUTED_VALUE"""),163.0)</f>
        <v>163</v>
      </c>
      <c r="O111" s="74">
        <f>IFERROR(__xludf.DUMMYFUNCTION("""COMPUTED_VALUE"""),395.0)</f>
        <v>395</v>
      </c>
      <c r="P111" s="74">
        <f>IFERROR(__xludf.DUMMYFUNCTION("""COMPUTED_VALUE"""),558.0)</f>
        <v>558</v>
      </c>
    </row>
    <row r="112">
      <c r="A112" s="60">
        <v>45722.40703283565</v>
      </c>
      <c r="B112" s="81" t="s">
        <v>136</v>
      </c>
      <c r="C112" s="74" t="b">
        <v>0</v>
      </c>
      <c r="E112" s="82"/>
      <c r="G112" s="82"/>
      <c r="H112" s="74">
        <v>68.0</v>
      </c>
      <c r="I112" s="84"/>
      <c r="J112" s="74" t="s">
        <v>10</v>
      </c>
      <c r="K112" s="61">
        <v>45722.0</v>
      </c>
      <c r="L112" s="74" t="s">
        <v>137</v>
      </c>
      <c r="M112" s="74" t="s">
        <v>19</v>
      </c>
      <c r="N112" s="74" t="str">
        <f>IFERROR(__xludf.DUMMYFUNCTION("""COMPUTED_VALUE"""),"")</f>
        <v/>
      </c>
      <c r="O112" s="74" t="str">
        <f>IFERROR(__xludf.DUMMYFUNCTION("""COMPUTED_VALUE"""),"")</f>
        <v/>
      </c>
      <c r="P112" s="74" t="str">
        <f>IFERROR(__xludf.DUMMYFUNCTION("""COMPUTED_VALUE"""),"")</f>
        <v/>
      </c>
    </row>
    <row r="113">
      <c r="A113" s="60">
        <v>45722.62462516204</v>
      </c>
      <c r="B113" s="81" t="s">
        <v>148</v>
      </c>
      <c r="C113" s="74" t="b">
        <v>0</v>
      </c>
      <c r="E113" s="82"/>
      <c r="G113" s="82"/>
      <c r="H113" s="74">
        <v>111.0</v>
      </c>
      <c r="I113" s="84"/>
      <c r="J113" s="74" t="s">
        <v>11</v>
      </c>
      <c r="K113" s="61">
        <v>45722.0</v>
      </c>
      <c r="L113" s="74" t="s">
        <v>137</v>
      </c>
      <c r="M113" s="74" t="s">
        <v>19</v>
      </c>
      <c r="N113" s="74" t="str">
        <f>IFERROR(__xludf.DUMMYFUNCTION("""COMPUTED_VALUE"""),"")</f>
        <v/>
      </c>
      <c r="O113" s="74" t="str">
        <f>IFERROR(__xludf.DUMMYFUNCTION("""COMPUTED_VALUE"""),"")</f>
        <v/>
      </c>
      <c r="P113" s="74" t="str">
        <f>IFERROR(__xludf.DUMMYFUNCTION("""COMPUTED_VALUE"""),"")</f>
        <v/>
      </c>
    </row>
    <row r="114">
      <c r="A114" s="60">
        <v>45723.4745058449</v>
      </c>
      <c r="B114" s="81" t="s">
        <v>171</v>
      </c>
      <c r="C114" s="74" t="b">
        <v>0</v>
      </c>
      <c r="E114" s="82"/>
      <c r="G114" s="82"/>
      <c r="H114" s="74">
        <v>57.0</v>
      </c>
      <c r="I114" s="84"/>
      <c r="J114" s="74" t="s">
        <v>12</v>
      </c>
      <c r="K114" s="61">
        <v>45722.0</v>
      </c>
      <c r="L114" s="74" t="s">
        <v>137</v>
      </c>
      <c r="M114" s="74" t="s">
        <v>18</v>
      </c>
      <c r="N114" s="74" t="str">
        <f>IFERROR(__xludf.DUMMYFUNCTION("""COMPUTED_VALUE"""),"")</f>
        <v/>
      </c>
      <c r="O114" s="74" t="str">
        <f>IFERROR(__xludf.DUMMYFUNCTION("""COMPUTED_VALUE"""),"")</f>
        <v/>
      </c>
      <c r="P114" s="74" t="str">
        <f>IFERROR(__xludf.DUMMYFUNCTION("""COMPUTED_VALUE"""),"")</f>
        <v/>
      </c>
    </row>
    <row r="115">
      <c r="A115" s="60">
        <v>45735.73102542824</v>
      </c>
      <c r="B115" s="81" t="s">
        <v>174</v>
      </c>
      <c r="C115" s="74" t="b">
        <v>0</v>
      </c>
      <c r="E115" s="82"/>
      <c r="G115" s="82"/>
      <c r="H115" s="74">
        <v>172.0</v>
      </c>
      <c r="I115" s="84"/>
      <c r="J115" s="74" t="s">
        <v>12</v>
      </c>
      <c r="K115" s="61">
        <v>45722.0</v>
      </c>
      <c r="L115" s="74" t="s">
        <v>137</v>
      </c>
      <c r="M115" s="74" t="s">
        <v>19</v>
      </c>
      <c r="N115" s="74">
        <f>IFERROR(__xludf.DUMMYFUNCTION("""COMPUTED_VALUE"""),57.0)</f>
        <v>57</v>
      </c>
      <c r="O115" s="74">
        <f>IFERROR(__xludf.DUMMYFUNCTION("""COMPUTED_VALUE"""),351.0)</f>
        <v>351</v>
      </c>
      <c r="P115" s="74">
        <f>IFERROR(__xludf.DUMMYFUNCTION("""COMPUTED_VALUE"""),408.0)</f>
        <v>408</v>
      </c>
    </row>
    <row r="116">
      <c r="A116" s="60">
        <v>45723.42216476852</v>
      </c>
      <c r="B116" s="81" t="s">
        <v>136</v>
      </c>
      <c r="C116" s="74" t="b">
        <v>0</v>
      </c>
      <c r="E116" s="82"/>
      <c r="G116" s="82"/>
      <c r="H116" s="74">
        <v>31.0</v>
      </c>
      <c r="I116" s="84"/>
      <c r="J116" s="74" t="s">
        <v>10</v>
      </c>
      <c r="K116" s="61">
        <v>45723.0</v>
      </c>
      <c r="L116" s="74" t="s">
        <v>138</v>
      </c>
      <c r="M116" s="74" t="s">
        <v>19</v>
      </c>
      <c r="N116" s="74" t="str">
        <f>IFERROR(__xludf.DUMMYFUNCTION("""COMPUTED_VALUE"""),"")</f>
        <v/>
      </c>
      <c r="O116" s="74" t="str">
        <f>IFERROR(__xludf.DUMMYFUNCTION("""COMPUTED_VALUE"""),"")</f>
        <v/>
      </c>
      <c r="P116" s="74" t="str">
        <f>IFERROR(__xludf.DUMMYFUNCTION("""COMPUTED_VALUE"""),"")</f>
        <v/>
      </c>
    </row>
    <row r="117">
      <c r="A117" s="60">
        <v>45723.82737283565</v>
      </c>
      <c r="B117" s="81" t="s">
        <v>134</v>
      </c>
      <c r="C117" s="74" t="b">
        <v>0</v>
      </c>
      <c r="E117" s="82"/>
      <c r="G117" s="82"/>
      <c r="H117" s="74">
        <v>52.0</v>
      </c>
      <c r="I117" s="84"/>
      <c r="J117" s="74" t="s">
        <v>12</v>
      </c>
      <c r="K117" s="61">
        <v>45723.0</v>
      </c>
      <c r="L117" s="74" t="s">
        <v>138</v>
      </c>
      <c r="M117" s="74" t="s">
        <v>18</v>
      </c>
      <c r="N117" s="74" t="str">
        <f>IFERROR(__xludf.DUMMYFUNCTION("""COMPUTED_VALUE"""),"")</f>
        <v/>
      </c>
      <c r="O117" s="74" t="str">
        <f>IFERROR(__xludf.DUMMYFUNCTION("""COMPUTED_VALUE"""),"")</f>
        <v/>
      </c>
      <c r="P117" s="74" t="str">
        <f>IFERROR(__xludf.DUMMYFUNCTION("""COMPUTED_VALUE"""),"")</f>
        <v/>
      </c>
    </row>
    <row r="118">
      <c r="A118" s="60">
        <v>45724.02042885416</v>
      </c>
      <c r="B118" s="81" t="s">
        <v>171</v>
      </c>
      <c r="C118" s="74" t="b">
        <v>0</v>
      </c>
      <c r="E118" s="82"/>
      <c r="G118" s="82"/>
      <c r="H118" s="74">
        <v>138.0</v>
      </c>
      <c r="I118" s="84"/>
      <c r="J118" s="74" t="s">
        <v>11</v>
      </c>
      <c r="K118" s="61">
        <v>45723.0</v>
      </c>
      <c r="L118" s="74" t="s">
        <v>138</v>
      </c>
      <c r="M118" s="74" t="s">
        <v>18</v>
      </c>
      <c r="N118" s="74">
        <f>IFERROR(__xludf.DUMMYFUNCTION("""COMPUTED_VALUE"""),190.0)</f>
        <v>190</v>
      </c>
      <c r="O118" s="74">
        <f>IFERROR(__xludf.DUMMYFUNCTION("""COMPUTED_VALUE"""),31.0)</f>
        <v>31</v>
      </c>
      <c r="P118" s="74">
        <f>IFERROR(__xludf.DUMMYFUNCTION("""COMPUTED_VALUE"""),221.0)</f>
        <v>221</v>
      </c>
    </row>
    <row r="119">
      <c r="A119" s="60">
        <v>45733.66387763889</v>
      </c>
      <c r="B119" s="81" t="s">
        <v>153</v>
      </c>
      <c r="C119" s="74" t="b">
        <v>0</v>
      </c>
      <c r="E119" s="82"/>
      <c r="G119" s="82"/>
      <c r="H119" s="74">
        <v>113.0</v>
      </c>
      <c r="I119" s="84"/>
      <c r="J119" s="74" t="s">
        <v>11</v>
      </c>
      <c r="K119" s="61">
        <v>45733.0</v>
      </c>
      <c r="L119" s="74" t="s">
        <v>129</v>
      </c>
      <c r="M119" s="74" t="s">
        <v>19</v>
      </c>
      <c r="N119" s="74" t="str">
        <f>IFERROR(__xludf.DUMMYFUNCTION("""COMPUTED_VALUE"""),"")</f>
        <v/>
      </c>
      <c r="O119" s="74" t="str">
        <f>IFERROR(__xludf.DUMMYFUNCTION("""COMPUTED_VALUE"""),"")</f>
        <v/>
      </c>
      <c r="P119" s="74" t="str">
        <f>IFERROR(__xludf.DUMMYFUNCTION("""COMPUTED_VALUE"""),"")</f>
        <v/>
      </c>
    </row>
    <row r="120">
      <c r="A120" s="60">
        <v>45733.75786012731</v>
      </c>
      <c r="B120" s="81" t="s">
        <v>173</v>
      </c>
      <c r="C120" s="74" t="b">
        <v>0</v>
      </c>
      <c r="E120" s="82"/>
      <c r="G120" s="82"/>
      <c r="H120" s="74">
        <v>77.0</v>
      </c>
      <c r="I120" s="84"/>
      <c r="J120" s="74" t="s">
        <v>11</v>
      </c>
      <c r="K120" s="61">
        <v>45733.0</v>
      </c>
      <c r="L120" s="74" t="s">
        <v>129</v>
      </c>
      <c r="M120" s="74" t="s">
        <v>18</v>
      </c>
      <c r="N120" s="74" t="str">
        <f>IFERROR(__xludf.DUMMYFUNCTION("""COMPUTED_VALUE"""),"")</f>
        <v/>
      </c>
      <c r="O120" s="74" t="str">
        <f>IFERROR(__xludf.DUMMYFUNCTION("""COMPUTED_VALUE"""),"")</f>
        <v/>
      </c>
      <c r="P120" s="74" t="str">
        <f>IFERROR(__xludf.DUMMYFUNCTION("""COMPUTED_VALUE"""),"")</f>
        <v/>
      </c>
    </row>
    <row r="121">
      <c r="A121" s="60">
        <v>45733.86957756944</v>
      </c>
      <c r="B121" s="81" t="s">
        <v>168</v>
      </c>
      <c r="C121" s="74" t="b">
        <v>0</v>
      </c>
      <c r="E121" s="82"/>
      <c r="G121" s="82"/>
      <c r="H121" s="74">
        <v>152.0</v>
      </c>
      <c r="I121" s="84"/>
      <c r="J121" s="74" t="s">
        <v>12</v>
      </c>
      <c r="K121" s="61">
        <v>45733.0</v>
      </c>
      <c r="L121" s="74" t="s">
        <v>129</v>
      </c>
      <c r="M121" s="74" t="s">
        <v>18</v>
      </c>
      <c r="N121" s="74" t="str">
        <f>IFERROR(__xludf.DUMMYFUNCTION("""COMPUTED_VALUE"""),"")</f>
        <v/>
      </c>
      <c r="O121" s="74" t="str">
        <f>IFERROR(__xludf.DUMMYFUNCTION("""COMPUTED_VALUE"""),"")</f>
        <v/>
      </c>
      <c r="P121" s="74" t="str">
        <f>IFERROR(__xludf.DUMMYFUNCTION("""COMPUTED_VALUE"""),"")</f>
        <v/>
      </c>
    </row>
    <row r="122">
      <c r="A122" s="60">
        <v>45733.8983961574</v>
      </c>
      <c r="B122" s="81" t="s">
        <v>149</v>
      </c>
      <c r="C122" s="74" t="b">
        <v>0</v>
      </c>
      <c r="E122" s="82"/>
      <c r="G122" s="82"/>
      <c r="H122" s="74">
        <v>127.0</v>
      </c>
      <c r="I122" s="84"/>
      <c r="J122" s="74" t="s">
        <v>12</v>
      </c>
      <c r="K122" s="61">
        <v>45733.0</v>
      </c>
      <c r="L122" s="74" t="s">
        <v>129</v>
      </c>
      <c r="M122" s="74" t="s">
        <v>19</v>
      </c>
      <c r="N122" s="74" t="str">
        <f>IFERROR(__xludf.DUMMYFUNCTION("""COMPUTED_VALUE"""),"")</f>
        <v/>
      </c>
      <c r="O122" s="74" t="str">
        <f>IFERROR(__xludf.DUMMYFUNCTION("""COMPUTED_VALUE"""),"")</f>
        <v/>
      </c>
      <c r="P122" s="74" t="str">
        <f>IFERROR(__xludf.DUMMYFUNCTION("""COMPUTED_VALUE"""),"")</f>
        <v/>
      </c>
    </row>
    <row r="123">
      <c r="A123" s="60">
        <v>45735.29506770834</v>
      </c>
      <c r="B123" s="81" t="s">
        <v>170</v>
      </c>
      <c r="C123" s="74" t="b">
        <v>0</v>
      </c>
      <c r="E123" s="82"/>
      <c r="G123" s="82"/>
      <c r="H123" s="74">
        <v>80.0</v>
      </c>
      <c r="I123" s="84"/>
      <c r="J123" s="74" t="s">
        <v>10</v>
      </c>
      <c r="K123" s="61">
        <v>45733.0</v>
      </c>
      <c r="L123" s="74" t="s">
        <v>129</v>
      </c>
      <c r="M123" s="74" t="s">
        <v>19</v>
      </c>
      <c r="N123" s="74">
        <f>IFERROR(__xludf.DUMMYFUNCTION("""COMPUTED_VALUE"""),229.0)</f>
        <v>229</v>
      </c>
      <c r="O123" s="74">
        <f>IFERROR(__xludf.DUMMYFUNCTION("""COMPUTED_VALUE"""),320.0)</f>
        <v>320</v>
      </c>
      <c r="P123" s="74">
        <f>IFERROR(__xludf.DUMMYFUNCTION("""COMPUTED_VALUE"""),549.0)</f>
        <v>549</v>
      </c>
    </row>
    <row r="124">
      <c r="A124" s="60">
        <v>45734.61493028935</v>
      </c>
      <c r="B124" s="81" t="s">
        <v>148</v>
      </c>
      <c r="C124" s="74" t="b">
        <v>0</v>
      </c>
      <c r="E124" s="82"/>
      <c r="G124" s="82"/>
      <c r="H124" s="74">
        <v>104.0</v>
      </c>
      <c r="I124" s="84"/>
      <c r="J124" s="74" t="s">
        <v>11</v>
      </c>
      <c r="K124" s="61">
        <v>45734.0</v>
      </c>
      <c r="L124" s="74" t="s">
        <v>132</v>
      </c>
      <c r="M124" s="74" t="s">
        <v>19</v>
      </c>
      <c r="N124" s="74" t="str">
        <f>IFERROR(__xludf.DUMMYFUNCTION("""COMPUTED_VALUE"""),"")</f>
        <v/>
      </c>
      <c r="O124" s="74" t="str">
        <f>IFERROR(__xludf.DUMMYFUNCTION("""COMPUTED_VALUE"""),"")</f>
        <v/>
      </c>
      <c r="P124" s="74" t="str">
        <f>IFERROR(__xludf.DUMMYFUNCTION("""COMPUTED_VALUE"""),"")</f>
        <v/>
      </c>
    </row>
    <row r="125">
      <c r="A125" s="60">
        <v>45734.65609387732</v>
      </c>
      <c r="B125" s="81" t="s">
        <v>149</v>
      </c>
      <c r="C125" s="74" t="b">
        <v>0</v>
      </c>
      <c r="E125" s="82"/>
      <c r="G125" s="82"/>
      <c r="H125" s="74">
        <v>53.0</v>
      </c>
      <c r="I125" s="84"/>
      <c r="J125" s="74" t="s">
        <v>11</v>
      </c>
      <c r="K125" s="61">
        <v>45734.0</v>
      </c>
      <c r="L125" s="74" t="s">
        <v>132</v>
      </c>
      <c r="M125" s="74" t="s">
        <v>18</v>
      </c>
      <c r="N125" s="74" t="str">
        <f>IFERROR(__xludf.DUMMYFUNCTION("""COMPUTED_VALUE"""),"")</f>
        <v/>
      </c>
      <c r="O125" s="74" t="str">
        <f>IFERROR(__xludf.DUMMYFUNCTION("""COMPUTED_VALUE"""),"")</f>
        <v/>
      </c>
      <c r="P125" s="74" t="str">
        <f>IFERROR(__xludf.DUMMYFUNCTION("""COMPUTED_VALUE"""),"")</f>
        <v/>
      </c>
    </row>
    <row r="126">
      <c r="A126" s="60">
        <v>45734.87606891204</v>
      </c>
      <c r="B126" s="81" t="s">
        <v>149</v>
      </c>
      <c r="C126" s="74" t="b">
        <v>0</v>
      </c>
      <c r="E126" s="82"/>
      <c r="G126" s="82"/>
      <c r="H126" s="74">
        <v>151.0</v>
      </c>
      <c r="I126" s="84"/>
      <c r="J126" s="74" t="s">
        <v>12</v>
      </c>
      <c r="K126" s="61">
        <v>45734.0</v>
      </c>
      <c r="L126" s="74" t="s">
        <v>132</v>
      </c>
      <c r="M126" s="74" t="s">
        <v>19</v>
      </c>
      <c r="N126" s="74">
        <f>IFERROR(__xludf.DUMMYFUNCTION("""COMPUTED_VALUE"""),53.0)</f>
        <v>53</v>
      </c>
      <c r="O126" s="74">
        <f>IFERROR(__xludf.DUMMYFUNCTION("""COMPUTED_VALUE"""),255.0)</f>
        <v>255</v>
      </c>
      <c r="P126" s="74">
        <f>IFERROR(__xludf.DUMMYFUNCTION("""COMPUTED_VALUE"""),308.0)</f>
        <v>308</v>
      </c>
    </row>
    <row r="127">
      <c r="A127" s="60">
        <v>45735.45751416666</v>
      </c>
      <c r="B127" s="81" t="s">
        <v>170</v>
      </c>
      <c r="C127" s="74" t="b">
        <v>0</v>
      </c>
      <c r="E127" s="82"/>
      <c r="G127" s="82"/>
      <c r="H127" s="74">
        <v>83.0</v>
      </c>
      <c r="I127" s="84"/>
      <c r="J127" s="74" t="s">
        <v>10</v>
      </c>
      <c r="K127" s="61">
        <v>45735.0</v>
      </c>
      <c r="L127" s="74" t="s">
        <v>135</v>
      </c>
      <c r="M127" s="74" t="s">
        <v>19</v>
      </c>
      <c r="N127" s="74" t="str">
        <f>IFERROR(__xludf.DUMMYFUNCTION("""COMPUTED_VALUE"""),"")</f>
        <v/>
      </c>
      <c r="O127" s="74" t="str">
        <f>IFERROR(__xludf.DUMMYFUNCTION("""COMPUTED_VALUE"""),"")</f>
        <v/>
      </c>
      <c r="P127" s="74" t="str">
        <f>IFERROR(__xludf.DUMMYFUNCTION("""COMPUTED_VALUE"""),"")</f>
        <v/>
      </c>
    </row>
    <row r="128">
      <c r="A128" s="60">
        <v>45735.70274005787</v>
      </c>
      <c r="B128" s="81" t="s">
        <v>153</v>
      </c>
      <c r="C128" s="74" t="b">
        <v>0</v>
      </c>
      <c r="E128" s="82"/>
      <c r="G128" s="82"/>
      <c r="H128" s="74">
        <v>122.0</v>
      </c>
      <c r="I128" s="84"/>
      <c r="J128" s="74" t="s">
        <v>11</v>
      </c>
      <c r="K128" s="61">
        <v>45735.0</v>
      </c>
      <c r="L128" s="74" t="s">
        <v>135</v>
      </c>
      <c r="M128" s="74" t="s">
        <v>19</v>
      </c>
      <c r="N128" s="74" t="str">
        <f>IFERROR(__xludf.DUMMYFUNCTION("""COMPUTED_VALUE"""),"")</f>
        <v/>
      </c>
      <c r="O128" s="74" t="str">
        <f>IFERROR(__xludf.DUMMYFUNCTION("""COMPUTED_VALUE"""),"")</f>
        <v/>
      </c>
      <c r="P128" s="74" t="str">
        <f>IFERROR(__xludf.DUMMYFUNCTION("""COMPUTED_VALUE"""),"")</f>
        <v/>
      </c>
    </row>
    <row r="129">
      <c r="A129" s="60">
        <v>45735.70349564815</v>
      </c>
      <c r="B129" s="81" t="s">
        <v>153</v>
      </c>
      <c r="C129" s="74" t="b">
        <v>0</v>
      </c>
      <c r="E129" s="82"/>
      <c r="G129" s="82"/>
      <c r="H129" s="74">
        <v>70.0</v>
      </c>
      <c r="I129" s="84"/>
      <c r="J129" s="74" t="s">
        <v>11</v>
      </c>
      <c r="K129" s="61">
        <v>45735.0</v>
      </c>
      <c r="L129" s="74" t="s">
        <v>135</v>
      </c>
      <c r="M129" s="74" t="s">
        <v>19</v>
      </c>
      <c r="N129" s="74" t="str">
        <f>IFERROR(__xludf.DUMMYFUNCTION("""COMPUTED_VALUE"""),"")</f>
        <v/>
      </c>
      <c r="O129" s="74" t="str">
        <f>IFERROR(__xludf.DUMMYFUNCTION("""COMPUTED_VALUE"""),"")</f>
        <v/>
      </c>
      <c r="P129" s="74" t="str">
        <f>IFERROR(__xludf.DUMMYFUNCTION("""COMPUTED_VALUE"""),"")</f>
        <v/>
      </c>
    </row>
    <row r="130">
      <c r="A130" s="60">
        <v>45735.70688033565</v>
      </c>
      <c r="B130" s="81" t="s">
        <v>171</v>
      </c>
      <c r="C130" s="74" t="b">
        <v>0</v>
      </c>
      <c r="E130" s="82"/>
      <c r="G130" s="82"/>
      <c r="H130" s="74">
        <v>79.0</v>
      </c>
      <c r="I130" s="84"/>
      <c r="J130" s="74" t="s">
        <v>11</v>
      </c>
      <c r="K130" s="61">
        <v>45735.0</v>
      </c>
      <c r="L130" s="74" t="s">
        <v>135</v>
      </c>
      <c r="M130" s="74" t="s">
        <v>18</v>
      </c>
      <c r="N130" s="74" t="str">
        <f>IFERROR(__xludf.DUMMYFUNCTION("""COMPUTED_VALUE"""),"")</f>
        <v/>
      </c>
      <c r="O130" s="74" t="str">
        <f>IFERROR(__xludf.DUMMYFUNCTION("""COMPUTED_VALUE"""),"")</f>
        <v/>
      </c>
      <c r="P130" s="74" t="str">
        <f>IFERROR(__xludf.DUMMYFUNCTION("""COMPUTED_VALUE"""),"")</f>
        <v/>
      </c>
    </row>
    <row r="131">
      <c r="A131" s="60">
        <v>45735.86557758102</v>
      </c>
      <c r="B131" s="81" t="s">
        <v>168</v>
      </c>
      <c r="C131" s="74" t="b">
        <v>0</v>
      </c>
      <c r="E131" s="82"/>
      <c r="G131" s="82"/>
      <c r="H131" s="74">
        <v>156.0</v>
      </c>
      <c r="I131" s="84"/>
      <c r="J131" s="74" t="s">
        <v>12</v>
      </c>
      <c r="K131" s="61">
        <v>45735.0</v>
      </c>
      <c r="L131" s="74" t="s">
        <v>135</v>
      </c>
      <c r="M131" s="74" t="s">
        <v>18</v>
      </c>
      <c r="N131" s="74" t="str">
        <f>IFERROR(__xludf.DUMMYFUNCTION("""COMPUTED_VALUE"""),"")</f>
        <v/>
      </c>
      <c r="O131" s="74" t="str">
        <f>IFERROR(__xludf.DUMMYFUNCTION("""COMPUTED_VALUE"""),"")</f>
        <v/>
      </c>
      <c r="P131" s="74" t="str">
        <f>IFERROR(__xludf.DUMMYFUNCTION("""COMPUTED_VALUE"""),"")</f>
        <v/>
      </c>
    </row>
    <row r="132">
      <c r="A132" s="60">
        <v>45735.87082994213</v>
      </c>
      <c r="B132" s="81" t="s">
        <v>174</v>
      </c>
      <c r="C132" s="74" t="b">
        <v>0</v>
      </c>
      <c r="E132" s="82"/>
      <c r="G132" s="82"/>
      <c r="H132" s="74">
        <v>148.0</v>
      </c>
      <c r="I132" s="84"/>
      <c r="J132" s="74" t="s">
        <v>12</v>
      </c>
      <c r="K132" s="61">
        <v>45735.0</v>
      </c>
      <c r="L132" s="74" t="s">
        <v>135</v>
      </c>
      <c r="M132" s="74" t="s">
        <v>19</v>
      </c>
      <c r="N132" s="74">
        <f>IFERROR(__xludf.DUMMYFUNCTION("""COMPUTED_VALUE"""),235.0)</f>
        <v>235</v>
      </c>
      <c r="O132" s="74">
        <f>IFERROR(__xludf.DUMMYFUNCTION("""COMPUTED_VALUE"""),423.0)</f>
        <v>423</v>
      </c>
      <c r="P132" s="74">
        <f>IFERROR(__xludf.DUMMYFUNCTION("""COMPUTED_VALUE"""),658.0)</f>
        <v>658</v>
      </c>
    </row>
    <row r="133">
      <c r="A133" s="60">
        <v>45736.41192675926</v>
      </c>
      <c r="B133" s="81" t="s">
        <v>136</v>
      </c>
      <c r="C133" s="74" t="b">
        <v>0</v>
      </c>
      <c r="E133" s="82"/>
      <c r="G133" s="82"/>
      <c r="H133" s="74">
        <v>58.0</v>
      </c>
      <c r="I133" s="84"/>
      <c r="J133" s="74" t="s">
        <v>10</v>
      </c>
      <c r="K133" s="61">
        <v>45736.0</v>
      </c>
      <c r="L133" s="74" t="s">
        <v>137</v>
      </c>
      <c r="M133" s="74" t="s">
        <v>19</v>
      </c>
      <c r="N133" s="74" t="str">
        <f>IFERROR(__xludf.DUMMYFUNCTION("""COMPUTED_VALUE"""),"")</f>
        <v/>
      </c>
      <c r="O133" s="74" t="str">
        <f>IFERROR(__xludf.DUMMYFUNCTION("""COMPUTED_VALUE"""),"")</f>
        <v/>
      </c>
      <c r="P133" s="74" t="str">
        <f>IFERROR(__xludf.DUMMYFUNCTION("""COMPUTED_VALUE"""),"")</f>
        <v/>
      </c>
    </row>
    <row r="134">
      <c r="A134" s="60">
        <v>45736.62232964121</v>
      </c>
      <c r="B134" s="81" t="s">
        <v>148</v>
      </c>
      <c r="C134" s="74" t="b">
        <v>0</v>
      </c>
      <c r="E134" s="82"/>
      <c r="G134" s="82"/>
      <c r="H134" s="74">
        <v>143.0</v>
      </c>
      <c r="I134" s="84"/>
      <c r="J134" s="74" t="s">
        <v>11</v>
      </c>
      <c r="K134" s="61">
        <v>45736.0</v>
      </c>
      <c r="L134" s="74" t="s">
        <v>137</v>
      </c>
      <c r="M134" s="74" t="s">
        <v>19</v>
      </c>
      <c r="N134" s="74" t="str">
        <f>IFERROR(__xludf.DUMMYFUNCTION("""COMPUTED_VALUE"""),"")</f>
        <v/>
      </c>
      <c r="O134" s="74" t="str">
        <f>IFERROR(__xludf.DUMMYFUNCTION("""COMPUTED_VALUE"""),"")</f>
        <v/>
      </c>
      <c r="P134" s="74" t="str">
        <f>IFERROR(__xludf.DUMMYFUNCTION("""COMPUTED_VALUE"""),"")</f>
        <v/>
      </c>
    </row>
    <row r="135">
      <c r="A135" s="60">
        <v>45736.70045879629</v>
      </c>
      <c r="B135" s="81" t="s">
        <v>172</v>
      </c>
      <c r="C135" s="74" t="b">
        <v>0</v>
      </c>
      <c r="E135" s="82"/>
      <c r="G135" s="82"/>
      <c r="H135" s="74">
        <v>112.0</v>
      </c>
      <c r="I135" s="84"/>
      <c r="J135" s="74" t="s">
        <v>11</v>
      </c>
      <c r="K135" s="61">
        <v>45736.0</v>
      </c>
      <c r="L135" s="74" t="s">
        <v>137</v>
      </c>
      <c r="M135" s="74" t="s">
        <v>18</v>
      </c>
      <c r="N135" s="74" t="str">
        <f>IFERROR(__xludf.DUMMYFUNCTION("""COMPUTED_VALUE"""),"")</f>
        <v/>
      </c>
      <c r="O135" s="74" t="str">
        <f>IFERROR(__xludf.DUMMYFUNCTION("""COMPUTED_VALUE"""),"")</f>
        <v/>
      </c>
      <c r="P135" s="74" t="str">
        <f>IFERROR(__xludf.DUMMYFUNCTION("""COMPUTED_VALUE"""),"")</f>
        <v/>
      </c>
    </row>
    <row r="136">
      <c r="A136" s="60">
        <v>45736.79746282408</v>
      </c>
      <c r="B136" s="81" t="s">
        <v>171</v>
      </c>
      <c r="C136" s="74" t="b">
        <v>0</v>
      </c>
      <c r="E136" s="82"/>
      <c r="G136" s="82"/>
      <c r="H136" s="74">
        <v>78.0</v>
      </c>
      <c r="I136" s="84"/>
      <c r="J136" s="74" t="s">
        <v>12</v>
      </c>
      <c r="K136" s="61">
        <v>45736.0</v>
      </c>
      <c r="L136" s="74" t="s">
        <v>137</v>
      </c>
      <c r="M136" s="74" t="s">
        <v>18</v>
      </c>
      <c r="N136" s="74" t="str">
        <f>IFERROR(__xludf.DUMMYFUNCTION("""COMPUTED_VALUE"""),"")</f>
        <v/>
      </c>
      <c r="O136" s="74" t="str">
        <f>IFERROR(__xludf.DUMMYFUNCTION("""COMPUTED_VALUE"""),"")</f>
        <v/>
      </c>
      <c r="P136" s="74" t="str">
        <f>IFERROR(__xludf.DUMMYFUNCTION("""COMPUTED_VALUE"""),"")</f>
        <v/>
      </c>
    </row>
    <row r="137">
      <c r="A137" s="60">
        <v>45736.86976177083</v>
      </c>
      <c r="B137" s="81" t="s">
        <v>174</v>
      </c>
      <c r="C137" s="74" t="b">
        <v>0</v>
      </c>
      <c r="E137" s="82"/>
      <c r="G137" s="82"/>
      <c r="H137" s="74">
        <v>165.0</v>
      </c>
      <c r="I137" s="84"/>
      <c r="J137" s="74" t="s">
        <v>12</v>
      </c>
      <c r="K137" s="61">
        <v>45736.0</v>
      </c>
      <c r="L137" s="74" t="s">
        <v>137</v>
      </c>
      <c r="M137" s="74" t="s">
        <v>19</v>
      </c>
      <c r="N137" s="74">
        <f>IFERROR(__xludf.DUMMYFUNCTION("""COMPUTED_VALUE"""),190.0)</f>
        <v>190</v>
      </c>
      <c r="O137" s="74">
        <f>IFERROR(__xludf.DUMMYFUNCTION("""COMPUTED_VALUE"""),366.0)</f>
        <v>366</v>
      </c>
      <c r="P137" s="74">
        <f>IFERROR(__xludf.DUMMYFUNCTION("""COMPUTED_VALUE"""),556.0)</f>
        <v>556</v>
      </c>
    </row>
    <row r="138">
      <c r="A138" s="60">
        <v>45737.41600237269</v>
      </c>
      <c r="B138" s="81" t="s">
        <v>136</v>
      </c>
      <c r="C138" s="74" t="b">
        <v>0</v>
      </c>
      <c r="E138" s="82"/>
      <c r="G138" s="82"/>
      <c r="H138" s="74">
        <v>48.0</v>
      </c>
      <c r="I138" s="84"/>
      <c r="J138" s="74" t="s">
        <v>10</v>
      </c>
      <c r="K138" s="61">
        <v>45737.0</v>
      </c>
      <c r="L138" s="74" t="s">
        <v>138</v>
      </c>
      <c r="M138" s="74" t="s">
        <v>19</v>
      </c>
      <c r="N138" s="74" t="str">
        <f>IFERROR(__xludf.DUMMYFUNCTION("""COMPUTED_VALUE"""),"")</f>
        <v/>
      </c>
      <c r="O138" s="74" t="str">
        <f>IFERROR(__xludf.DUMMYFUNCTION("""COMPUTED_VALUE"""),"")</f>
        <v/>
      </c>
      <c r="P138" s="74" t="str">
        <f>IFERROR(__xludf.DUMMYFUNCTION("""COMPUTED_VALUE"""),"")</f>
        <v/>
      </c>
    </row>
    <row r="139">
      <c r="A139" s="60">
        <v>45737.57863903936</v>
      </c>
      <c r="B139" s="81" t="s">
        <v>172</v>
      </c>
      <c r="C139" s="74" t="b">
        <v>0</v>
      </c>
      <c r="E139" s="82"/>
      <c r="G139" s="82"/>
      <c r="H139" s="74">
        <v>87.0</v>
      </c>
      <c r="I139" s="84"/>
      <c r="J139" s="74" t="s">
        <v>11</v>
      </c>
      <c r="K139" s="61">
        <v>45737.0</v>
      </c>
      <c r="L139" s="74" t="s">
        <v>138</v>
      </c>
      <c r="M139" s="74" t="s">
        <v>19</v>
      </c>
      <c r="N139" s="74" t="str">
        <f>IFERROR(__xludf.DUMMYFUNCTION("""COMPUTED_VALUE"""),"")</f>
        <v/>
      </c>
      <c r="O139" s="74" t="str">
        <f>IFERROR(__xludf.DUMMYFUNCTION("""COMPUTED_VALUE"""),"")</f>
        <v/>
      </c>
      <c r="P139" s="74" t="str">
        <f>IFERROR(__xludf.DUMMYFUNCTION("""COMPUTED_VALUE"""),"")</f>
        <v/>
      </c>
    </row>
    <row r="140">
      <c r="A140" s="60">
        <v>45737.85174299769</v>
      </c>
      <c r="B140" s="81" t="s">
        <v>133</v>
      </c>
      <c r="C140" s="74" t="b">
        <v>0</v>
      </c>
      <c r="E140" s="82"/>
      <c r="G140" s="82"/>
      <c r="H140" s="74">
        <v>195.0</v>
      </c>
      <c r="I140" s="84"/>
      <c r="J140" s="74" t="s">
        <v>12</v>
      </c>
      <c r="K140" s="61">
        <v>45737.0</v>
      </c>
      <c r="L140" s="74" t="s">
        <v>138</v>
      </c>
      <c r="M140" s="74" t="s">
        <v>18</v>
      </c>
      <c r="N140" s="74">
        <f>IFERROR(__xludf.DUMMYFUNCTION("""COMPUTED_VALUE"""),195.0)</f>
        <v>195</v>
      </c>
      <c r="O140" s="74">
        <f>IFERROR(__xludf.DUMMYFUNCTION("""COMPUTED_VALUE"""),135.0)</f>
        <v>135</v>
      </c>
      <c r="P140" s="74">
        <f>IFERROR(__xludf.DUMMYFUNCTION("""COMPUTED_VALUE"""),330.0)</f>
        <v>330</v>
      </c>
    </row>
    <row r="141">
      <c r="A141" s="60">
        <v>45740.44430402778</v>
      </c>
      <c r="B141" s="81" t="s">
        <v>170</v>
      </c>
      <c r="C141" s="74" t="b">
        <v>0</v>
      </c>
      <c r="E141" s="82"/>
      <c r="G141" s="82"/>
      <c r="H141" s="74">
        <v>64.0</v>
      </c>
      <c r="I141" s="84"/>
      <c r="J141" s="74" t="s">
        <v>10</v>
      </c>
      <c r="K141" s="61">
        <v>45740.0</v>
      </c>
      <c r="L141" s="74" t="s">
        <v>129</v>
      </c>
      <c r="M141" s="74" t="s">
        <v>19</v>
      </c>
      <c r="N141" s="74" t="str">
        <f>IFERROR(__xludf.DUMMYFUNCTION("""COMPUTED_VALUE"""),"")</f>
        <v/>
      </c>
      <c r="O141" s="74" t="str">
        <f>IFERROR(__xludf.DUMMYFUNCTION("""COMPUTED_VALUE"""),"")</f>
        <v/>
      </c>
      <c r="P141" s="74" t="str">
        <f>IFERROR(__xludf.DUMMYFUNCTION("""COMPUTED_VALUE"""),"")</f>
        <v/>
      </c>
    </row>
    <row r="142">
      <c r="A142" s="60">
        <v>45740.70790523148</v>
      </c>
      <c r="B142" s="81" t="s">
        <v>173</v>
      </c>
      <c r="C142" s="74" t="b">
        <v>0</v>
      </c>
      <c r="E142" s="82"/>
      <c r="G142" s="82"/>
      <c r="H142" s="74">
        <v>102.0</v>
      </c>
      <c r="I142" s="84"/>
      <c r="J142" s="74" t="s">
        <v>11</v>
      </c>
      <c r="K142" s="61">
        <v>45740.0</v>
      </c>
      <c r="L142" s="74" t="s">
        <v>129</v>
      </c>
      <c r="M142" s="74" t="s">
        <v>18</v>
      </c>
      <c r="N142" s="74" t="str">
        <f>IFERROR(__xludf.DUMMYFUNCTION("""COMPUTED_VALUE"""),"")</f>
        <v/>
      </c>
      <c r="O142" s="74" t="str">
        <f>IFERROR(__xludf.DUMMYFUNCTION("""COMPUTED_VALUE"""),"")</f>
        <v/>
      </c>
      <c r="P142" s="74" t="str">
        <f>IFERROR(__xludf.DUMMYFUNCTION("""COMPUTED_VALUE"""),"")</f>
        <v/>
      </c>
    </row>
    <row r="143">
      <c r="A143" s="60">
        <v>45740.87949960648</v>
      </c>
      <c r="B143" s="81" t="s">
        <v>149</v>
      </c>
      <c r="C143" s="74" t="b">
        <v>0</v>
      </c>
      <c r="E143" s="82"/>
      <c r="G143" s="82"/>
      <c r="H143" s="74">
        <v>131.0</v>
      </c>
      <c r="I143" s="84"/>
      <c r="J143" s="74" t="s">
        <v>12</v>
      </c>
      <c r="K143" s="61">
        <v>45740.0</v>
      </c>
      <c r="L143" s="74" t="s">
        <v>129</v>
      </c>
      <c r="M143" s="74" t="s">
        <v>19</v>
      </c>
      <c r="N143" s="74">
        <f>IFERROR(__xludf.DUMMYFUNCTION("""COMPUTED_VALUE"""),102.0)</f>
        <v>102</v>
      </c>
      <c r="O143" s="74">
        <f>IFERROR(__xludf.DUMMYFUNCTION("""COMPUTED_VALUE"""),195.0)</f>
        <v>195</v>
      </c>
      <c r="P143" s="74">
        <f>IFERROR(__xludf.DUMMYFUNCTION("""COMPUTED_VALUE"""),297.0)</f>
        <v>297</v>
      </c>
    </row>
    <row r="144">
      <c r="A144" s="60">
        <v>45741.46635185185</v>
      </c>
      <c r="B144" s="81" t="s">
        <v>167</v>
      </c>
      <c r="C144" s="74" t="b">
        <v>0</v>
      </c>
      <c r="E144" s="82"/>
      <c r="G144" s="82"/>
      <c r="H144" s="74">
        <v>64.0</v>
      </c>
      <c r="I144" s="84"/>
      <c r="J144" s="74" t="s">
        <v>10</v>
      </c>
      <c r="K144" s="61">
        <v>45741.0</v>
      </c>
      <c r="L144" s="74" t="s">
        <v>132</v>
      </c>
      <c r="M144" s="74" t="s">
        <v>19</v>
      </c>
      <c r="N144" s="74" t="str">
        <f>IFERROR(__xludf.DUMMYFUNCTION("""COMPUTED_VALUE"""),"")</f>
        <v/>
      </c>
      <c r="O144" s="74" t="str">
        <f>IFERROR(__xludf.DUMMYFUNCTION("""COMPUTED_VALUE"""),"")</f>
        <v/>
      </c>
      <c r="P144" s="74" t="str">
        <f>IFERROR(__xludf.DUMMYFUNCTION("""COMPUTED_VALUE"""),"")</f>
        <v/>
      </c>
    </row>
    <row r="145">
      <c r="A145" s="60">
        <v>45741.61442607639</v>
      </c>
      <c r="B145" s="81" t="s">
        <v>148</v>
      </c>
      <c r="C145" s="74" t="b">
        <v>0</v>
      </c>
      <c r="E145" s="82"/>
      <c r="G145" s="82"/>
      <c r="H145" s="74">
        <v>119.0</v>
      </c>
      <c r="I145" s="84"/>
      <c r="J145" s="74" t="s">
        <v>11</v>
      </c>
      <c r="K145" s="61">
        <v>45741.0</v>
      </c>
      <c r="L145" s="74" t="s">
        <v>132</v>
      </c>
      <c r="M145" s="74" t="s">
        <v>19</v>
      </c>
      <c r="N145" s="74" t="str">
        <f>IFERROR(__xludf.DUMMYFUNCTION("""COMPUTED_VALUE"""),"")</f>
        <v/>
      </c>
      <c r="O145" s="74" t="str">
        <f>IFERROR(__xludf.DUMMYFUNCTION("""COMPUTED_VALUE"""),"")</f>
        <v/>
      </c>
      <c r="P145" s="74" t="str">
        <f>IFERROR(__xludf.DUMMYFUNCTION("""COMPUTED_VALUE"""),"")</f>
        <v/>
      </c>
    </row>
    <row r="146">
      <c r="A146" s="60">
        <v>45743.761775</v>
      </c>
      <c r="B146" s="81" t="s">
        <v>167</v>
      </c>
      <c r="C146" s="74" t="b">
        <v>0</v>
      </c>
      <c r="E146" s="82"/>
      <c r="G146" s="82"/>
      <c r="H146" s="74">
        <v>96.0</v>
      </c>
      <c r="I146" s="84"/>
      <c r="J146" s="74" t="s">
        <v>11</v>
      </c>
      <c r="K146" s="61">
        <v>45741.0</v>
      </c>
      <c r="L146" s="74" t="s">
        <v>132</v>
      </c>
      <c r="M146" s="74" t="s">
        <v>18</v>
      </c>
      <c r="N146" s="74" t="str">
        <f>IFERROR(__xludf.DUMMYFUNCTION("""COMPUTED_VALUE"""),"")</f>
        <v/>
      </c>
      <c r="O146" s="74" t="str">
        <f>IFERROR(__xludf.DUMMYFUNCTION("""COMPUTED_VALUE"""),"")</f>
        <v/>
      </c>
      <c r="P146" s="74" t="str">
        <f>IFERROR(__xludf.DUMMYFUNCTION("""COMPUTED_VALUE"""),"")</f>
        <v/>
      </c>
    </row>
    <row r="147">
      <c r="A147" s="60">
        <v>45741.87562347222</v>
      </c>
      <c r="B147" s="81" t="s">
        <v>149</v>
      </c>
      <c r="C147" s="74" t="b">
        <v>0</v>
      </c>
      <c r="E147" s="82"/>
      <c r="G147" s="82"/>
      <c r="H147" s="74">
        <v>149.0</v>
      </c>
      <c r="I147" s="84"/>
      <c r="J147" s="74" t="s">
        <v>12</v>
      </c>
      <c r="K147" s="61">
        <v>45741.0</v>
      </c>
      <c r="L147" s="74" t="s">
        <v>132</v>
      </c>
      <c r="M147" s="74" t="s">
        <v>19</v>
      </c>
      <c r="N147" s="74">
        <f>IFERROR(__xludf.DUMMYFUNCTION("""COMPUTED_VALUE"""),96.0)</f>
        <v>96</v>
      </c>
      <c r="O147" s="74">
        <f>IFERROR(__xludf.DUMMYFUNCTION("""COMPUTED_VALUE"""),332.0)</f>
        <v>332</v>
      </c>
      <c r="P147" s="74">
        <f>IFERROR(__xludf.DUMMYFUNCTION("""COMPUTED_VALUE"""),428.0)</f>
        <v>428</v>
      </c>
    </row>
    <row r="148">
      <c r="A148" s="60">
        <v>45742.44171628472</v>
      </c>
      <c r="B148" s="81" t="s">
        <v>170</v>
      </c>
      <c r="C148" s="74" t="b">
        <v>0</v>
      </c>
      <c r="E148" s="82"/>
      <c r="G148" s="82"/>
      <c r="H148" s="74">
        <v>80.0</v>
      </c>
      <c r="I148" s="84"/>
      <c r="J148" s="74" t="s">
        <v>10</v>
      </c>
      <c r="K148" s="61">
        <v>45742.0</v>
      </c>
      <c r="L148" s="74" t="s">
        <v>135</v>
      </c>
      <c r="M148" s="74" t="s">
        <v>19</v>
      </c>
      <c r="N148" s="74" t="str">
        <f>IFERROR(__xludf.DUMMYFUNCTION("""COMPUTED_VALUE"""),"")</f>
        <v/>
      </c>
      <c r="O148" s="74" t="str">
        <f>IFERROR(__xludf.DUMMYFUNCTION("""COMPUTED_VALUE"""),"")</f>
        <v/>
      </c>
      <c r="P148" s="74" t="str">
        <f>IFERROR(__xludf.DUMMYFUNCTION("""COMPUTED_VALUE"""),"")</f>
        <v/>
      </c>
    </row>
    <row r="149">
      <c r="A149" s="60">
        <v>45742.6471233449</v>
      </c>
      <c r="B149" s="81" t="s">
        <v>153</v>
      </c>
      <c r="C149" s="74" t="b">
        <v>0</v>
      </c>
      <c r="E149" s="82"/>
      <c r="G149" s="82"/>
      <c r="H149" s="74">
        <v>99.0</v>
      </c>
      <c r="I149" s="84"/>
      <c r="J149" s="74" t="s">
        <v>11</v>
      </c>
      <c r="K149" s="61">
        <v>45742.0</v>
      </c>
      <c r="L149" s="74" t="s">
        <v>135</v>
      </c>
      <c r="M149" s="74" t="s">
        <v>19</v>
      </c>
      <c r="N149" s="74" t="str">
        <f>IFERROR(__xludf.DUMMYFUNCTION("""COMPUTED_VALUE"""),"")</f>
        <v/>
      </c>
      <c r="O149" s="74" t="str">
        <f>IFERROR(__xludf.DUMMYFUNCTION("""COMPUTED_VALUE"""),"")</f>
        <v/>
      </c>
      <c r="P149" s="74" t="str">
        <f>IFERROR(__xludf.DUMMYFUNCTION("""COMPUTED_VALUE"""),"")</f>
        <v/>
      </c>
    </row>
    <row r="150">
      <c r="A150" s="60">
        <v>45742.72214975695</v>
      </c>
      <c r="B150" s="81" t="s">
        <v>171</v>
      </c>
      <c r="C150" s="74" t="b">
        <v>0</v>
      </c>
      <c r="E150" s="82"/>
      <c r="G150" s="82"/>
      <c r="H150" s="74">
        <v>52.0</v>
      </c>
      <c r="I150" s="84"/>
      <c r="J150" s="74" t="s">
        <v>11</v>
      </c>
      <c r="K150" s="61">
        <v>45742.0</v>
      </c>
      <c r="L150" s="74" t="s">
        <v>135</v>
      </c>
      <c r="M150" s="74" t="s">
        <v>18</v>
      </c>
      <c r="N150" s="74" t="str">
        <f>IFERROR(__xludf.DUMMYFUNCTION("""COMPUTED_VALUE"""),"")</f>
        <v/>
      </c>
      <c r="O150" s="74" t="str">
        <f>IFERROR(__xludf.DUMMYFUNCTION("""COMPUTED_VALUE"""),"")</f>
        <v/>
      </c>
      <c r="P150" s="74" t="str">
        <f>IFERROR(__xludf.DUMMYFUNCTION("""COMPUTED_VALUE"""),"")</f>
        <v/>
      </c>
    </row>
    <row r="151">
      <c r="A151" s="60">
        <v>45742.86914434028</v>
      </c>
      <c r="B151" s="81" t="s">
        <v>168</v>
      </c>
      <c r="C151" s="74" t="b">
        <v>0</v>
      </c>
      <c r="E151" s="82"/>
      <c r="G151" s="82"/>
      <c r="H151" s="74">
        <v>177.0</v>
      </c>
      <c r="I151" s="84"/>
      <c r="J151" s="74" t="s">
        <v>12</v>
      </c>
      <c r="K151" s="61">
        <v>45742.0</v>
      </c>
      <c r="L151" s="74" t="s">
        <v>135</v>
      </c>
      <c r="M151" s="74" t="s">
        <v>18</v>
      </c>
      <c r="N151" s="74" t="str">
        <f>IFERROR(__xludf.DUMMYFUNCTION("""COMPUTED_VALUE"""),"")</f>
        <v/>
      </c>
      <c r="O151" s="74" t="str">
        <f>IFERROR(__xludf.DUMMYFUNCTION("""COMPUTED_VALUE"""),"")</f>
        <v/>
      </c>
      <c r="P151" s="74" t="str">
        <f>IFERROR(__xludf.DUMMYFUNCTION("""COMPUTED_VALUE"""),"")</f>
        <v/>
      </c>
    </row>
    <row r="152">
      <c r="A152" s="60">
        <v>45742.87414686343</v>
      </c>
      <c r="B152" s="81" t="s">
        <v>174</v>
      </c>
      <c r="C152" s="74" t="b">
        <v>0</v>
      </c>
      <c r="E152" s="82"/>
      <c r="G152" s="82"/>
      <c r="H152" s="74">
        <v>108.0</v>
      </c>
      <c r="I152" s="84"/>
      <c r="J152" s="74" t="s">
        <v>12</v>
      </c>
      <c r="K152" s="61">
        <v>45742.0</v>
      </c>
      <c r="L152" s="74" t="s">
        <v>135</v>
      </c>
      <c r="M152" s="74" t="s">
        <v>19</v>
      </c>
      <c r="N152" s="74">
        <f>IFERROR(__xludf.DUMMYFUNCTION("""COMPUTED_VALUE"""),229.0)</f>
        <v>229</v>
      </c>
      <c r="O152" s="74">
        <f>IFERROR(__xludf.DUMMYFUNCTION("""COMPUTED_VALUE"""),287.0)</f>
        <v>287</v>
      </c>
      <c r="P152" s="74">
        <f>IFERROR(__xludf.DUMMYFUNCTION("""COMPUTED_VALUE"""),516.0)</f>
        <v>516</v>
      </c>
    </row>
    <row r="153">
      <c r="A153" s="60">
        <v>45743.54629245371</v>
      </c>
      <c r="B153" s="81" t="s">
        <v>136</v>
      </c>
      <c r="C153" s="74" t="b">
        <v>0</v>
      </c>
      <c r="E153" s="82"/>
      <c r="G153" s="82"/>
      <c r="H153" s="74">
        <v>62.0</v>
      </c>
      <c r="I153" s="84"/>
      <c r="J153" s="74" t="s">
        <v>10</v>
      </c>
      <c r="K153" s="61">
        <v>45743.0</v>
      </c>
      <c r="L153" s="74" t="s">
        <v>137</v>
      </c>
      <c r="M153" s="74" t="s">
        <v>19</v>
      </c>
      <c r="N153" s="74" t="str">
        <f>IFERROR(__xludf.DUMMYFUNCTION("""COMPUTED_VALUE"""),"")</f>
        <v/>
      </c>
      <c r="O153" s="74" t="str">
        <f>IFERROR(__xludf.DUMMYFUNCTION("""COMPUTED_VALUE"""),"")</f>
        <v/>
      </c>
      <c r="P153" s="74" t="str">
        <f>IFERROR(__xludf.DUMMYFUNCTION("""COMPUTED_VALUE"""),"")</f>
        <v/>
      </c>
    </row>
    <row r="154">
      <c r="A154" s="60">
        <v>45743.62253017361</v>
      </c>
      <c r="B154" s="81" t="s">
        <v>175</v>
      </c>
      <c r="C154" s="74" t="b">
        <v>0</v>
      </c>
      <c r="E154" s="82"/>
      <c r="G154" s="82"/>
      <c r="H154" s="74">
        <v>114.0</v>
      </c>
      <c r="I154" s="84"/>
      <c r="J154" s="74" t="s">
        <v>11</v>
      </c>
      <c r="K154" s="61">
        <v>45743.0</v>
      </c>
      <c r="L154" s="74" t="s">
        <v>137</v>
      </c>
      <c r="M154" s="74" t="s">
        <v>19</v>
      </c>
      <c r="N154" s="74" t="str">
        <f>IFERROR(__xludf.DUMMYFUNCTION("""COMPUTED_VALUE"""),"")</f>
        <v/>
      </c>
      <c r="O154" s="74" t="str">
        <f>IFERROR(__xludf.DUMMYFUNCTION("""COMPUTED_VALUE"""),"")</f>
        <v/>
      </c>
      <c r="P154" s="74" t="str">
        <f>IFERROR(__xludf.DUMMYFUNCTION("""COMPUTED_VALUE"""),"")</f>
        <v/>
      </c>
    </row>
    <row r="155">
      <c r="A155" s="60">
        <v>45743.8444322338</v>
      </c>
      <c r="B155" s="81" t="s">
        <v>171</v>
      </c>
      <c r="C155" s="74" t="b">
        <v>0</v>
      </c>
      <c r="E155" s="82"/>
      <c r="G155" s="82"/>
      <c r="H155" s="74">
        <v>82.0</v>
      </c>
      <c r="I155" s="84"/>
      <c r="J155" s="74" t="s">
        <v>12</v>
      </c>
      <c r="K155" s="61">
        <v>45743.0</v>
      </c>
      <c r="L155" s="74" t="s">
        <v>137</v>
      </c>
      <c r="M155" s="74" t="s">
        <v>18</v>
      </c>
      <c r="N155" s="74" t="str">
        <f>IFERROR(__xludf.DUMMYFUNCTION("""COMPUTED_VALUE"""),"")</f>
        <v/>
      </c>
      <c r="O155" s="74" t="str">
        <f>IFERROR(__xludf.DUMMYFUNCTION("""COMPUTED_VALUE"""),"")</f>
        <v/>
      </c>
      <c r="P155" s="74" t="str">
        <f>IFERROR(__xludf.DUMMYFUNCTION("""COMPUTED_VALUE"""),"")</f>
        <v/>
      </c>
    </row>
    <row r="156">
      <c r="A156" s="60">
        <v>45743.87390974537</v>
      </c>
      <c r="B156" s="81" t="s">
        <v>174</v>
      </c>
      <c r="C156" s="74" t="b">
        <v>0</v>
      </c>
      <c r="E156" s="82"/>
      <c r="G156" s="82"/>
      <c r="H156" s="74">
        <v>122.0</v>
      </c>
      <c r="I156" s="84"/>
      <c r="J156" s="74" t="s">
        <v>12</v>
      </c>
      <c r="K156" s="61">
        <v>45743.0</v>
      </c>
      <c r="L156" s="74" t="s">
        <v>137</v>
      </c>
      <c r="M156" s="74" t="s">
        <v>19</v>
      </c>
      <c r="N156" s="74" t="str">
        <f>IFERROR(__xludf.DUMMYFUNCTION("""COMPUTED_VALUE"""),"")</f>
        <v/>
      </c>
      <c r="O156" s="74" t="str">
        <f>IFERROR(__xludf.DUMMYFUNCTION("""COMPUTED_VALUE"""),"")</f>
        <v/>
      </c>
      <c r="P156" s="74" t="str">
        <f>IFERROR(__xludf.DUMMYFUNCTION("""COMPUTED_VALUE"""),"")</f>
        <v/>
      </c>
    </row>
    <row r="157">
      <c r="A157" s="60">
        <v>45743.89451269676</v>
      </c>
      <c r="B157" s="81" t="s">
        <v>172</v>
      </c>
      <c r="C157" s="74" t="b">
        <v>0</v>
      </c>
      <c r="E157" s="82"/>
      <c r="G157" s="82"/>
      <c r="H157" s="74">
        <v>115.0</v>
      </c>
      <c r="I157" s="84"/>
      <c r="J157" s="74" t="s">
        <v>11</v>
      </c>
      <c r="K157" s="61">
        <v>45743.0</v>
      </c>
      <c r="L157" s="74" t="s">
        <v>137</v>
      </c>
      <c r="M157" s="74" t="s">
        <v>18</v>
      </c>
      <c r="N157" s="74">
        <f>IFERROR(__xludf.DUMMYFUNCTION("""COMPUTED_VALUE"""),197.0)</f>
        <v>197</v>
      </c>
      <c r="O157" s="74">
        <f>IFERROR(__xludf.DUMMYFUNCTION("""COMPUTED_VALUE"""),298.0)</f>
        <v>298</v>
      </c>
      <c r="P157" s="74">
        <f>IFERROR(__xludf.DUMMYFUNCTION("""COMPUTED_VALUE"""),495.0)</f>
        <v>495</v>
      </c>
    </row>
    <row r="158">
      <c r="A158" s="60">
        <v>45744.45713811342</v>
      </c>
      <c r="B158" s="81" t="s">
        <v>136</v>
      </c>
      <c r="C158" s="74" t="b">
        <v>0</v>
      </c>
      <c r="E158" s="82"/>
      <c r="G158" s="82"/>
      <c r="H158" s="74">
        <v>53.0</v>
      </c>
      <c r="I158" s="84"/>
      <c r="J158" s="74" t="s">
        <v>10</v>
      </c>
      <c r="K158" s="61">
        <v>45744.0</v>
      </c>
      <c r="L158" s="74" t="s">
        <v>138</v>
      </c>
      <c r="M158" s="74" t="s">
        <v>19</v>
      </c>
      <c r="N158" s="74" t="str">
        <f>IFERROR(__xludf.DUMMYFUNCTION("""COMPUTED_VALUE"""),"")</f>
        <v/>
      </c>
      <c r="O158" s="74" t="str">
        <f>IFERROR(__xludf.DUMMYFUNCTION("""COMPUTED_VALUE"""),"")</f>
        <v/>
      </c>
      <c r="P158" s="74" t="str">
        <f>IFERROR(__xludf.DUMMYFUNCTION("""COMPUTED_VALUE"""),"")</f>
        <v/>
      </c>
    </row>
    <row r="159">
      <c r="A159" s="60">
        <v>45744.64870351852</v>
      </c>
      <c r="B159" s="81" t="s">
        <v>171</v>
      </c>
      <c r="C159" s="74" t="b">
        <v>0</v>
      </c>
      <c r="E159" s="82"/>
      <c r="G159" s="82"/>
      <c r="H159" s="74">
        <v>161.0</v>
      </c>
      <c r="I159" s="84"/>
      <c r="J159" s="74" t="s">
        <v>11</v>
      </c>
      <c r="K159" s="61">
        <v>45744.0</v>
      </c>
      <c r="L159" s="74" t="s">
        <v>138</v>
      </c>
      <c r="M159" s="74" t="s">
        <v>18</v>
      </c>
      <c r="N159" s="74" t="str">
        <f>IFERROR(__xludf.DUMMYFUNCTION("""COMPUTED_VALUE"""),"")</f>
        <v/>
      </c>
      <c r="O159" s="74" t="str">
        <f>IFERROR(__xludf.DUMMYFUNCTION("""COMPUTED_VALUE"""),"")</f>
        <v/>
      </c>
      <c r="P159" s="74" t="str">
        <f>IFERROR(__xludf.DUMMYFUNCTION("""COMPUTED_VALUE"""),"")</f>
        <v/>
      </c>
    </row>
    <row r="160">
      <c r="A160" s="60">
        <v>45744.83349908565</v>
      </c>
      <c r="B160" s="81" t="s">
        <v>149</v>
      </c>
      <c r="C160" s="74" t="b">
        <v>0</v>
      </c>
      <c r="E160" s="82"/>
      <c r="G160" s="82"/>
      <c r="H160" s="74">
        <v>231.0</v>
      </c>
      <c r="I160" s="84"/>
      <c r="J160" s="74" t="s">
        <v>12</v>
      </c>
      <c r="K160" s="61">
        <v>45744.0</v>
      </c>
      <c r="L160" s="74" t="s">
        <v>138</v>
      </c>
      <c r="M160" s="74" t="s">
        <v>18</v>
      </c>
      <c r="N160" s="74">
        <f>IFERROR(__xludf.DUMMYFUNCTION("""COMPUTED_VALUE"""),392.0)</f>
        <v>392</v>
      </c>
      <c r="O160" s="74">
        <f>IFERROR(__xludf.DUMMYFUNCTION("""COMPUTED_VALUE"""),53.0)</f>
        <v>53</v>
      </c>
      <c r="P160" s="74">
        <f>IFERROR(__xludf.DUMMYFUNCTION("""COMPUTED_VALUE"""),445.0)</f>
        <v>445</v>
      </c>
    </row>
    <row r="161">
      <c r="A161" s="60">
        <v>45747.67351732639</v>
      </c>
      <c r="B161" s="81" t="s">
        <v>153</v>
      </c>
      <c r="C161" s="74" t="b">
        <v>0</v>
      </c>
      <c r="E161" s="82"/>
      <c r="G161" s="82"/>
      <c r="H161" s="74">
        <v>119.0</v>
      </c>
      <c r="I161" s="84"/>
      <c r="J161" s="74" t="s">
        <v>11</v>
      </c>
      <c r="K161" s="61">
        <v>45747.0</v>
      </c>
      <c r="L161" s="74" t="s">
        <v>129</v>
      </c>
      <c r="M161" s="74" t="s">
        <v>19</v>
      </c>
      <c r="N161" s="74" t="str">
        <f>IFERROR(__xludf.DUMMYFUNCTION("""COMPUTED_VALUE"""),"")</f>
        <v/>
      </c>
      <c r="O161" s="74" t="str">
        <f>IFERROR(__xludf.DUMMYFUNCTION("""COMPUTED_VALUE"""),"")</f>
        <v/>
      </c>
      <c r="P161" s="74" t="str">
        <f>IFERROR(__xludf.DUMMYFUNCTION("""COMPUTED_VALUE"""),"")</f>
        <v/>
      </c>
    </row>
    <row r="162">
      <c r="A162" s="60">
        <v>45747.75040759259</v>
      </c>
      <c r="B162" s="81" t="s">
        <v>173</v>
      </c>
      <c r="C162" s="74" t="b">
        <v>0</v>
      </c>
      <c r="E162" s="82"/>
      <c r="G162" s="82"/>
      <c r="H162" s="74">
        <v>32.0</v>
      </c>
      <c r="I162" s="84"/>
      <c r="J162" s="74" t="s">
        <v>11</v>
      </c>
      <c r="K162" s="61">
        <v>45747.0</v>
      </c>
      <c r="L162" s="74" t="s">
        <v>129</v>
      </c>
      <c r="M162" s="74" t="s">
        <v>18</v>
      </c>
      <c r="N162" s="74" t="str">
        <f>IFERROR(__xludf.DUMMYFUNCTION("""COMPUTED_VALUE"""),"")</f>
        <v/>
      </c>
      <c r="O162" s="74" t="str">
        <f>IFERROR(__xludf.DUMMYFUNCTION("""COMPUTED_VALUE"""),"")</f>
        <v/>
      </c>
      <c r="P162" s="74" t="str">
        <f>IFERROR(__xludf.DUMMYFUNCTION("""COMPUTED_VALUE"""),"")</f>
        <v/>
      </c>
    </row>
    <row r="163">
      <c r="A163" s="60">
        <v>45747.75127938658</v>
      </c>
      <c r="B163" s="81" t="s">
        <v>173</v>
      </c>
      <c r="C163" s="74" t="b">
        <v>0</v>
      </c>
      <c r="E163" s="82"/>
      <c r="G163" s="82"/>
      <c r="H163" s="74">
        <v>58.0</v>
      </c>
      <c r="I163" s="84"/>
      <c r="J163" s="74" t="s">
        <v>11</v>
      </c>
      <c r="K163" s="61">
        <v>45747.0</v>
      </c>
      <c r="L163" s="74" t="s">
        <v>129</v>
      </c>
      <c r="M163" s="74" t="s">
        <v>18</v>
      </c>
      <c r="N163" s="74" t="str">
        <f>IFERROR(__xludf.DUMMYFUNCTION("""COMPUTED_VALUE"""),"")</f>
        <v/>
      </c>
      <c r="O163" s="74" t="str">
        <f>IFERROR(__xludf.DUMMYFUNCTION("""COMPUTED_VALUE"""),"")</f>
        <v/>
      </c>
      <c r="P163" s="74" t="str">
        <f>IFERROR(__xludf.DUMMYFUNCTION("""COMPUTED_VALUE"""),"")</f>
        <v/>
      </c>
    </row>
    <row r="164">
      <c r="A164" s="60">
        <v>45747.86790283565</v>
      </c>
      <c r="B164" s="81" t="s">
        <v>168</v>
      </c>
      <c r="C164" s="74" t="b">
        <v>0</v>
      </c>
      <c r="E164" s="82"/>
      <c r="G164" s="82"/>
      <c r="H164" s="74">
        <v>123.0</v>
      </c>
      <c r="I164" s="84"/>
      <c r="J164" s="74" t="s">
        <v>12</v>
      </c>
      <c r="K164" s="61">
        <v>45747.0</v>
      </c>
      <c r="L164" s="74" t="s">
        <v>129</v>
      </c>
      <c r="M164" s="74" t="s">
        <v>18</v>
      </c>
      <c r="N164" s="74" t="str">
        <f>IFERROR(__xludf.DUMMYFUNCTION("""COMPUTED_VALUE"""),"")</f>
        <v/>
      </c>
      <c r="O164" s="74" t="str">
        <f>IFERROR(__xludf.DUMMYFUNCTION("""COMPUTED_VALUE"""),"")</f>
        <v/>
      </c>
      <c r="P164" s="74" t="str">
        <f>IFERROR(__xludf.DUMMYFUNCTION("""COMPUTED_VALUE"""),"")</f>
        <v/>
      </c>
    </row>
    <row r="165">
      <c r="A165" s="60">
        <v>45747.87724680555</v>
      </c>
      <c r="B165" s="81" t="s">
        <v>149</v>
      </c>
      <c r="C165" s="74" t="b">
        <v>0</v>
      </c>
      <c r="E165" s="82"/>
      <c r="G165" s="82"/>
      <c r="H165" s="74">
        <v>178.0</v>
      </c>
      <c r="I165" s="84"/>
      <c r="J165" s="74" t="s">
        <v>12</v>
      </c>
      <c r="K165" s="61">
        <v>45747.0</v>
      </c>
      <c r="L165" s="74" t="s">
        <v>129</v>
      </c>
      <c r="M165" s="74" t="s">
        <v>19</v>
      </c>
      <c r="N165" s="74" t="str">
        <f>IFERROR(__xludf.DUMMYFUNCTION("""COMPUTED_VALUE"""),"")</f>
        <v/>
      </c>
      <c r="O165" s="74" t="str">
        <f>IFERROR(__xludf.DUMMYFUNCTION("""COMPUTED_VALUE"""),"")</f>
        <v/>
      </c>
      <c r="P165" s="74" t="str">
        <f>IFERROR(__xludf.DUMMYFUNCTION("""COMPUTED_VALUE"""),"")</f>
        <v/>
      </c>
    </row>
    <row r="166">
      <c r="A166" s="60">
        <v>45747.97479982639</v>
      </c>
      <c r="B166" s="81" t="s">
        <v>170</v>
      </c>
      <c r="C166" s="74" t="b">
        <v>0</v>
      </c>
      <c r="E166" s="82"/>
      <c r="G166" s="82"/>
      <c r="H166" s="74">
        <v>84.0</v>
      </c>
      <c r="I166" s="84"/>
      <c r="J166" s="74" t="s">
        <v>10</v>
      </c>
      <c r="K166" s="61">
        <v>45747.0</v>
      </c>
      <c r="L166" s="74" t="s">
        <v>129</v>
      </c>
      <c r="M166" s="74" t="s">
        <v>19</v>
      </c>
      <c r="N166" s="74">
        <f>IFERROR(__xludf.DUMMYFUNCTION("""COMPUTED_VALUE"""),213.0)</f>
        <v>213</v>
      </c>
      <c r="O166" s="74">
        <f>IFERROR(__xludf.DUMMYFUNCTION("""COMPUTED_VALUE"""),381.0)</f>
        <v>381</v>
      </c>
      <c r="P166" s="74">
        <f>IFERROR(__xludf.DUMMYFUNCTION("""COMPUTED_VALUE"""),594.0)</f>
        <v>594</v>
      </c>
    </row>
    <row r="167">
      <c r="A167" s="60">
        <v>45748.48252524305</v>
      </c>
      <c r="B167" s="81" t="s">
        <v>167</v>
      </c>
      <c r="C167" s="74" t="b">
        <v>0</v>
      </c>
      <c r="E167" s="82"/>
      <c r="G167" s="82"/>
      <c r="H167" s="74">
        <v>62.0</v>
      </c>
      <c r="I167" s="84"/>
      <c r="J167" s="74" t="s">
        <v>10</v>
      </c>
      <c r="K167" s="61">
        <v>45748.0</v>
      </c>
      <c r="L167" s="74" t="s">
        <v>132</v>
      </c>
      <c r="M167" s="74" t="s">
        <v>19</v>
      </c>
      <c r="N167" s="74" t="str">
        <f>IFERROR(__xludf.DUMMYFUNCTION("""COMPUTED_VALUE"""),"")</f>
        <v/>
      </c>
      <c r="O167" s="74" t="str">
        <f>IFERROR(__xludf.DUMMYFUNCTION("""COMPUTED_VALUE"""),"")</f>
        <v/>
      </c>
      <c r="P167" s="74" t="str">
        <f>IFERROR(__xludf.DUMMYFUNCTION("""COMPUTED_VALUE"""),"")</f>
        <v/>
      </c>
    </row>
    <row r="168">
      <c r="A168" s="60">
        <v>45748.6211665162</v>
      </c>
      <c r="B168" s="81" t="s">
        <v>148</v>
      </c>
      <c r="C168" s="74" t="b">
        <v>0</v>
      </c>
      <c r="E168" s="82"/>
      <c r="G168" s="82"/>
      <c r="H168" s="74">
        <v>115.0</v>
      </c>
      <c r="I168" s="84"/>
      <c r="J168" s="74" t="s">
        <v>11</v>
      </c>
      <c r="K168" s="61">
        <v>45748.0</v>
      </c>
      <c r="L168" s="74" t="s">
        <v>132</v>
      </c>
      <c r="M168" s="74" t="s">
        <v>19</v>
      </c>
      <c r="N168" s="74" t="str">
        <f>IFERROR(__xludf.DUMMYFUNCTION("""COMPUTED_VALUE"""),"")</f>
        <v/>
      </c>
      <c r="O168" s="74" t="str">
        <f>IFERROR(__xludf.DUMMYFUNCTION("""COMPUTED_VALUE"""),"")</f>
        <v/>
      </c>
      <c r="P168" s="74" t="str">
        <f>IFERROR(__xludf.DUMMYFUNCTION("""COMPUTED_VALUE"""),"")</f>
        <v/>
      </c>
    </row>
    <row r="169">
      <c r="A169" s="60">
        <v>45748.63233587963</v>
      </c>
      <c r="B169" s="81" t="s">
        <v>167</v>
      </c>
      <c r="C169" s="74" t="b">
        <v>0</v>
      </c>
      <c r="E169" s="82"/>
      <c r="G169" s="82"/>
      <c r="H169" s="74">
        <v>120.0</v>
      </c>
      <c r="I169" s="84"/>
      <c r="J169" s="74" t="s">
        <v>11</v>
      </c>
      <c r="K169" s="61">
        <v>45748.0</v>
      </c>
      <c r="L169" s="74" t="s">
        <v>132</v>
      </c>
      <c r="M169" s="74" t="s">
        <v>18</v>
      </c>
      <c r="N169" s="74" t="str">
        <f>IFERROR(__xludf.DUMMYFUNCTION("""COMPUTED_VALUE"""),"")</f>
        <v/>
      </c>
      <c r="O169" s="74" t="str">
        <f>IFERROR(__xludf.DUMMYFUNCTION("""COMPUTED_VALUE"""),"")</f>
        <v/>
      </c>
      <c r="P169" s="74" t="str">
        <f>IFERROR(__xludf.DUMMYFUNCTION("""COMPUTED_VALUE"""),"")</f>
        <v/>
      </c>
    </row>
    <row r="170">
      <c r="A170" s="60">
        <v>45748.8772428125</v>
      </c>
      <c r="B170" s="81" t="s">
        <v>149</v>
      </c>
      <c r="C170" s="74" t="b">
        <v>0</v>
      </c>
      <c r="E170" s="82"/>
      <c r="G170" s="82"/>
      <c r="H170" s="74">
        <v>151.0</v>
      </c>
      <c r="I170" s="84"/>
      <c r="J170" s="74" t="s">
        <v>12</v>
      </c>
      <c r="K170" s="61">
        <v>45748.0</v>
      </c>
      <c r="L170" s="74" t="s">
        <v>132</v>
      </c>
      <c r="M170" s="74" t="s">
        <v>19</v>
      </c>
      <c r="N170" s="74">
        <f>IFERROR(__xludf.DUMMYFUNCTION("""COMPUTED_VALUE"""),120.0)</f>
        <v>120</v>
      </c>
      <c r="O170" s="74">
        <f>IFERROR(__xludf.DUMMYFUNCTION("""COMPUTED_VALUE"""),328.0)</f>
        <v>328</v>
      </c>
      <c r="P170" s="74">
        <f>IFERROR(__xludf.DUMMYFUNCTION("""COMPUTED_VALUE"""),448.0)</f>
        <v>448</v>
      </c>
    </row>
    <row r="171">
      <c r="A171" s="60">
        <v>45749.43951292824</v>
      </c>
      <c r="B171" s="81" t="s">
        <v>170</v>
      </c>
      <c r="C171" s="74" t="b">
        <v>0</v>
      </c>
      <c r="E171" s="82"/>
      <c r="G171" s="82"/>
      <c r="H171" s="74">
        <v>71.0</v>
      </c>
      <c r="I171" s="84"/>
      <c r="J171" s="74" t="s">
        <v>10</v>
      </c>
      <c r="K171" s="61">
        <v>45749.0</v>
      </c>
      <c r="L171" s="74" t="s">
        <v>135</v>
      </c>
      <c r="M171" s="74" t="s">
        <v>19</v>
      </c>
      <c r="N171" s="74" t="str">
        <f>IFERROR(__xludf.DUMMYFUNCTION("""COMPUTED_VALUE"""),"")</f>
        <v/>
      </c>
      <c r="O171" s="74" t="str">
        <f>IFERROR(__xludf.DUMMYFUNCTION("""COMPUTED_VALUE"""),"")</f>
        <v/>
      </c>
      <c r="P171" s="74" t="str">
        <f>IFERROR(__xludf.DUMMYFUNCTION("""COMPUTED_VALUE"""),"")</f>
        <v/>
      </c>
    </row>
    <row r="172">
      <c r="A172" s="60">
        <v>45749.78980157407</v>
      </c>
      <c r="B172" s="81" t="s">
        <v>171</v>
      </c>
      <c r="C172" s="74" t="b">
        <v>0</v>
      </c>
      <c r="E172" s="82"/>
      <c r="G172" s="82"/>
      <c r="H172" s="74">
        <v>73.0</v>
      </c>
      <c r="I172" s="84"/>
      <c r="J172" s="74" t="s">
        <v>11</v>
      </c>
      <c r="K172" s="61">
        <v>45749.0</v>
      </c>
      <c r="L172" s="74" t="s">
        <v>135</v>
      </c>
      <c r="M172" s="74" t="s">
        <v>18</v>
      </c>
      <c r="N172" s="74" t="str">
        <f>IFERROR(__xludf.DUMMYFUNCTION("""COMPUTED_VALUE"""),"")</f>
        <v/>
      </c>
      <c r="O172" s="74" t="str">
        <f>IFERROR(__xludf.DUMMYFUNCTION("""COMPUTED_VALUE"""),"")</f>
        <v/>
      </c>
      <c r="P172" s="74" t="str">
        <f>IFERROR(__xludf.DUMMYFUNCTION("""COMPUTED_VALUE"""),"")</f>
        <v/>
      </c>
    </row>
    <row r="173">
      <c r="A173" s="60">
        <v>45749.8730221412</v>
      </c>
      <c r="B173" s="81" t="s">
        <v>174</v>
      </c>
      <c r="C173" s="74" t="b">
        <v>0</v>
      </c>
      <c r="E173" s="82"/>
      <c r="G173" s="82"/>
      <c r="H173" s="74">
        <v>109.0</v>
      </c>
      <c r="I173" s="84"/>
      <c r="J173" s="74" t="s">
        <v>12</v>
      </c>
      <c r="K173" s="61">
        <v>45749.0</v>
      </c>
      <c r="L173" s="74" t="s">
        <v>135</v>
      </c>
      <c r="M173" s="74" t="s">
        <v>19</v>
      </c>
      <c r="N173" s="74" t="str">
        <f>IFERROR(__xludf.DUMMYFUNCTION("""COMPUTED_VALUE"""),"")</f>
        <v/>
      </c>
      <c r="O173" s="74" t="str">
        <f>IFERROR(__xludf.DUMMYFUNCTION("""COMPUTED_VALUE"""),"")</f>
        <v/>
      </c>
      <c r="P173" s="74" t="str">
        <f>IFERROR(__xludf.DUMMYFUNCTION("""COMPUTED_VALUE"""),"")</f>
        <v/>
      </c>
    </row>
    <row r="174">
      <c r="A174" s="60">
        <v>45750.41629440972</v>
      </c>
      <c r="B174" s="81" t="s">
        <v>136</v>
      </c>
      <c r="C174" s="74" t="b">
        <v>0</v>
      </c>
      <c r="E174" s="82"/>
      <c r="G174" s="82"/>
      <c r="H174" s="74">
        <v>70.0</v>
      </c>
      <c r="I174" s="84"/>
      <c r="J174" s="74" t="s">
        <v>10</v>
      </c>
      <c r="K174" s="61">
        <v>45749.0</v>
      </c>
      <c r="L174" s="74" t="s">
        <v>135</v>
      </c>
      <c r="M174" s="74" t="s">
        <v>19</v>
      </c>
      <c r="N174" s="74">
        <f>IFERROR(__xludf.DUMMYFUNCTION("""COMPUTED_VALUE"""),73.0)</f>
        <v>73</v>
      </c>
      <c r="O174" s="74">
        <f>IFERROR(__xludf.DUMMYFUNCTION("""COMPUTED_VALUE"""),250.0)</f>
        <v>250</v>
      </c>
      <c r="P174" s="74">
        <f>IFERROR(__xludf.DUMMYFUNCTION("""COMPUTED_VALUE"""),323.0)</f>
        <v>323</v>
      </c>
    </row>
    <row r="175">
      <c r="A175" s="60">
        <v>45750.55022025463</v>
      </c>
      <c r="B175" s="81" t="s">
        <v>173</v>
      </c>
      <c r="C175" s="74" t="b">
        <v>0</v>
      </c>
      <c r="E175" s="82"/>
      <c r="G175" s="82"/>
      <c r="H175" s="74">
        <v>60.0</v>
      </c>
      <c r="I175" s="84"/>
      <c r="J175" s="74" t="s">
        <v>11</v>
      </c>
      <c r="K175" s="61">
        <v>45750.0</v>
      </c>
      <c r="L175" s="74" t="s">
        <v>137</v>
      </c>
      <c r="M175" s="74" t="s">
        <v>18</v>
      </c>
      <c r="N175" s="74" t="str">
        <f>IFERROR(__xludf.DUMMYFUNCTION("""COMPUTED_VALUE"""),"")</f>
        <v/>
      </c>
      <c r="O175" s="74" t="str">
        <f>IFERROR(__xludf.DUMMYFUNCTION("""COMPUTED_VALUE"""),"")</f>
        <v/>
      </c>
      <c r="P175" s="74" t="str">
        <f>IFERROR(__xludf.DUMMYFUNCTION("""COMPUTED_VALUE"""),"")</f>
        <v/>
      </c>
    </row>
    <row r="176">
      <c r="A176" s="60">
        <v>45750.715476875</v>
      </c>
      <c r="B176" s="81" t="s">
        <v>172</v>
      </c>
      <c r="C176" s="74" t="b">
        <v>0</v>
      </c>
      <c r="E176" s="82"/>
      <c r="G176" s="82"/>
      <c r="H176" s="74">
        <v>90.0</v>
      </c>
      <c r="I176" s="84"/>
      <c r="J176" s="74" t="s">
        <v>11</v>
      </c>
      <c r="K176" s="61">
        <v>45750.0</v>
      </c>
      <c r="L176" s="74" t="s">
        <v>137</v>
      </c>
      <c r="M176" s="74" t="s">
        <v>18</v>
      </c>
      <c r="N176" s="74" t="str">
        <f>IFERROR(__xludf.DUMMYFUNCTION("""COMPUTED_VALUE"""),"")</f>
        <v/>
      </c>
      <c r="O176" s="74" t="str">
        <f>IFERROR(__xludf.DUMMYFUNCTION("""COMPUTED_VALUE"""),"")</f>
        <v/>
      </c>
      <c r="P176" s="74" t="str">
        <f>IFERROR(__xludf.DUMMYFUNCTION("""COMPUTED_VALUE"""),"")</f>
        <v/>
      </c>
    </row>
    <row r="177">
      <c r="A177" s="60">
        <v>45750.87069979167</v>
      </c>
      <c r="B177" s="81" t="s">
        <v>174</v>
      </c>
      <c r="C177" s="74" t="b">
        <v>0</v>
      </c>
      <c r="E177" s="82"/>
      <c r="G177" s="82"/>
      <c r="H177" s="74">
        <v>125.0</v>
      </c>
      <c r="I177" s="84"/>
      <c r="J177" s="74" t="s">
        <v>12</v>
      </c>
      <c r="K177" s="61">
        <v>45750.0</v>
      </c>
      <c r="L177" s="74" t="s">
        <v>137</v>
      </c>
      <c r="M177" s="74" t="s">
        <v>19</v>
      </c>
      <c r="N177" s="74" t="str">
        <f>IFERROR(__xludf.DUMMYFUNCTION("""COMPUTED_VALUE"""),"")</f>
        <v/>
      </c>
      <c r="O177" s="74" t="str">
        <f>IFERROR(__xludf.DUMMYFUNCTION("""COMPUTED_VALUE"""),"")</f>
        <v/>
      </c>
      <c r="P177" s="74" t="str">
        <f>IFERROR(__xludf.DUMMYFUNCTION("""COMPUTED_VALUE"""),"")</f>
        <v/>
      </c>
    </row>
    <row r="178">
      <c r="A178" s="60">
        <v>45751.57243150463</v>
      </c>
      <c r="B178" s="81" t="s">
        <v>172</v>
      </c>
      <c r="C178" s="74" t="b">
        <v>0</v>
      </c>
      <c r="E178" s="82"/>
      <c r="G178" s="82"/>
      <c r="H178" s="74">
        <v>90.0</v>
      </c>
      <c r="I178" s="84"/>
      <c r="J178" s="74" t="s">
        <v>11</v>
      </c>
      <c r="K178" s="61">
        <v>45750.0</v>
      </c>
      <c r="L178" s="74" t="s">
        <v>137</v>
      </c>
      <c r="M178" s="74" t="s">
        <v>18</v>
      </c>
      <c r="N178" s="74">
        <f>IFERROR(__xludf.DUMMYFUNCTION("""COMPUTED_VALUE"""),240.0)</f>
        <v>240</v>
      </c>
      <c r="O178" s="74">
        <f>IFERROR(__xludf.DUMMYFUNCTION("""COMPUTED_VALUE"""),125.0)</f>
        <v>125</v>
      </c>
      <c r="P178" s="74">
        <f>IFERROR(__xludf.DUMMYFUNCTION("""COMPUTED_VALUE"""),365.0)</f>
        <v>365</v>
      </c>
    </row>
    <row r="179">
      <c r="A179" s="60">
        <v>45751.80855782407</v>
      </c>
      <c r="B179" s="81" t="s">
        <v>171</v>
      </c>
      <c r="C179" s="74" t="b">
        <v>0</v>
      </c>
      <c r="E179" s="82"/>
      <c r="G179" s="82"/>
      <c r="H179" s="74">
        <v>136.0</v>
      </c>
      <c r="I179" s="84"/>
      <c r="J179" s="74" t="s">
        <v>11</v>
      </c>
      <c r="K179" s="61">
        <v>45751.0</v>
      </c>
      <c r="L179" s="74" t="s">
        <v>138</v>
      </c>
      <c r="M179" s="74" t="s">
        <v>18</v>
      </c>
      <c r="N179" s="74" t="str">
        <f>IFERROR(__xludf.DUMMYFUNCTION("""COMPUTED_VALUE"""),"")</f>
        <v/>
      </c>
      <c r="O179" s="74" t="str">
        <f>IFERROR(__xludf.DUMMYFUNCTION("""COMPUTED_VALUE"""),"")</f>
        <v/>
      </c>
      <c r="P179" s="74" t="str">
        <f>IFERROR(__xludf.DUMMYFUNCTION("""COMPUTED_VALUE"""),"")</f>
        <v/>
      </c>
    </row>
    <row r="180">
      <c r="A180" s="60">
        <v>45751.83854016204</v>
      </c>
      <c r="B180" s="81" t="s">
        <v>149</v>
      </c>
      <c r="C180" s="74" t="b">
        <v>0</v>
      </c>
      <c r="E180" s="82"/>
      <c r="G180" s="82"/>
      <c r="H180" s="74">
        <v>168.0</v>
      </c>
      <c r="I180" s="84"/>
      <c r="J180" s="74" t="s">
        <v>12</v>
      </c>
      <c r="K180" s="61">
        <v>45751.0</v>
      </c>
      <c r="L180" s="74" t="s">
        <v>138</v>
      </c>
      <c r="M180" s="74" t="s">
        <v>18</v>
      </c>
      <c r="N180" s="74" t="str">
        <f>IFERROR(__xludf.DUMMYFUNCTION("""COMPUTED_VALUE"""),"")</f>
        <v/>
      </c>
      <c r="O180" s="74" t="str">
        <f>IFERROR(__xludf.DUMMYFUNCTION("""COMPUTED_VALUE"""),"")</f>
        <v/>
      </c>
      <c r="P180" s="74" t="str">
        <f>IFERROR(__xludf.DUMMYFUNCTION("""COMPUTED_VALUE"""),"")</f>
        <v/>
      </c>
    </row>
    <row r="181">
      <c r="A181" s="60">
        <v>45751.84361133102</v>
      </c>
      <c r="B181" s="81" t="s">
        <v>172</v>
      </c>
      <c r="C181" s="74" t="b">
        <v>0</v>
      </c>
      <c r="E181" s="82"/>
      <c r="G181" s="82"/>
      <c r="H181" s="74">
        <v>100.0</v>
      </c>
      <c r="I181" s="84"/>
      <c r="J181" s="74" t="s">
        <v>11</v>
      </c>
      <c r="K181" s="61">
        <v>45751.0</v>
      </c>
      <c r="L181" s="74" t="s">
        <v>138</v>
      </c>
      <c r="M181" s="74" t="s">
        <v>19</v>
      </c>
      <c r="N181" s="74">
        <f>IFERROR(__xludf.DUMMYFUNCTION("""COMPUTED_VALUE"""),304.0)</f>
        <v>304</v>
      </c>
      <c r="O181" s="74">
        <f>IFERROR(__xludf.DUMMYFUNCTION("""COMPUTED_VALUE"""),100.0)</f>
        <v>100</v>
      </c>
      <c r="P181" s="74">
        <f>IFERROR(__xludf.DUMMYFUNCTION("""COMPUTED_VALUE"""),404.0)</f>
        <v>404</v>
      </c>
    </row>
    <row r="182">
      <c r="A182" s="60">
        <v>45754.45827891204</v>
      </c>
      <c r="B182" s="81" t="s">
        <v>170</v>
      </c>
      <c r="C182" s="74" t="b">
        <v>0</v>
      </c>
      <c r="E182" s="82"/>
      <c r="G182" s="82"/>
      <c r="H182" s="74">
        <v>76.0</v>
      </c>
      <c r="I182" s="84"/>
      <c r="J182" s="74" t="s">
        <v>10</v>
      </c>
      <c r="K182" s="61">
        <v>45754.0</v>
      </c>
      <c r="L182" s="74" t="s">
        <v>129</v>
      </c>
      <c r="M182" s="74" t="s">
        <v>19</v>
      </c>
      <c r="N182" s="74" t="str">
        <f>IFERROR(__xludf.DUMMYFUNCTION("""COMPUTED_VALUE"""),"")</f>
        <v/>
      </c>
      <c r="O182" s="74" t="str">
        <f>IFERROR(__xludf.DUMMYFUNCTION("""COMPUTED_VALUE"""),"")</f>
        <v/>
      </c>
      <c r="P182" s="74" t="str">
        <f>IFERROR(__xludf.DUMMYFUNCTION("""COMPUTED_VALUE"""),"")</f>
        <v/>
      </c>
    </row>
    <row r="183">
      <c r="A183" s="60">
        <v>45754.67129015047</v>
      </c>
      <c r="B183" s="81" t="s">
        <v>153</v>
      </c>
      <c r="C183" s="74" t="b">
        <v>0</v>
      </c>
      <c r="E183" s="82"/>
      <c r="G183" s="82"/>
      <c r="H183" s="74">
        <v>216.0</v>
      </c>
      <c r="I183" s="84"/>
      <c r="J183" s="74" t="s">
        <v>11</v>
      </c>
      <c r="K183" s="61">
        <v>45754.0</v>
      </c>
      <c r="L183" s="74" t="s">
        <v>129</v>
      </c>
      <c r="M183" s="74" t="s">
        <v>19</v>
      </c>
      <c r="N183" s="74" t="str">
        <f>IFERROR(__xludf.DUMMYFUNCTION("""COMPUTED_VALUE"""),"")</f>
        <v/>
      </c>
      <c r="O183" s="74" t="str">
        <f>IFERROR(__xludf.DUMMYFUNCTION("""COMPUTED_VALUE"""),"")</f>
        <v/>
      </c>
      <c r="P183" s="74" t="str">
        <f>IFERROR(__xludf.DUMMYFUNCTION("""COMPUTED_VALUE"""),"")</f>
        <v/>
      </c>
    </row>
    <row r="184">
      <c r="A184" s="60">
        <v>45754.70528375</v>
      </c>
      <c r="B184" s="81" t="s">
        <v>173</v>
      </c>
      <c r="C184" s="74" t="b">
        <v>0</v>
      </c>
      <c r="E184" s="82"/>
      <c r="G184" s="82"/>
      <c r="H184" s="74">
        <v>91.0</v>
      </c>
      <c r="I184" s="84"/>
      <c r="J184" s="74" t="s">
        <v>11</v>
      </c>
      <c r="K184" s="61">
        <v>45754.0</v>
      </c>
      <c r="L184" s="74" t="s">
        <v>129</v>
      </c>
      <c r="M184" s="74" t="s">
        <v>18</v>
      </c>
      <c r="N184" s="74" t="str">
        <f>IFERROR(__xludf.DUMMYFUNCTION("""COMPUTED_VALUE"""),"")</f>
        <v/>
      </c>
      <c r="O184" s="74" t="str">
        <f>IFERROR(__xludf.DUMMYFUNCTION("""COMPUTED_VALUE"""),"")</f>
        <v/>
      </c>
      <c r="P184" s="74" t="str">
        <f>IFERROR(__xludf.DUMMYFUNCTION("""COMPUTED_VALUE"""),"")</f>
        <v/>
      </c>
    </row>
    <row r="185">
      <c r="A185" s="60">
        <v>45754.8724421412</v>
      </c>
      <c r="B185" s="81" t="s">
        <v>168</v>
      </c>
      <c r="C185" s="74" t="b">
        <v>0</v>
      </c>
      <c r="E185" s="82"/>
      <c r="G185" s="82"/>
      <c r="H185" s="74">
        <v>93.0</v>
      </c>
      <c r="I185" s="84"/>
      <c r="J185" s="74" t="s">
        <v>12</v>
      </c>
      <c r="K185" s="61">
        <v>45754.0</v>
      </c>
      <c r="L185" s="74" t="s">
        <v>129</v>
      </c>
      <c r="M185" s="74" t="s">
        <v>18</v>
      </c>
      <c r="N185" s="74" t="str">
        <f>IFERROR(__xludf.DUMMYFUNCTION("""COMPUTED_VALUE"""),"")</f>
        <v/>
      </c>
      <c r="O185" s="74" t="str">
        <f>IFERROR(__xludf.DUMMYFUNCTION("""COMPUTED_VALUE"""),"")</f>
        <v/>
      </c>
      <c r="P185" s="74" t="str">
        <f>IFERROR(__xludf.DUMMYFUNCTION("""COMPUTED_VALUE"""),"")</f>
        <v/>
      </c>
    </row>
    <row r="186">
      <c r="A186" s="60">
        <v>45754.88418136574</v>
      </c>
      <c r="B186" s="81" t="s">
        <v>149</v>
      </c>
      <c r="C186" s="74" t="b">
        <v>0</v>
      </c>
      <c r="E186" s="82"/>
      <c r="G186" s="82"/>
      <c r="H186" s="74">
        <v>128.0</v>
      </c>
      <c r="I186" s="84"/>
      <c r="J186" s="74" t="s">
        <v>12</v>
      </c>
      <c r="K186" s="61">
        <v>45754.0</v>
      </c>
      <c r="L186" s="74" t="s">
        <v>129</v>
      </c>
      <c r="M186" s="74" t="s">
        <v>19</v>
      </c>
      <c r="N186" s="74">
        <f>IFERROR(__xludf.DUMMYFUNCTION("""COMPUTED_VALUE"""),184.0)</f>
        <v>184</v>
      </c>
      <c r="O186" s="74">
        <f>IFERROR(__xludf.DUMMYFUNCTION("""COMPUTED_VALUE"""),420.0)</f>
        <v>420</v>
      </c>
      <c r="P186" s="74">
        <f>IFERROR(__xludf.DUMMYFUNCTION("""COMPUTED_VALUE"""),604.0)</f>
        <v>604</v>
      </c>
    </row>
    <row r="187">
      <c r="A187" s="60">
        <v>45755.4839155787</v>
      </c>
      <c r="B187" s="81" t="s">
        <v>167</v>
      </c>
      <c r="C187" s="74" t="b">
        <v>0</v>
      </c>
      <c r="E187" s="82"/>
      <c r="G187" s="82"/>
      <c r="H187" s="74">
        <v>62.0</v>
      </c>
      <c r="I187" s="84"/>
      <c r="J187" s="74" t="s">
        <v>10</v>
      </c>
      <c r="K187" s="61">
        <v>45755.0</v>
      </c>
      <c r="L187" s="74" t="s">
        <v>132</v>
      </c>
      <c r="M187" s="74" t="s">
        <v>19</v>
      </c>
      <c r="N187" s="74" t="str">
        <f>IFERROR(__xludf.DUMMYFUNCTION("""COMPUTED_VALUE"""),"")</f>
        <v/>
      </c>
      <c r="O187" s="74" t="str">
        <f>IFERROR(__xludf.DUMMYFUNCTION("""COMPUTED_VALUE"""),"")</f>
        <v/>
      </c>
      <c r="P187" s="74" t="str">
        <f>IFERROR(__xludf.DUMMYFUNCTION("""COMPUTED_VALUE"""),"")</f>
        <v/>
      </c>
    </row>
    <row r="188">
      <c r="A188" s="60">
        <v>45755.62108011574</v>
      </c>
      <c r="B188" s="81" t="s">
        <v>148</v>
      </c>
      <c r="C188" s="74" t="b">
        <v>0</v>
      </c>
      <c r="E188" s="82"/>
      <c r="G188" s="82"/>
      <c r="H188" s="74">
        <v>120.0</v>
      </c>
      <c r="I188" s="84"/>
      <c r="J188" s="74" t="s">
        <v>11</v>
      </c>
      <c r="K188" s="61">
        <v>45755.0</v>
      </c>
      <c r="L188" s="74" t="s">
        <v>132</v>
      </c>
      <c r="M188" s="74" t="s">
        <v>19</v>
      </c>
      <c r="N188" s="74" t="str">
        <f>IFERROR(__xludf.DUMMYFUNCTION("""COMPUTED_VALUE"""),"")</f>
        <v/>
      </c>
      <c r="O188" s="74" t="str">
        <f>IFERROR(__xludf.DUMMYFUNCTION("""COMPUTED_VALUE"""),"")</f>
        <v/>
      </c>
      <c r="P188" s="74" t="str">
        <f>IFERROR(__xludf.DUMMYFUNCTION("""COMPUTED_VALUE"""),"")</f>
        <v/>
      </c>
    </row>
    <row r="189">
      <c r="A189" s="60">
        <v>45755.65064763889</v>
      </c>
      <c r="B189" s="81" t="s">
        <v>167</v>
      </c>
      <c r="C189" s="74" t="b">
        <v>0</v>
      </c>
      <c r="E189" s="82"/>
      <c r="G189" s="82"/>
      <c r="H189" s="74">
        <v>117.0</v>
      </c>
      <c r="I189" s="84"/>
      <c r="J189" s="74" t="s">
        <v>11</v>
      </c>
      <c r="K189" s="61">
        <v>45755.0</v>
      </c>
      <c r="L189" s="74" t="s">
        <v>132</v>
      </c>
      <c r="M189" s="74" t="s">
        <v>18</v>
      </c>
      <c r="N189" s="74" t="str">
        <f>IFERROR(__xludf.DUMMYFUNCTION("""COMPUTED_VALUE"""),"")</f>
        <v/>
      </c>
      <c r="O189" s="74" t="str">
        <f>IFERROR(__xludf.DUMMYFUNCTION("""COMPUTED_VALUE"""),"")</f>
        <v/>
      </c>
      <c r="P189" s="74" t="str">
        <f>IFERROR(__xludf.DUMMYFUNCTION("""COMPUTED_VALUE"""),"")</f>
        <v/>
      </c>
    </row>
    <row r="190">
      <c r="A190" s="60">
        <v>45755.86593456018</v>
      </c>
      <c r="B190" s="81" t="s">
        <v>149</v>
      </c>
      <c r="C190" s="74" t="b">
        <v>0</v>
      </c>
      <c r="E190" s="82"/>
      <c r="G190" s="82"/>
      <c r="H190" s="74">
        <v>152.0</v>
      </c>
      <c r="I190" s="84"/>
      <c r="J190" s="74" t="s">
        <v>12</v>
      </c>
      <c r="K190" s="61">
        <v>45755.0</v>
      </c>
      <c r="L190" s="74" t="s">
        <v>132</v>
      </c>
      <c r="M190" s="74" t="s">
        <v>19</v>
      </c>
      <c r="N190" s="74">
        <f>IFERROR(__xludf.DUMMYFUNCTION("""COMPUTED_VALUE"""),117.0)</f>
        <v>117</v>
      </c>
      <c r="O190" s="74">
        <f>IFERROR(__xludf.DUMMYFUNCTION("""COMPUTED_VALUE"""),334.0)</f>
        <v>334</v>
      </c>
      <c r="P190" s="74">
        <f>IFERROR(__xludf.DUMMYFUNCTION("""COMPUTED_VALUE"""),451.0)</f>
        <v>451</v>
      </c>
    </row>
    <row r="191">
      <c r="A191" s="60">
        <v>45756.43302230324</v>
      </c>
      <c r="B191" s="81" t="s">
        <v>170</v>
      </c>
      <c r="C191" s="74" t="b">
        <v>0</v>
      </c>
      <c r="E191" s="82"/>
      <c r="G191" s="82"/>
      <c r="H191" s="74">
        <v>57.0</v>
      </c>
      <c r="I191" s="84"/>
      <c r="J191" s="74" t="s">
        <v>10</v>
      </c>
      <c r="K191" s="61">
        <v>45756.0</v>
      </c>
      <c r="L191" s="74" t="s">
        <v>135</v>
      </c>
      <c r="M191" s="74" t="s">
        <v>19</v>
      </c>
      <c r="N191" s="74" t="str">
        <f>IFERROR(__xludf.DUMMYFUNCTION("""COMPUTED_VALUE"""),"")</f>
        <v/>
      </c>
      <c r="O191" s="74" t="str">
        <f>IFERROR(__xludf.DUMMYFUNCTION("""COMPUTED_VALUE"""),"")</f>
        <v/>
      </c>
      <c r="P191" s="74" t="str">
        <f>IFERROR(__xludf.DUMMYFUNCTION("""COMPUTED_VALUE"""),"")</f>
        <v/>
      </c>
    </row>
    <row r="192">
      <c r="A192" s="60">
        <v>45756.57003575232</v>
      </c>
      <c r="B192" s="81" t="s">
        <v>171</v>
      </c>
      <c r="C192" s="74" t="b">
        <v>0</v>
      </c>
      <c r="E192" s="82"/>
      <c r="G192" s="82"/>
      <c r="H192" s="74">
        <v>69.0</v>
      </c>
      <c r="I192" s="84"/>
      <c r="J192" s="74" t="s">
        <v>11</v>
      </c>
      <c r="K192" s="61">
        <v>45756.0</v>
      </c>
      <c r="L192" s="74" t="s">
        <v>135</v>
      </c>
      <c r="M192" s="74" t="s">
        <v>18</v>
      </c>
      <c r="N192" s="74" t="str">
        <f>IFERROR(__xludf.DUMMYFUNCTION("""COMPUTED_VALUE"""),"")</f>
        <v/>
      </c>
      <c r="O192" s="74" t="str">
        <f>IFERROR(__xludf.DUMMYFUNCTION("""COMPUTED_VALUE"""),"")</f>
        <v/>
      </c>
      <c r="P192" s="74" t="str">
        <f>IFERROR(__xludf.DUMMYFUNCTION("""COMPUTED_VALUE"""),"")</f>
        <v/>
      </c>
    </row>
    <row r="193">
      <c r="A193" s="60">
        <v>45756.64273908565</v>
      </c>
      <c r="B193" s="81" t="s">
        <v>173</v>
      </c>
      <c r="C193" s="74" t="b">
        <v>0</v>
      </c>
      <c r="E193" s="82"/>
      <c r="G193" s="82"/>
      <c r="H193" s="74">
        <v>40.0</v>
      </c>
      <c r="I193" s="84"/>
      <c r="J193" s="74" t="s">
        <v>11</v>
      </c>
      <c r="K193" s="61">
        <v>45756.0</v>
      </c>
      <c r="L193" s="74" t="s">
        <v>135</v>
      </c>
      <c r="M193" s="74" t="s">
        <v>18</v>
      </c>
      <c r="N193" s="74" t="str">
        <f>IFERROR(__xludf.DUMMYFUNCTION("""COMPUTED_VALUE"""),"")</f>
        <v/>
      </c>
      <c r="O193" s="74" t="str">
        <f>IFERROR(__xludf.DUMMYFUNCTION("""COMPUTED_VALUE"""),"")</f>
        <v/>
      </c>
      <c r="P193" s="74" t="str">
        <f>IFERROR(__xludf.DUMMYFUNCTION("""COMPUTED_VALUE"""),"")</f>
        <v/>
      </c>
    </row>
    <row r="194">
      <c r="A194" s="60">
        <v>45756.67275935185</v>
      </c>
      <c r="B194" s="81" t="s">
        <v>153</v>
      </c>
      <c r="C194" s="74" t="b">
        <v>0</v>
      </c>
      <c r="E194" s="82"/>
      <c r="G194" s="82"/>
      <c r="H194" s="74">
        <v>184.0</v>
      </c>
      <c r="I194" s="84"/>
      <c r="J194" s="74" t="s">
        <v>11</v>
      </c>
      <c r="K194" s="61">
        <v>45756.0</v>
      </c>
      <c r="L194" s="74" t="s">
        <v>135</v>
      </c>
      <c r="M194" s="74" t="s">
        <v>19</v>
      </c>
      <c r="N194" s="74" t="str">
        <f>IFERROR(__xludf.DUMMYFUNCTION("""COMPUTED_VALUE"""),"")</f>
        <v/>
      </c>
      <c r="O194" s="74" t="str">
        <f>IFERROR(__xludf.DUMMYFUNCTION("""COMPUTED_VALUE"""),"")</f>
        <v/>
      </c>
      <c r="P194" s="74" t="str">
        <f>IFERROR(__xludf.DUMMYFUNCTION("""COMPUTED_VALUE"""),"")</f>
        <v/>
      </c>
    </row>
    <row r="195">
      <c r="A195" s="60">
        <v>45756.8693002662</v>
      </c>
      <c r="B195" s="81" t="s">
        <v>168</v>
      </c>
      <c r="C195" s="74" t="b">
        <v>0</v>
      </c>
      <c r="E195" s="82"/>
      <c r="G195" s="82"/>
      <c r="H195" s="74">
        <v>113.0</v>
      </c>
      <c r="I195" s="84"/>
      <c r="J195" s="74" t="s">
        <v>12</v>
      </c>
      <c r="K195" s="61">
        <v>45756.0</v>
      </c>
      <c r="L195" s="74" t="s">
        <v>135</v>
      </c>
      <c r="M195" s="74" t="s">
        <v>18</v>
      </c>
      <c r="N195" s="74" t="str">
        <f>IFERROR(__xludf.DUMMYFUNCTION("""COMPUTED_VALUE"""),"")</f>
        <v/>
      </c>
      <c r="O195" s="74" t="str">
        <f>IFERROR(__xludf.DUMMYFUNCTION("""COMPUTED_VALUE"""),"")</f>
        <v/>
      </c>
      <c r="P195" s="74" t="str">
        <f>IFERROR(__xludf.DUMMYFUNCTION("""COMPUTED_VALUE"""),"")</f>
        <v/>
      </c>
    </row>
    <row r="196">
      <c r="A196" s="60">
        <v>45756.87726829861</v>
      </c>
      <c r="B196" s="81" t="s">
        <v>174</v>
      </c>
      <c r="C196" s="74" t="b">
        <v>0</v>
      </c>
      <c r="E196" s="82"/>
      <c r="G196" s="82"/>
      <c r="H196" s="74">
        <v>149.0</v>
      </c>
      <c r="I196" s="84"/>
      <c r="J196" s="74" t="s">
        <v>12</v>
      </c>
      <c r="K196" s="61">
        <v>45756.0</v>
      </c>
      <c r="L196" s="74" t="s">
        <v>135</v>
      </c>
      <c r="M196" s="74" t="s">
        <v>19</v>
      </c>
      <c r="N196" s="74">
        <f>IFERROR(__xludf.DUMMYFUNCTION("""COMPUTED_VALUE"""),222.0)</f>
        <v>222</v>
      </c>
      <c r="O196" s="74">
        <f>IFERROR(__xludf.DUMMYFUNCTION("""COMPUTED_VALUE"""),390.0)</f>
        <v>390</v>
      </c>
      <c r="P196" s="74">
        <f>IFERROR(__xludf.DUMMYFUNCTION("""COMPUTED_VALUE"""),612.0)</f>
        <v>612</v>
      </c>
    </row>
    <row r="197">
      <c r="A197" s="60">
        <v>45757.54250018518</v>
      </c>
      <c r="B197" s="81" t="s">
        <v>173</v>
      </c>
      <c r="C197" s="74" t="b">
        <v>0</v>
      </c>
      <c r="E197" s="82"/>
      <c r="G197" s="82"/>
      <c r="H197" s="74">
        <v>48.0</v>
      </c>
      <c r="I197" s="84"/>
      <c r="J197" s="74" t="s">
        <v>11</v>
      </c>
      <c r="K197" s="61">
        <v>45757.0</v>
      </c>
      <c r="L197" s="74" t="s">
        <v>137</v>
      </c>
      <c r="M197" s="74" t="s">
        <v>18</v>
      </c>
      <c r="N197" s="74" t="str">
        <f>IFERROR(__xludf.DUMMYFUNCTION("""COMPUTED_VALUE"""),"")</f>
        <v/>
      </c>
      <c r="O197" s="74" t="str">
        <f>IFERROR(__xludf.DUMMYFUNCTION("""COMPUTED_VALUE"""),"")</f>
        <v/>
      </c>
      <c r="P197" s="74" t="str">
        <f>IFERROR(__xludf.DUMMYFUNCTION("""COMPUTED_VALUE"""),"")</f>
        <v/>
      </c>
    </row>
    <row r="198">
      <c r="A198" s="60">
        <v>45757.62083114583</v>
      </c>
      <c r="B198" s="81" t="s">
        <v>148</v>
      </c>
      <c r="C198" s="74" t="b">
        <v>0</v>
      </c>
      <c r="E198" s="82"/>
      <c r="G198" s="82"/>
      <c r="H198" s="74">
        <v>107.0</v>
      </c>
      <c r="I198" s="84"/>
      <c r="J198" s="74" t="s">
        <v>11</v>
      </c>
      <c r="K198" s="61">
        <v>45757.0</v>
      </c>
      <c r="L198" s="74" t="s">
        <v>137</v>
      </c>
      <c r="M198" s="74" t="s">
        <v>19</v>
      </c>
      <c r="N198" s="74" t="str">
        <f>IFERROR(__xludf.DUMMYFUNCTION("""COMPUTED_VALUE"""),"")</f>
        <v/>
      </c>
      <c r="O198" s="74" t="str">
        <f>IFERROR(__xludf.DUMMYFUNCTION("""COMPUTED_VALUE"""),"")</f>
        <v/>
      </c>
      <c r="P198" s="74" t="str">
        <f>IFERROR(__xludf.DUMMYFUNCTION("""COMPUTED_VALUE"""),"")</f>
        <v/>
      </c>
    </row>
    <row r="199">
      <c r="A199" s="60">
        <v>45757.71045429399</v>
      </c>
      <c r="B199" s="81" t="s">
        <v>172</v>
      </c>
      <c r="C199" s="74" t="b">
        <v>0</v>
      </c>
      <c r="E199" s="82"/>
      <c r="G199" s="82"/>
      <c r="H199" s="74">
        <v>92.0</v>
      </c>
      <c r="I199" s="84"/>
      <c r="J199" s="74" t="s">
        <v>11</v>
      </c>
      <c r="K199" s="61">
        <v>45757.0</v>
      </c>
      <c r="L199" s="74" t="s">
        <v>137</v>
      </c>
      <c r="M199" s="74" t="s">
        <v>18</v>
      </c>
      <c r="N199" s="74" t="str">
        <f>IFERROR(__xludf.DUMMYFUNCTION("""COMPUTED_VALUE"""),"")</f>
        <v/>
      </c>
      <c r="O199" s="74" t="str">
        <f>IFERROR(__xludf.DUMMYFUNCTION("""COMPUTED_VALUE"""),"")</f>
        <v/>
      </c>
      <c r="P199" s="74" t="str">
        <f>IFERROR(__xludf.DUMMYFUNCTION("""COMPUTED_VALUE"""),"")</f>
        <v/>
      </c>
    </row>
    <row r="200">
      <c r="A200" s="60">
        <v>45757.8817015625</v>
      </c>
      <c r="B200" s="81" t="s">
        <v>174</v>
      </c>
      <c r="C200" s="74" t="b">
        <v>0</v>
      </c>
      <c r="E200" s="82"/>
      <c r="G200" s="82"/>
      <c r="H200" s="74">
        <v>130.0</v>
      </c>
      <c r="I200" s="84"/>
      <c r="J200" s="74" t="s">
        <v>12</v>
      </c>
      <c r="K200" s="61">
        <v>45757.0</v>
      </c>
      <c r="L200" s="74" t="s">
        <v>137</v>
      </c>
      <c r="M200" s="74" t="s">
        <v>19</v>
      </c>
      <c r="N200" s="74" t="str">
        <f>IFERROR(__xludf.DUMMYFUNCTION("""COMPUTED_VALUE"""),"")</f>
        <v/>
      </c>
      <c r="O200" s="74" t="str">
        <f>IFERROR(__xludf.DUMMYFUNCTION("""COMPUTED_VALUE"""),"")</f>
        <v/>
      </c>
      <c r="P200" s="74" t="str">
        <f>IFERROR(__xludf.DUMMYFUNCTION("""COMPUTED_VALUE"""),"")</f>
        <v/>
      </c>
    </row>
    <row r="201">
      <c r="A201" s="60">
        <v>45758.26769672454</v>
      </c>
      <c r="B201" s="81" t="s">
        <v>171</v>
      </c>
      <c r="C201" s="74" t="b">
        <v>0</v>
      </c>
      <c r="E201" s="82"/>
      <c r="G201" s="82"/>
      <c r="H201" s="74">
        <v>115.0</v>
      </c>
      <c r="I201" s="84"/>
      <c r="J201" s="74" t="s">
        <v>12</v>
      </c>
      <c r="K201" s="61">
        <v>45757.0</v>
      </c>
      <c r="L201" s="74" t="s">
        <v>137</v>
      </c>
      <c r="M201" s="74" t="s">
        <v>18</v>
      </c>
      <c r="N201" s="74" t="str">
        <f>IFERROR(__xludf.DUMMYFUNCTION("""COMPUTED_VALUE"""),"")</f>
        <v/>
      </c>
      <c r="O201" s="74" t="str">
        <f>IFERROR(__xludf.DUMMYFUNCTION("""COMPUTED_VALUE"""),"")</f>
        <v/>
      </c>
      <c r="P201" s="74" t="str">
        <f>IFERROR(__xludf.DUMMYFUNCTION("""COMPUTED_VALUE"""),"")</f>
        <v/>
      </c>
    </row>
    <row r="202">
      <c r="A202" s="60">
        <v>45765.4369315625</v>
      </c>
      <c r="B202" s="81" t="s">
        <v>136</v>
      </c>
      <c r="C202" s="74" t="b">
        <v>0</v>
      </c>
      <c r="E202" s="82"/>
      <c r="G202" s="82"/>
      <c r="H202" s="74">
        <v>61.0</v>
      </c>
      <c r="I202" s="84"/>
      <c r="J202" s="74" t="s">
        <v>10</v>
      </c>
      <c r="K202" s="61">
        <v>45757.0</v>
      </c>
      <c r="L202" s="74" t="s">
        <v>137</v>
      </c>
      <c r="M202" s="74" t="s">
        <v>19</v>
      </c>
      <c r="N202" s="74">
        <f>IFERROR(__xludf.DUMMYFUNCTION("""COMPUTED_VALUE"""),255.0)</f>
        <v>255</v>
      </c>
      <c r="O202" s="74">
        <f>IFERROR(__xludf.DUMMYFUNCTION("""COMPUTED_VALUE"""),298.0)</f>
        <v>298</v>
      </c>
      <c r="P202" s="74">
        <f>IFERROR(__xludf.DUMMYFUNCTION("""COMPUTED_VALUE"""),553.0)</f>
        <v>553</v>
      </c>
    </row>
    <row r="203">
      <c r="A203" s="60">
        <v>45758.61308925926</v>
      </c>
      <c r="B203" s="81" t="s">
        <v>172</v>
      </c>
      <c r="C203" s="74" t="b">
        <v>0</v>
      </c>
      <c r="E203" s="82"/>
      <c r="G203" s="82"/>
      <c r="H203" s="74">
        <v>118.0</v>
      </c>
      <c r="I203" s="84"/>
      <c r="J203" s="74" t="s">
        <v>11</v>
      </c>
      <c r="K203" s="61">
        <v>45758.0</v>
      </c>
      <c r="L203" s="74" t="s">
        <v>138</v>
      </c>
      <c r="M203" s="74" t="s">
        <v>19</v>
      </c>
      <c r="N203" s="74" t="str">
        <f>IFERROR(__xludf.DUMMYFUNCTION("""COMPUTED_VALUE"""),"")</f>
        <v/>
      </c>
      <c r="O203" s="74" t="str">
        <f>IFERROR(__xludf.DUMMYFUNCTION("""COMPUTED_VALUE"""),"")</f>
        <v/>
      </c>
      <c r="P203" s="74" t="str">
        <f>IFERROR(__xludf.DUMMYFUNCTION("""COMPUTED_VALUE"""),"")</f>
        <v/>
      </c>
    </row>
    <row r="204">
      <c r="A204" s="60">
        <v>45765.4372817824</v>
      </c>
      <c r="B204" s="81" t="s">
        <v>136</v>
      </c>
      <c r="C204" s="74" t="b">
        <v>0</v>
      </c>
      <c r="E204" s="82"/>
      <c r="G204" s="82"/>
      <c r="H204" s="74">
        <v>51.0</v>
      </c>
      <c r="I204" s="84"/>
      <c r="J204" s="74" t="s">
        <v>10</v>
      </c>
      <c r="K204" s="61">
        <v>45758.0</v>
      </c>
      <c r="L204" s="74" t="s">
        <v>138</v>
      </c>
      <c r="M204" s="74" t="s">
        <v>19</v>
      </c>
      <c r="N204" s="74" t="str">
        <f>IFERROR(__xludf.DUMMYFUNCTION("""COMPUTED_VALUE"""),"")</f>
        <v/>
      </c>
      <c r="O204" s="74">
        <f>IFERROR(__xludf.DUMMYFUNCTION("""COMPUTED_VALUE"""),169.0)</f>
        <v>169</v>
      </c>
      <c r="P204" s="74">
        <f>IFERROR(__xludf.DUMMYFUNCTION("""COMPUTED_VALUE"""),169.0)</f>
        <v>169</v>
      </c>
    </row>
    <row r="205">
      <c r="A205" s="60">
        <v>45761.44038703704</v>
      </c>
      <c r="B205" s="81" t="s">
        <v>170</v>
      </c>
      <c r="C205" s="74" t="b">
        <v>0</v>
      </c>
      <c r="E205" s="82"/>
      <c r="G205" s="82"/>
      <c r="H205" s="74">
        <v>72.0</v>
      </c>
      <c r="I205" s="84"/>
      <c r="J205" s="74" t="s">
        <v>10</v>
      </c>
      <c r="K205" s="61">
        <v>45761.0</v>
      </c>
      <c r="L205" s="74" t="s">
        <v>129</v>
      </c>
      <c r="M205" s="74" t="s">
        <v>19</v>
      </c>
      <c r="N205" s="74" t="str">
        <f>IFERROR(__xludf.DUMMYFUNCTION("""COMPUTED_VALUE"""),"")</f>
        <v/>
      </c>
      <c r="O205" s="74" t="str">
        <f>IFERROR(__xludf.DUMMYFUNCTION("""COMPUTED_VALUE"""),"")</f>
        <v/>
      </c>
      <c r="P205" s="74" t="str">
        <f>IFERROR(__xludf.DUMMYFUNCTION("""COMPUTED_VALUE"""),"")</f>
        <v/>
      </c>
    </row>
    <row r="206">
      <c r="A206" s="60">
        <v>45761.7082669213</v>
      </c>
      <c r="B206" s="81" t="s">
        <v>173</v>
      </c>
      <c r="C206" s="74" t="b">
        <v>0</v>
      </c>
      <c r="E206" s="82"/>
      <c r="G206" s="82"/>
      <c r="H206" s="74">
        <v>125.0</v>
      </c>
      <c r="I206" s="84"/>
      <c r="J206" s="74" t="s">
        <v>11</v>
      </c>
      <c r="K206" s="61">
        <v>45761.0</v>
      </c>
      <c r="L206" s="74" t="s">
        <v>129</v>
      </c>
      <c r="M206" s="74" t="s">
        <v>18</v>
      </c>
      <c r="N206" s="74" t="str">
        <f>IFERROR(__xludf.DUMMYFUNCTION("""COMPUTED_VALUE"""),"")</f>
        <v/>
      </c>
      <c r="O206" s="74" t="str">
        <f>IFERROR(__xludf.DUMMYFUNCTION("""COMPUTED_VALUE"""),"")</f>
        <v/>
      </c>
      <c r="P206" s="74" t="str">
        <f>IFERROR(__xludf.DUMMYFUNCTION("""COMPUTED_VALUE"""),"")</f>
        <v/>
      </c>
    </row>
    <row r="207">
      <c r="A207" s="60">
        <v>45761.86821484954</v>
      </c>
      <c r="B207" s="81" t="s">
        <v>168</v>
      </c>
      <c r="C207" s="74" t="b">
        <v>0</v>
      </c>
      <c r="E207" s="82"/>
      <c r="G207" s="82"/>
      <c r="H207" s="74">
        <v>178.0</v>
      </c>
      <c r="I207" s="84"/>
      <c r="J207" s="74" t="s">
        <v>12</v>
      </c>
      <c r="K207" s="61">
        <v>45761.0</v>
      </c>
      <c r="L207" s="74" t="s">
        <v>129</v>
      </c>
      <c r="M207" s="74" t="s">
        <v>18</v>
      </c>
      <c r="N207" s="74" t="str">
        <f>IFERROR(__xludf.DUMMYFUNCTION("""COMPUTED_VALUE"""),"")</f>
        <v/>
      </c>
      <c r="O207" s="74" t="str">
        <f>IFERROR(__xludf.DUMMYFUNCTION("""COMPUTED_VALUE"""),"")</f>
        <v/>
      </c>
      <c r="P207" s="74" t="str">
        <f>IFERROR(__xludf.DUMMYFUNCTION("""COMPUTED_VALUE"""),"")</f>
        <v/>
      </c>
    </row>
    <row r="208">
      <c r="A208" s="60">
        <v>45761.87694636574</v>
      </c>
      <c r="B208" s="81" t="s">
        <v>149</v>
      </c>
      <c r="C208" s="74" t="b">
        <v>0</v>
      </c>
      <c r="E208" s="82"/>
      <c r="G208" s="82"/>
      <c r="H208" s="74">
        <v>306.0</v>
      </c>
      <c r="I208" s="84"/>
      <c r="J208" s="74" t="s">
        <v>12</v>
      </c>
      <c r="K208" s="61">
        <v>45761.0</v>
      </c>
      <c r="L208" s="74" t="s">
        <v>129</v>
      </c>
      <c r="M208" s="74" t="s">
        <v>19</v>
      </c>
      <c r="N208" s="74">
        <f>IFERROR(__xludf.DUMMYFUNCTION("""COMPUTED_VALUE"""),303.0)</f>
        <v>303</v>
      </c>
      <c r="O208" s="74">
        <f>IFERROR(__xludf.DUMMYFUNCTION("""COMPUTED_VALUE"""),378.0)</f>
        <v>378</v>
      </c>
      <c r="P208" s="74">
        <f>IFERROR(__xludf.DUMMYFUNCTION("""COMPUTED_VALUE"""),681.0)</f>
        <v>681</v>
      </c>
    </row>
    <row r="209">
      <c r="A209" s="60">
        <v>45762.44018482639</v>
      </c>
      <c r="B209" s="81" t="s">
        <v>167</v>
      </c>
      <c r="C209" s="74" t="b">
        <v>0</v>
      </c>
      <c r="E209" s="82"/>
      <c r="G209" s="82"/>
      <c r="H209" s="74">
        <v>67.0</v>
      </c>
      <c r="I209" s="84"/>
      <c r="J209" s="74" t="s">
        <v>10</v>
      </c>
      <c r="K209" s="61">
        <v>45762.0</v>
      </c>
      <c r="L209" s="74" t="s">
        <v>132</v>
      </c>
      <c r="M209" s="74" t="s">
        <v>19</v>
      </c>
      <c r="N209" s="74" t="str">
        <f>IFERROR(__xludf.DUMMYFUNCTION("""COMPUTED_VALUE"""),"")</f>
        <v/>
      </c>
      <c r="O209" s="74" t="str">
        <f>IFERROR(__xludf.DUMMYFUNCTION("""COMPUTED_VALUE"""),"")</f>
        <v/>
      </c>
      <c r="P209" s="74" t="str">
        <f>IFERROR(__xludf.DUMMYFUNCTION("""COMPUTED_VALUE"""),"")</f>
        <v/>
      </c>
    </row>
    <row r="210">
      <c r="A210" s="60">
        <v>45762.61588063657</v>
      </c>
      <c r="B210" s="81" t="s">
        <v>148</v>
      </c>
      <c r="C210" s="74" t="b">
        <v>0</v>
      </c>
      <c r="E210" s="82"/>
      <c r="G210" s="82"/>
      <c r="H210" s="74">
        <v>112.0</v>
      </c>
      <c r="I210" s="84"/>
      <c r="J210" s="74" t="s">
        <v>11</v>
      </c>
      <c r="K210" s="61">
        <v>45762.0</v>
      </c>
      <c r="L210" s="74" t="s">
        <v>132</v>
      </c>
      <c r="M210" s="74" t="s">
        <v>19</v>
      </c>
      <c r="N210" s="74" t="str">
        <f>IFERROR(__xludf.DUMMYFUNCTION("""COMPUTED_VALUE"""),"")</f>
        <v/>
      </c>
      <c r="O210" s="74" t="str">
        <f>IFERROR(__xludf.DUMMYFUNCTION("""COMPUTED_VALUE"""),"")</f>
        <v/>
      </c>
      <c r="P210" s="74" t="str">
        <f>IFERROR(__xludf.DUMMYFUNCTION("""COMPUTED_VALUE"""),"")</f>
        <v/>
      </c>
    </row>
    <row r="211">
      <c r="A211" s="60">
        <v>45762.63977005787</v>
      </c>
      <c r="B211" s="81" t="s">
        <v>167</v>
      </c>
      <c r="C211" s="74" t="b">
        <v>0</v>
      </c>
      <c r="E211" s="82"/>
      <c r="G211" s="82"/>
      <c r="H211" s="74">
        <v>112.0</v>
      </c>
      <c r="I211" s="84"/>
      <c r="J211" s="74" t="s">
        <v>11</v>
      </c>
      <c r="K211" s="61">
        <v>45762.0</v>
      </c>
      <c r="L211" s="74" t="s">
        <v>132</v>
      </c>
      <c r="M211" s="74" t="s">
        <v>18</v>
      </c>
      <c r="N211" s="74" t="str">
        <f>IFERROR(__xludf.DUMMYFUNCTION("""COMPUTED_VALUE"""),"")</f>
        <v/>
      </c>
      <c r="O211" s="74" t="str">
        <f>IFERROR(__xludf.DUMMYFUNCTION("""COMPUTED_VALUE"""),"")</f>
        <v/>
      </c>
      <c r="P211" s="74" t="str">
        <f>IFERROR(__xludf.DUMMYFUNCTION("""COMPUTED_VALUE"""),"")</f>
        <v/>
      </c>
    </row>
    <row r="212">
      <c r="A212" s="60">
        <v>45762.88070689815</v>
      </c>
      <c r="B212" s="81" t="s">
        <v>149</v>
      </c>
      <c r="C212" s="74" t="b">
        <v>0</v>
      </c>
      <c r="E212" s="82"/>
      <c r="G212" s="82"/>
      <c r="H212" s="74">
        <v>259.0</v>
      </c>
      <c r="I212" s="84"/>
      <c r="J212" s="74" t="s">
        <v>12</v>
      </c>
      <c r="K212" s="61">
        <v>45762.0</v>
      </c>
      <c r="L212" s="74" t="s">
        <v>132</v>
      </c>
      <c r="M212" s="74" t="s">
        <v>19</v>
      </c>
      <c r="N212" s="74" t="str">
        <f>IFERROR(__xludf.DUMMYFUNCTION("""COMPUTED_VALUE"""),"")</f>
        <v/>
      </c>
      <c r="O212" s="74" t="str">
        <f>IFERROR(__xludf.DUMMYFUNCTION("""COMPUTED_VALUE"""),"")</f>
        <v/>
      </c>
      <c r="P212" s="74" t="str">
        <f>IFERROR(__xludf.DUMMYFUNCTION("""COMPUTED_VALUE"""),"")</f>
        <v/>
      </c>
    </row>
    <row r="213">
      <c r="A213" s="60">
        <v>45762.99566087963</v>
      </c>
      <c r="B213" s="81" t="s">
        <v>167</v>
      </c>
      <c r="C213" s="74" t="b">
        <v>0</v>
      </c>
      <c r="E213" s="82"/>
      <c r="G213" s="82"/>
      <c r="H213" s="74">
        <v>148.0</v>
      </c>
      <c r="I213" s="84"/>
      <c r="J213" s="74" t="s">
        <v>12</v>
      </c>
      <c r="K213" s="61">
        <v>45762.0</v>
      </c>
      <c r="L213" s="74" t="s">
        <v>132</v>
      </c>
      <c r="M213" s="74" t="s">
        <v>18</v>
      </c>
      <c r="N213" s="74">
        <f>IFERROR(__xludf.DUMMYFUNCTION("""COMPUTED_VALUE"""),260.0)</f>
        <v>260</v>
      </c>
      <c r="O213" s="74">
        <f>IFERROR(__xludf.DUMMYFUNCTION("""COMPUTED_VALUE"""),438.0)</f>
        <v>438</v>
      </c>
      <c r="P213" s="74">
        <f>IFERROR(__xludf.DUMMYFUNCTION("""COMPUTED_VALUE"""),698.0)</f>
        <v>698</v>
      </c>
    </row>
    <row r="214">
      <c r="A214" s="60">
        <v>45763.64419923611</v>
      </c>
      <c r="B214" s="81" t="s">
        <v>173</v>
      </c>
      <c r="C214" s="74" t="b">
        <v>0</v>
      </c>
      <c r="E214" s="82"/>
      <c r="G214" s="82"/>
      <c r="H214" s="74">
        <v>54.0</v>
      </c>
      <c r="I214" s="84"/>
      <c r="J214" s="74" t="s">
        <v>11</v>
      </c>
      <c r="K214" s="61">
        <v>45763.0</v>
      </c>
      <c r="L214" s="74" t="s">
        <v>135</v>
      </c>
      <c r="M214" s="74" t="s">
        <v>18</v>
      </c>
      <c r="N214" s="74" t="str">
        <f>IFERROR(__xludf.DUMMYFUNCTION("""COMPUTED_VALUE"""),"")</f>
        <v/>
      </c>
      <c r="O214" s="74" t="str">
        <f>IFERROR(__xludf.DUMMYFUNCTION("""COMPUTED_VALUE"""),"")</f>
        <v/>
      </c>
      <c r="P214" s="74" t="str">
        <f>IFERROR(__xludf.DUMMYFUNCTION("""COMPUTED_VALUE"""),"")</f>
        <v/>
      </c>
    </row>
    <row r="215">
      <c r="A215" s="60">
        <v>45763.43614578704</v>
      </c>
      <c r="B215" s="81" t="s">
        <v>170</v>
      </c>
      <c r="C215" s="74" t="b">
        <v>0</v>
      </c>
      <c r="E215" s="82"/>
      <c r="G215" s="82"/>
      <c r="H215" s="74">
        <v>98.0</v>
      </c>
      <c r="I215" s="84"/>
      <c r="J215" s="74" t="s">
        <v>10</v>
      </c>
      <c r="K215" s="61">
        <v>45763.0</v>
      </c>
      <c r="L215" s="74" t="s">
        <v>135</v>
      </c>
      <c r="M215" s="74" t="s">
        <v>19</v>
      </c>
      <c r="N215" s="74" t="str">
        <f>IFERROR(__xludf.DUMMYFUNCTION("""COMPUTED_VALUE"""),"")</f>
        <v/>
      </c>
      <c r="O215" s="74" t="str">
        <f>IFERROR(__xludf.DUMMYFUNCTION("""COMPUTED_VALUE"""),"")</f>
        <v/>
      </c>
      <c r="P215" s="74" t="str">
        <f>IFERROR(__xludf.DUMMYFUNCTION("""COMPUTED_VALUE"""),"")</f>
        <v/>
      </c>
    </row>
    <row r="216">
      <c r="A216" s="60">
        <v>45763.70995597222</v>
      </c>
      <c r="B216" s="81" t="s">
        <v>171</v>
      </c>
      <c r="C216" s="74" t="b">
        <v>0</v>
      </c>
      <c r="E216" s="82"/>
      <c r="G216" s="82"/>
      <c r="H216" s="74">
        <v>98.0</v>
      </c>
      <c r="I216" s="84"/>
      <c r="J216" s="74" t="s">
        <v>11</v>
      </c>
      <c r="K216" s="61">
        <v>45763.0</v>
      </c>
      <c r="L216" s="74" t="s">
        <v>135</v>
      </c>
      <c r="M216" s="74" t="s">
        <v>18</v>
      </c>
      <c r="N216" s="74" t="str">
        <f>IFERROR(__xludf.DUMMYFUNCTION("""COMPUTED_VALUE"""),"")</f>
        <v/>
      </c>
      <c r="O216" s="74" t="str">
        <f>IFERROR(__xludf.DUMMYFUNCTION("""COMPUTED_VALUE"""),"")</f>
        <v/>
      </c>
      <c r="P216" s="74" t="str">
        <f>IFERROR(__xludf.DUMMYFUNCTION("""COMPUTED_VALUE"""),"")</f>
        <v/>
      </c>
    </row>
    <row r="217">
      <c r="A217" s="60">
        <v>45763.86965652778</v>
      </c>
      <c r="B217" s="81" t="s">
        <v>168</v>
      </c>
      <c r="C217" s="74" t="b">
        <v>0</v>
      </c>
      <c r="E217" s="82"/>
      <c r="G217" s="82"/>
      <c r="H217" s="74">
        <v>114.0</v>
      </c>
      <c r="I217" s="84"/>
      <c r="J217" s="74" t="s">
        <v>12</v>
      </c>
      <c r="K217" s="61">
        <v>45763.0</v>
      </c>
      <c r="L217" s="74" t="s">
        <v>135</v>
      </c>
      <c r="M217" s="74" t="s">
        <v>18</v>
      </c>
      <c r="N217" s="74" t="str">
        <f>IFERROR(__xludf.DUMMYFUNCTION("""COMPUTED_VALUE"""),"")</f>
        <v/>
      </c>
      <c r="O217" s="74" t="str">
        <f>IFERROR(__xludf.DUMMYFUNCTION("""COMPUTED_VALUE"""),"")</f>
        <v/>
      </c>
      <c r="P217" s="74" t="str">
        <f>IFERROR(__xludf.DUMMYFUNCTION("""COMPUTED_VALUE"""),"")</f>
        <v/>
      </c>
    </row>
    <row r="218">
      <c r="A218" s="60">
        <v>45763.88468785879</v>
      </c>
      <c r="B218" s="81" t="s">
        <v>174</v>
      </c>
      <c r="C218" s="74" t="b">
        <v>0</v>
      </c>
      <c r="E218" s="82"/>
      <c r="G218" s="82"/>
      <c r="H218" s="74">
        <v>132.0</v>
      </c>
      <c r="I218" s="84"/>
      <c r="J218" s="74" t="s">
        <v>12</v>
      </c>
      <c r="K218" s="61">
        <v>45763.0</v>
      </c>
      <c r="L218" s="74" t="s">
        <v>135</v>
      </c>
      <c r="M218" s="74" t="s">
        <v>19</v>
      </c>
      <c r="N218" s="74">
        <f>IFERROR(__xludf.DUMMYFUNCTION("""COMPUTED_VALUE"""),266.0)</f>
        <v>266</v>
      </c>
      <c r="O218" s="74">
        <f>IFERROR(__xludf.DUMMYFUNCTION("""COMPUTED_VALUE"""),230.0)</f>
        <v>230</v>
      </c>
      <c r="P218" s="74">
        <f>IFERROR(__xludf.DUMMYFUNCTION("""COMPUTED_VALUE"""),496.0)</f>
        <v>496</v>
      </c>
    </row>
    <row r="219">
      <c r="A219" s="60">
        <v>45764.61936006945</v>
      </c>
      <c r="B219" s="81" t="s">
        <v>148</v>
      </c>
      <c r="C219" s="74" t="b">
        <v>0</v>
      </c>
      <c r="E219" s="82"/>
      <c r="G219" s="82"/>
      <c r="H219" s="74">
        <v>131.0</v>
      </c>
      <c r="I219" s="84"/>
      <c r="J219" s="74" t="s">
        <v>11</v>
      </c>
      <c r="K219" s="61">
        <v>45764.0</v>
      </c>
      <c r="L219" s="74" t="s">
        <v>137</v>
      </c>
      <c r="M219" s="74" t="s">
        <v>19</v>
      </c>
      <c r="N219" s="74" t="str">
        <f>IFERROR(__xludf.DUMMYFUNCTION("""COMPUTED_VALUE"""),"")</f>
        <v/>
      </c>
      <c r="O219" s="74" t="str">
        <f>IFERROR(__xludf.DUMMYFUNCTION("""COMPUTED_VALUE"""),"")</f>
        <v/>
      </c>
      <c r="P219" s="74" t="str">
        <f>IFERROR(__xludf.DUMMYFUNCTION("""COMPUTED_VALUE"""),"")</f>
        <v/>
      </c>
    </row>
    <row r="220">
      <c r="A220" s="60">
        <v>45764.70649788195</v>
      </c>
      <c r="B220" s="81" t="s">
        <v>172</v>
      </c>
      <c r="C220" s="74" t="b">
        <v>0</v>
      </c>
      <c r="E220" s="82"/>
      <c r="G220" s="82"/>
      <c r="H220" s="74">
        <v>101.0</v>
      </c>
      <c r="I220" s="84"/>
      <c r="J220" s="74" t="s">
        <v>11</v>
      </c>
      <c r="K220" s="61">
        <v>45764.0</v>
      </c>
      <c r="L220" s="74" t="s">
        <v>137</v>
      </c>
      <c r="M220" s="74" t="s">
        <v>18</v>
      </c>
      <c r="N220" s="74" t="str">
        <f>IFERROR(__xludf.DUMMYFUNCTION("""COMPUTED_VALUE"""),"")</f>
        <v/>
      </c>
      <c r="O220" s="74" t="str">
        <f>IFERROR(__xludf.DUMMYFUNCTION("""COMPUTED_VALUE"""),"")</f>
        <v/>
      </c>
      <c r="P220" s="74" t="str">
        <f>IFERROR(__xludf.DUMMYFUNCTION("""COMPUTED_VALUE"""),"")</f>
        <v/>
      </c>
    </row>
    <row r="221">
      <c r="A221" s="60">
        <v>45764.76117707176</v>
      </c>
      <c r="B221" s="81" t="s">
        <v>149</v>
      </c>
      <c r="C221" s="74" t="b">
        <v>0</v>
      </c>
      <c r="E221" s="82"/>
      <c r="G221" s="82"/>
      <c r="H221" s="74">
        <v>37.0</v>
      </c>
      <c r="I221" s="84"/>
      <c r="J221" s="74" t="s">
        <v>12</v>
      </c>
      <c r="K221" s="61">
        <v>45764.0</v>
      </c>
      <c r="L221" s="74" t="s">
        <v>137</v>
      </c>
      <c r="M221" s="74" t="s">
        <v>18</v>
      </c>
      <c r="N221" s="74" t="str">
        <f>IFERROR(__xludf.DUMMYFUNCTION("""COMPUTED_VALUE"""),"")</f>
        <v/>
      </c>
      <c r="O221" s="74" t="str">
        <f>IFERROR(__xludf.DUMMYFUNCTION("""COMPUTED_VALUE"""),"")</f>
        <v/>
      </c>
      <c r="P221" s="74" t="str">
        <f>IFERROR(__xludf.DUMMYFUNCTION("""COMPUTED_VALUE"""),"")</f>
        <v/>
      </c>
    </row>
    <row r="222">
      <c r="A222" s="60">
        <v>45764.89364856482</v>
      </c>
      <c r="B222" s="81" t="s">
        <v>149</v>
      </c>
      <c r="C222" s="74" t="b">
        <v>0</v>
      </c>
      <c r="E222" s="82"/>
      <c r="G222" s="82"/>
      <c r="H222" s="74">
        <v>147.0</v>
      </c>
      <c r="I222" s="84"/>
      <c r="J222" s="74" t="s">
        <v>12</v>
      </c>
      <c r="K222" s="61">
        <v>45764.0</v>
      </c>
      <c r="L222" s="74" t="s">
        <v>137</v>
      </c>
      <c r="M222" s="74" t="s">
        <v>18</v>
      </c>
      <c r="N222" s="74" t="str">
        <f>IFERROR(__xludf.DUMMYFUNCTION("""COMPUTED_VALUE"""),"")</f>
        <v/>
      </c>
      <c r="O222" s="74" t="str">
        <f>IFERROR(__xludf.DUMMYFUNCTION("""COMPUTED_VALUE"""),"")</f>
        <v/>
      </c>
      <c r="P222" s="74" t="str">
        <f>IFERROR(__xludf.DUMMYFUNCTION("""COMPUTED_VALUE"""),"")</f>
        <v/>
      </c>
    </row>
    <row r="223">
      <c r="A223" s="60">
        <v>45765.43760324074</v>
      </c>
      <c r="B223" s="81" t="s">
        <v>136</v>
      </c>
      <c r="C223" s="74" t="b">
        <v>0</v>
      </c>
      <c r="E223" s="82"/>
      <c r="G223" s="82"/>
      <c r="H223" s="74">
        <v>66.0</v>
      </c>
      <c r="I223" s="84"/>
      <c r="J223" s="74" t="s">
        <v>10</v>
      </c>
      <c r="K223" s="61">
        <v>45764.0</v>
      </c>
      <c r="L223" s="74" t="s">
        <v>137</v>
      </c>
      <c r="M223" s="74" t="s">
        <v>19</v>
      </c>
      <c r="N223" s="74">
        <f>IFERROR(__xludf.DUMMYFUNCTION("""COMPUTED_VALUE"""),285.0)</f>
        <v>285</v>
      </c>
      <c r="O223" s="74">
        <f>IFERROR(__xludf.DUMMYFUNCTION("""COMPUTED_VALUE"""),197.0)</f>
        <v>197</v>
      </c>
      <c r="P223" s="74">
        <f>IFERROR(__xludf.DUMMYFUNCTION("""COMPUTED_VALUE"""),482.0)</f>
        <v>482</v>
      </c>
    </row>
    <row r="224">
      <c r="A224" s="60">
        <v>45765.43796616898</v>
      </c>
      <c r="B224" s="81" t="s">
        <v>136</v>
      </c>
      <c r="C224" s="74" t="b">
        <v>0</v>
      </c>
      <c r="E224" s="82"/>
      <c r="G224" s="82"/>
      <c r="H224" s="74">
        <v>44.0</v>
      </c>
      <c r="I224" s="84"/>
      <c r="J224" s="74" t="s">
        <v>10</v>
      </c>
      <c r="K224" s="61">
        <v>45765.0</v>
      </c>
      <c r="L224" s="74" t="s">
        <v>138</v>
      </c>
      <c r="M224" s="74" t="s">
        <v>19</v>
      </c>
      <c r="N224" s="74" t="str">
        <f>IFERROR(__xludf.DUMMYFUNCTION("""COMPUTED_VALUE"""),"")</f>
        <v/>
      </c>
      <c r="O224" s="74" t="str">
        <f>IFERROR(__xludf.DUMMYFUNCTION("""COMPUTED_VALUE"""),"")</f>
        <v/>
      </c>
      <c r="P224" s="74" t="str">
        <f>IFERROR(__xludf.DUMMYFUNCTION("""COMPUTED_VALUE"""),"")</f>
        <v/>
      </c>
    </row>
    <row r="225">
      <c r="A225" s="60">
        <v>45765.58175890047</v>
      </c>
      <c r="B225" s="81" t="s">
        <v>172</v>
      </c>
      <c r="C225" s="74" t="b">
        <v>0</v>
      </c>
      <c r="E225" s="82"/>
      <c r="G225" s="82"/>
      <c r="H225" s="74">
        <v>82.0</v>
      </c>
      <c r="I225" s="84"/>
      <c r="J225" s="74" t="s">
        <v>11</v>
      </c>
      <c r="K225" s="61">
        <v>45765.0</v>
      </c>
      <c r="L225" s="74" t="s">
        <v>138</v>
      </c>
      <c r="M225" s="74" t="s">
        <v>19</v>
      </c>
      <c r="N225" s="74" t="str">
        <f>IFERROR(__xludf.DUMMYFUNCTION("""COMPUTED_VALUE"""),"")</f>
        <v/>
      </c>
      <c r="O225" s="74" t="str">
        <f>IFERROR(__xludf.DUMMYFUNCTION("""COMPUTED_VALUE"""),"")</f>
        <v/>
      </c>
      <c r="P225" s="74" t="str">
        <f>IFERROR(__xludf.DUMMYFUNCTION("""COMPUTED_VALUE"""),"")</f>
        <v/>
      </c>
    </row>
    <row r="226">
      <c r="A226" s="60">
        <v>45765.71055894676</v>
      </c>
      <c r="B226" s="81" t="s">
        <v>171</v>
      </c>
      <c r="C226" s="74" t="b">
        <v>0</v>
      </c>
      <c r="E226" s="82"/>
      <c r="G226" s="82"/>
      <c r="H226" s="74">
        <v>164.0</v>
      </c>
      <c r="I226" s="84"/>
      <c r="J226" s="74" t="s">
        <v>11</v>
      </c>
      <c r="K226" s="61">
        <v>45765.0</v>
      </c>
      <c r="L226" s="74" t="s">
        <v>138</v>
      </c>
      <c r="M226" s="74" t="s">
        <v>18</v>
      </c>
      <c r="N226" s="74">
        <f>IFERROR(__xludf.DUMMYFUNCTION("""COMPUTED_VALUE"""),164.0)</f>
        <v>164</v>
      </c>
      <c r="O226" s="74">
        <f>IFERROR(__xludf.DUMMYFUNCTION("""COMPUTED_VALUE"""),126.0)</f>
        <v>126</v>
      </c>
      <c r="P226" s="74">
        <f>IFERROR(__xludf.DUMMYFUNCTION("""COMPUTED_VALUE"""),290.0)</f>
        <v>290</v>
      </c>
    </row>
    <row r="227">
      <c r="A227" s="60">
        <v>45768.43715835648</v>
      </c>
      <c r="B227" s="81" t="s">
        <v>170</v>
      </c>
      <c r="C227" s="74" t="b">
        <v>0</v>
      </c>
      <c r="E227" s="82"/>
      <c r="G227" s="82"/>
      <c r="H227" s="74">
        <v>83.0</v>
      </c>
      <c r="I227" s="84"/>
      <c r="J227" s="74" t="s">
        <v>10</v>
      </c>
      <c r="K227" s="61">
        <v>45768.0</v>
      </c>
      <c r="L227" s="74" t="s">
        <v>129</v>
      </c>
      <c r="M227" s="74" t="s">
        <v>19</v>
      </c>
      <c r="N227" s="74" t="str">
        <f>IFERROR(__xludf.DUMMYFUNCTION("""COMPUTED_VALUE"""),"")</f>
        <v/>
      </c>
      <c r="O227" s="74" t="str">
        <f>IFERROR(__xludf.DUMMYFUNCTION("""COMPUTED_VALUE"""),"")</f>
        <v/>
      </c>
      <c r="P227" s="74" t="str">
        <f>IFERROR(__xludf.DUMMYFUNCTION("""COMPUTED_VALUE"""),"")</f>
        <v/>
      </c>
    </row>
    <row r="228">
      <c r="A228" s="60">
        <v>45768.70708259259</v>
      </c>
      <c r="B228" s="81" t="s">
        <v>173</v>
      </c>
      <c r="C228" s="74" t="b">
        <v>0</v>
      </c>
      <c r="E228" s="82"/>
      <c r="G228" s="82"/>
      <c r="H228" s="74">
        <v>113.0</v>
      </c>
      <c r="I228" s="84"/>
      <c r="J228" s="74" t="s">
        <v>11</v>
      </c>
      <c r="K228" s="61">
        <v>45768.0</v>
      </c>
      <c r="L228" s="74" t="s">
        <v>129</v>
      </c>
      <c r="M228" s="74" t="s">
        <v>18</v>
      </c>
      <c r="N228" s="74" t="str">
        <f>IFERROR(__xludf.DUMMYFUNCTION("""COMPUTED_VALUE"""),"")</f>
        <v/>
      </c>
      <c r="O228" s="74" t="str">
        <f>IFERROR(__xludf.DUMMYFUNCTION("""COMPUTED_VALUE"""),"")</f>
        <v/>
      </c>
      <c r="P228" s="74" t="str">
        <f>IFERROR(__xludf.DUMMYFUNCTION("""COMPUTED_VALUE"""),"")</f>
        <v/>
      </c>
    </row>
    <row r="229">
      <c r="A229" s="60">
        <v>45768.86613784722</v>
      </c>
      <c r="B229" s="81" t="s">
        <v>168</v>
      </c>
      <c r="C229" s="74" t="b">
        <v>0</v>
      </c>
      <c r="E229" s="82"/>
      <c r="G229" s="82"/>
      <c r="H229" s="74">
        <v>174.0</v>
      </c>
      <c r="I229" s="84"/>
      <c r="J229" s="74" t="s">
        <v>12</v>
      </c>
      <c r="K229" s="61">
        <v>45768.0</v>
      </c>
      <c r="L229" s="74" t="s">
        <v>129</v>
      </c>
      <c r="M229" s="74" t="s">
        <v>18</v>
      </c>
      <c r="N229" s="74" t="str">
        <f>IFERROR(__xludf.DUMMYFUNCTION("""COMPUTED_VALUE"""),"")</f>
        <v/>
      </c>
      <c r="O229" s="74" t="str">
        <f>IFERROR(__xludf.DUMMYFUNCTION("""COMPUTED_VALUE"""),"")</f>
        <v/>
      </c>
      <c r="P229" s="74" t="str">
        <f>IFERROR(__xludf.DUMMYFUNCTION("""COMPUTED_VALUE"""),"")</f>
        <v/>
      </c>
    </row>
    <row r="230">
      <c r="A230" s="60">
        <v>45770.70501042824</v>
      </c>
      <c r="B230" s="81" t="s">
        <v>176</v>
      </c>
      <c r="C230" s="74" t="b">
        <v>0</v>
      </c>
      <c r="E230" s="82"/>
      <c r="G230" s="82"/>
      <c r="H230" s="74">
        <v>132.0</v>
      </c>
      <c r="I230" s="84"/>
      <c r="J230" s="74" t="s">
        <v>11</v>
      </c>
      <c r="K230" s="61">
        <v>45768.0</v>
      </c>
      <c r="L230" s="74" t="s">
        <v>129</v>
      </c>
      <c r="M230" s="74" t="s">
        <v>19</v>
      </c>
      <c r="N230" s="74" t="str">
        <f>IFERROR(__xludf.DUMMYFUNCTION("""COMPUTED_VALUE"""),"")</f>
        <v/>
      </c>
      <c r="O230" s="74" t="str">
        <f>IFERROR(__xludf.DUMMYFUNCTION("""COMPUTED_VALUE"""),"")</f>
        <v/>
      </c>
      <c r="P230" s="74" t="str">
        <f>IFERROR(__xludf.DUMMYFUNCTION("""COMPUTED_VALUE"""),"")</f>
        <v/>
      </c>
    </row>
    <row r="231">
      <c r="A231" s="60">
        <v>45768.87438726852</v>
      </c>
      <c r="B231" s="81" t="s">
        <v>149</v>
      </c>
      <c r="C231" s="74" t="b">
        <v>0</v>
      </c>
      <c r="E231" s="82"/>
      <c r="G231" s="82"/>
      <c r="H231" s="74">
        <v>212.0</v>
      </c>
      <c r="I231" s="84"/>
      <c r="J231" s="74" t="s">
        <v>12</v>
      </c>
      <c r="K231" s="61">
        <v>45768.0</v>
      </c>
      <c r="L231" s="74" t="s">
        <v>129</v>
      </c>
      <c r="M231" s="74" t="s">
        <v>19</v>
      </c>
      <c r="N231" s="74">
        <f>IFERROR(__xludf.DUMMYFUNCTION("""COMPUTED_VALUE"""),287.0)</f>
        <v>287</v>
      </c>
      <c r="O231" s="74">
        <f>IFERROR(__xludf.DUMMYFUNCTION("""COMPUTED_VALUE"""),427.0)</f>
        <v>427</v>
      </c>
      <c r="P231" s="74">
        <f>IFERROR(__xludf.DUMMYFUNCTION("""COMPUTED_VALUE"""),714.0)</f>
        <v>714</v>
      </c>
    </row>
    <row r="232">
      <c r="A232" s="60">
        <v>45769.48525240741</v>
      </c>
      <c r="B232" s="81" t="s">
        <v>167</v>
      </c>
      <c r="C232" s="74" t="b">
        <v>0</v>
      </c>
      <c r="E232" s="82"/>
      <c r="G232" s="82"/>
      <c r="H232" s="74">
        <v>67.0</v>
      </c>
      <c r="I232" s="84"/>
      <c r="J232" s="74" t="s">
        <v>10</v>
      </c>
      <c r="K232" s="61">
        <v>45769.0</v>
      </c>
      <c r="L232" s="74" t="s">
        <v>132</v>
      </c>
      <c r="M232" s="74" t="s">
        <v>19</v>
      </c>
      <c r="N232" s="74" t="str">
        <f>IFERROR(__xludf.DUMMYFUNCTION("""COMPUTED_VALUE"""),"")</f>
        <v/>
      </c>
      <c r="O232" s="74" t="str">
        <f>IFERROR(__xludf.DUMMYFUNCTION("""COMPUTED_VALUE"""),"")</f>
        <v/>
      </c>
      <c r="P232" s="74" t="str">
        <f>IFERROR(__xludf.DUMMYFUNCTION("""COMPUTED_VALUE"""),"")</f>
        <v/>
      </c>
    </row>
    <row r="233">
      <c r="A233" s="60">
        <v>45769.87452445602</v>
      </c>
      <c r="B233" s="81" t="s">
        <v>149</v>
      </c>
      <c r="C233" s="74" t="b">
        <v>0</v>
      </c>
      <c r="E233" s="82"/>
      <c r="G233" s="82"/>
      <c r="H233" s="74">
        <v>283.0</v>
      </c>
      <c r="I233" s="84"/>
      <c r="J233" s="74" t="s">
        <v>12</v>
      </c>
      <c r="K233" s="61">
        <v>45769.0</v>
      </c>
      <c r="L233" s="74" t="s">
        <v>132</v>
      </c>
      <c r="M233" s="74" t="s">
        <v>19</v>
      </c>
      <c r="N233" s="74" t="str">
        <f>IFERROR(__xludf.DUMMYFUNCTION("""COMPUTED_VALUE"""),"")</f>
        <v/>
      </c>
      <c r="O233" s="74">
        <f>IFERROR(__xludf.DUMMYFUNCTION("""COMPUTED_VALUE"""),350.0)</f>
        <v>350</v>
      </c>
      <c r="P233" s="74">
        <f>IFERROR(__xludf.DUMMYFUNCTION("""COMPUTED_VALUE"""),350.0)</f>
        <v>350</v>
      </c>
    </row>
    <row r="234">
      <c r="A234" s="60">
        <v>45770.57189636574</v>
      </c>
      <c r="B234" s="81" t="s">
        <v>171</v>
      </c>
      <c r="C234" s="74" t="b">
        <v>0</v>
      </c>
      <c r="E234" s="82"/>
      <c r="G234" s="82"/>
      <c r="H234" s="74">
        <v>73.0</v>
      </c>
      <c r="I234" s="84"/>
      <c r="J234" s="74" t="s">
        <v>11</v>
      </c>
      <c r="K234" s="61">
        <v>45770.0</v>
      </c>
      <c r="L234" s="74" t="s">
        <v>135</v>
      </c>
      <c r="M234" s="74" t="s">
        <v>18</v>
      </c>
      <c r="N234" s="74" t="str">
        <f>IFERROR(__xludf.DUMMYFUNCTION("""COMPUTED_VALUE"""),"")</f>
        <v/>
      </c>
      <c r="O234" s="74" t="str">
        <f>IFERROR(__xludf.DUMMYFUNCTION("""COMPUTED_VALUE"""),"")</f>
        <v/>
      </c>
      <c r="P234" s="74" t="str">
        <f>IFERROR(__xludf.DUMMYFUNCTION("""COMPUTED_VALUE"""),"")</f>
        <v/>
      </c>
    </row>
    <row r="235">
      <c r="A235" s="60">
        <v>45770.64623150463</v>
      </c>
      <c r="B235" s="81" t="s">
        <v>173</v>
      </c>
      <c r="C235" s="74" t="b">
        <v>0</v>
      </c>
      <c r="E235" s="82"/>
      <c r="G235" s="82"/>
      <c r="H235" s="74">
        <v>50.0</v>
      </c>
      <c r="I235" s="84"/>
      <c r="J235" s="74" t="s">
        <v>11</v>
      </c>
      <c r="K235" s="61">
        <v>45770.0</v>
      </c>
      <c r="L235" s="74" t="s">
        <v>135</v>
      </c>
      <c r="M235" s="74" t="s">
        <v>18</v>
      </c>
      <c r="N235" s="74" t="str">
        <f>IFERROR(__xludf.DUMMYFUNCTION("""COMPUTED_VALUE"""),"")</f>
        <v/>
      </c>
      <c r="O235" s="74" t="str">
        <f>IFERROR(__xludf.DUMMYFUNCTION("""COMPUTED_VALUE"""),"")</f>
        <v/>
      </c>
      <c r="P235" s="74" t="str">
        <f>IFERROR(__xludf.DUMMYFUNCTION("""COMPUTED_VALUE"""),"")</f>
        <v/>
      </c>
    </row>
    <row r="236">
      <c r="A236" s="60">
        <v>45770.70700344908</v>
      </c>
      <c r="B236" s="81" t="s">
        <v>153</v>
      </c>
      <c r="C236" s="74" t="b">
        <v>0</v>
      </c>
      <c r="E236" s="82"/>
      <c r="G236" s="82"/>
      <c r="H236" s="74">
        <v>101.0</v>
      </c>
      <c r="I236" s="84"/>
      <c r="J236" s="74" t="s">
        <v>11</v>
      </c>
      <c r="K236" s="61">
        <v>45770.0</v>
      </c>
      <c r="L236" s="74" t="s">
        <v>135</v>
      </c>
      <c r="M236" s="74" t="s">
        <v>19</v>
      </c>
      <c r="N236" s="74" t="str">
        <f>IFERROR(__xludf.DUMMYFUNCTION("""COMPUTED_VALUE"""),"")</f>
        <v/>
      </c>
      <c r="O236" s="74" t="str">
        <f>IFERROR(__xludf.DUMMYFUNCTION("""COMPUTED_VALUE"""),"")</f>
        <v/>
      </c>
      <c r="P236" s="74" t="str">
        <f>IFERROR(__xludf.DUMMYFUNCTION("""COMPUTED_VALUE"""),"")</f>
        <v/>
      </c>
    </row>
    <row r="237">
      <c r="A237" s="60">
        <v>45770.70844024306</v>
      </c>
      <c r="B237" s="81" t="s">
        <v>170</v>
      </c>
      <c r="C237" s="74" t="b">
        <v>0</v>
      </c>
      <c r="E237" s="82"/>
      <c r="G237" s="82"/>
      <c r="H237" s="74">
        <v>106.0</v>
      </c>
      <c r="I237" s="84"/>
      <c r="J237" s="74" t="s">
        <v>10</v>
      </c>
      <c r="K237" s="61">
        <v>45770.0</v>
      </c>
      <c r="L237" s="74" t="s">
        <v>135</v>
      </c>
      <c r="M237" s="74" t="s">
        <v>19</v>
      </c>
      <c r="N237" s="74" t="str">
        <f>IFERROR(__xludf.DUMMYFUNCTION("""COMPUTED_VALUE"""),"")</f>
        <v/>
      </c>
      <c r="O237" s="74" t="str">
        <f>IFERROR(__xludf.DUMMYFUNCTION("""COMPUTED_VALUE"""),"")</f>
        <v/>
      </c>
      <c r="P237" s="74" t="str">
        <f>IFERROR(__xludf.DUMMYFUNCTION("""COMPUTED_VALUE"""),"")</f>
        <v/>
      </c>
    </row>
    <row r="238">
      <c r="A238" s="60">
        <v>45770.86667554398</v>
      </c>
      <c r="B238" s="81" t="s">
        <v>168</v>
      </c>
      <c r="C238" s="74" t="b">
        <v>0</v>
      </c>
      <c r="E238" s="82"/>
      <c r="G238" s="82"/>
      <c r="H238" s="74">
        <v>280.0</v>
      </c>
      <c r="I238" s="84"/>
      <c r="J238" s="74" t="s">
        <v>12</v>
      </c>
      <c r="K238" s="61">
        <v>45770.0</v>
      </c>
      <c r="L238" s="74" t="s">
        <v>135</v>
      </c>
      <c r="M238" s="74" t="s">
        <v>18</v>
      </c>
      <c r="N238" s="74" t="str">
        <f>IFERROR(__xludf.DUMMYFUNCTION("""COMPUTED_VALUE"""),"")</f>
        <v/>
      </c>
      <c r="O238" s="74" t="str">
        <f>IFERROR(__xludf.DUMMYFUNCTION("""COMPUTED_VALUE"""),"")</f>
        <v/>
      </c>
      <c r="P238" s="74" t="str">
        <f>IFERROR(__xludf.DUMMYFUNCTION("""COMPUTED_VALUE"""),"")</f>
        <v/>
      </c>
    </row>
    <row r="239">
      <c r="A239" s="60">
        <v>45770.95660488426</v>
      </c>
      <c r="B239" s="81" t="s">
        <v>174</v>
      </c>
      <c r="C239" s="74" t="b">
        <v>0</v>
      </c>
      <c r="E239" s="82"/>
      <c r="G239" s="82"/>
      <c r="H239" s="74">
        <v>98.0</v>
      </c>
      <c r="I239" s="84"/>
      <c r="J239" s="74" t="s">
        <v>12</v>
      </c>
      <c r="K239" s="61">
        <v>45770.0</v>
      </c>
      <c r="L239" s="74" t="s">
        <v>135</v>
      </c>
      <c r="M239" s="74" t="s">
        <v>19</v>
      </c>
      <c r="N239" s="74">
        <f>IFERROR(__xludf.DUMMYFUNCTION("""COMPUTED_VALUE"""),403.0)</f>
        <v>403</v>
      </c>
      <c r="O239" s="74">
        <f>IFERROR(__xludf.DUMMYFUNCTION("""COMPUTED_VALUE"""),305.0)</f>
        <v>305</v>
      </c>
      <c r="P239" s="74">
        <f>IFERROR(__xludf.DUMMYFUNCTION("""COMPUTED_VALUE"""),708.0)</f>
        <v>708</v>
      </c>
    </row>
    <row r="240">
      <c r="A240" s="60">
        <v>45771.54167024305</v>
      </c>
      <c r="B240" s="81" t="s">
        <v>173</v>
      </c>
      <c r="C240" s="74" t="b">
        <v>0</v>
      </c>
      <c r="E240" s="82"/>
      <c r="G240" s="82"/>
      <c r="H240" s="74">
        <v>38.0</v>
      </c>
      <c r="I240" s="84"/>
      <c r="J240" s="74" t="s">
        <v>11</v>
      </c>
      <c r="K240" s="61">
        <v>45771.0</v>
      </c>
      <c r="L240" s="74" t="s">
        <v>137</v>
      </c>
      <c r="M240" s="74" t="s">
        <v>18</v>
      </c>
      <c r="N240" s="74" t="str">
        <f>IFERROR(__xludf.DUMMYFUNCTION("""COMPUTED_VALUE"""),"")</f>
        <v/>
      </c>
      <c r="O240" s="74" t="str">
        <f>IFERROR(__xludf.DUMMYFUNCTION("""COMPUTED_VALUE"""),"")</f>
        <v/>
      </c>
      <c r="P240" s="74" t="str">
        <f>IFERROR(__xludf.DUMMYFUNCTION("""COMPUTED_VALUE"""),"")</f>
        <v/>
      </c>
    </row>
    <row r="241">
      <c r="A241" s="60">
        <v>45771.62098329861</v>
      </c>
      <c r="B241" s="81" t="s">
        <v>148</v>
      </c>
      <c r="C241" s="74" t="b">
        <v>0</v>
      </c>
      <c r="E241" s="82"/>
      <c r="G241" s="82"/>
      <c r="H241" s="74">
        <v>179.0</v>
      </c>
      <c r="I241" s="84"/>
      <c r="J241" s="74" t="s">
        <v>11</v>
      </c>
      <c r="K241" s="61">
        <v>45771.0</v>
      </c>
      <c r="L241" s="74" t="s">
        <v>137</v>
      </c>
      <c r="M241" s="74" t="s">
        <v>19</v>
      </c>
      <c r="N241" s="74" t="str">
        <f>IFERROR(__xludf.DUMMYFUNCTION("""COMPUTED_VALUE"""),"")</f>
        <v/>
      </c>
      <c r="O241" s="74" t="str">
        <f>IFERROR(__xludf.DUMMYFUNCTION("""COMPUTED_VALUE"""),"")</f>
        <v/>
      </c>
      <c r="P241" s="74" t="str">
        <f>IFERROR(__xludf.DUMMYFUNCTION("""COMPUTED_VALUE"""),"")</f>
        <v/>
      </c>
    </row>
    <row r="242">
      <c r="A242" s="60">
        <v>45771.71457825231</v>
      </c>
      <c r="B242" s="81" t="s">
        <v>172</v>
      </c>
      <c r="C242" s="74" t="b">
        <v>0</v>
      </c>
      <c r="E242" s="82"/>
      <c r="G242" s="82"/>
      <c r="H242" s="74">
        <v>107.0</v>
      </c>
      <c r="I242" s="84"/>
      <c r="J242" s="74" t="s">
        <v>11</v>
      </c>
      <c r="K242" s="61">
        <v>45771.0</v>
      </c>
      <c r="L242" s="74" t="s">
        <v>137</v>
      </c>
      <c r="M242" s="74" t="s">
        <v>18</v>
      </c>
      <c r="N242" s="74" t="str">
        <f>IFERROR(__xludf.DUMMYFUNCTION("""COMPUTED_VALUE"""),"")</f>
        <v/>
      </c>
      <c r="O242" s="74" t="str">
        <f>IFERROR(__xludf.DUMMYFUNCTION("""COMPUTED_VALUE"""),"")</f>
        <v/>
      </c>
      <c r="P242" s="74" t="str">
        <f>IFERROR(__xludf.DUMMYFUNCTION("""COMPUTED_VALUE"""),"")</f>
        <v/>
      </c>
    </row>
    <row r="243">
      <c r="A243" s="60">
        <v>45772.37545981482</v>
      </c>
      <c r="B243" s="81" t="s">
        <v>174</v>
      </c>
      <c r="C243" s="74" t="b">
        <v>0</v>
      </c>
      <c r="E243" s="82"/>
      <c r="G243" s="82"/>
      <c r="H243" s="74">
        <v>225.0</v>
      </c>
      <c r="I243" s="84"/>
      <c r="J243" s="74" t="s">
        <v>12</v>
      </c>
      <c r="K243" s="61">
        <v>45771.0</v>
      </c>
      <c r="L243" s="74" t="s">
        <v>137</v>
      </c>
      <c r="M243" s="74" t="s">
        <v>19</v>
      </c>
      <c r="N243" s="74" t="str">
        <f>IFERROR(__xludf.DUMMYFUNCTION("""COMPUTED_VALUE"""),"")</f>
        <v/>
      </c>
      <c r="O243" s="74" t="str">
        <f>IFERROR(__xludf.DUMMYFUNCTION("""COMPUTED_VALUE"""),"")</f>
        <v/>
      </c>
      <c r="P243" s="74" t="str">
        <f>IFERROR(__xludf.DUMMYFUNCTION("""COMPUTED_VALUE"""),"")</f>
        <v/>
      </c>
    </row>
    <row r="244">
      <c r="A244" s="60">
        <v>45772.42012525463</v>
      </c>
      <c r="B244" s="81" t="s">
        <v>136</v>
      </c>
      <c r="C244" s="74" t="b">
        <v>0</v>
      </c>
      <c r="E244" s="82"/>
      <c r="G244" s="82"/>
      <c r="H244" s="74">
        <v>69.0</v>
      </c>
      <c r="I244" s="84"/>
      <c r="J244" s="74" t="s">
        <v>10</v>
      </c>
      <c r="K244" s="61">
        <v>45771.0</v>
      </c>
      <c r="L244" s="74" t="s">
        <v>137</v>
      </c>
      <c r="M244" s="74" t="s">
        <v>19</v>
      </c>
      <c r="N244" s="74">
        <f>IFERROR(__xludf.DUMMYFUNCTION("""COMPUTED_VALUE"""),145.0)</f>
        <v>145</v>
      </c>
      <c r="O244" s="74">
        <f>IFERROR(__xludf.DUMMYFUNCTION("""COMPUTED_VALUE"""),473.0)</f>
        <v>473</v>
      </c>
      <c r="P244" s="74">
        <f>IFERROR(__xludf.DUMMYFUNCTION("""COMPUTED_VALUE"""),618.0)</f>
        <v>618</v>
      </c>
    </row>
    <row r="245">
      <c r="A245" s="60">
        <v>45772.42220355324</v>
      </c>
      <c r="B245" s="81" t="s">
        <v>136</v>
      </c>
      <c r="C245" s="74" t="b">
        <v>0</v>
      </c>
      <c r="E245" s="82"/>
      <c r="G245" s="82"/>
      <c r="H245" s="74">
        <v>61.0</v>
      </c>
      <c r="I245" s="84"/>
      <c r="J245" s="74" t="s">
        <v>10</v>
      </c>
      <c r="K245" s="61">
        <v>45772.0</v>
      </c>
      <c r="L245" s="74" t="s">
        <v>138</v>
      </c>
      <c r="M245" s="74" t="s">
        <v>19</v>
      </c>
      <c r="N245" s="74" t="str">
        <f>IFERROR(__xludf.DUMMYFUNCTION("""COMPUTED_VALUE"""),"")</f>
        <v/>
      </c>
      <c r="O245" s="74" t="str">
        <f>IFERROR(__xludf.DUMMYFUNCTION("""COMPUTED_VALUE"""),"")</f>
        <v/>
      </c>
      <c r="P245" s="74" t="str">
        <f>IFERROR(__xludf.DUMMYFUNCTION("""COMPUTED_VALUE"""),"")</f>
        <v/>
      </c>
    </row>
    <row r="246">
      <c r="A246" s="60">
        <v>45772.6339784838</v>
      </c>
      <c r="B246" s="81" t="s">
        <v>172</v>
      </c>
      <c r="C246" s="74" t="b">
        <v>0</v>
      </c>
      <c r="E246" s="82"/>
      <c r="G246" s="82"/>
      <c r="H246" s="74">
        <v>60.0</v>
      </c>
      <c r="I246" s="84"/>
      <c r="J246" s="74" t="s">
        <v>11</v>
      </c>
      <c r="K246" s="61">
        <v>45772.0</v>
      </c>
      <c r="L246" s="74" t="s">
        <v>138</v>
      </c>
      <c r="M246" s="74" t="s">
        <v>19</v>
      </c>
      <c r="N246" s="74" t="str">
        <f>IFERROR(__xludf.DUMMYFUNCTION("""COMPUTED_VALUE"""),"")</f>
        <v/>
      </c>
      <c r="O246" s="74" t="str">
        <f>IFERROR(__xludf.DUMMYFUNCTION("""COMPUTED_VALUE"""),"")</f>
        <v/>
      </c>
      <c r="P246" s="74" t="str">
        <f>IFERROR(__xludf.DUMMYFUNCTION("""COMPUTED_VALUE"""),"")</f>
        <v/>
      </c>
    </row>
    <row r="247">
      <c r="A247" s="60">
        <v>45772.74259675926</v>
      </c>
      <c r="B247" s="81" t="s">
        <v>171</v>
      </c>
      <c r="C247" s="74" t="b">
        <v>0</v>
      </c>
      <c r="E247" s="82"/>
      <c r="G247" s="82"/>
      <c r="H247" s="74">
        <v>189.0</v>
      </c>
      <c r="I247" s="84"/>
      <c r="J247" s="74" t="s">
        <v>11</v>
      </c>
      <c r="K247" s="61">
        <v>45772.0</v>
      </c>
      <c r="L247" s="74" t="s">
        <v>138</v>
      </c>
      <c r="M247" s="74" t="s">
        <v>18</v>
      </c>
      <c r="N247" s="74">
        <f>IFERROR(__xludf.DUMMYFUNCTION("""COMPUTED_VALUE"""),189.0)</f>
        <v>189</v>
      </c>
      <c r="O247" s="74">
        <f>IFERROR(__xludf.DUMMYFUNCTION("""COMPUTED_VALUE"""),121.0)</f>
        <v>121</v>
      </c>
      <c r="P247" s="74">
        <f>IFERROR(__xludf.DUMMYFUNCTION("""COMPUTED_VALUE"""),310.0)</f>
        <v>310</v>
      </c>
    </row>
    <row r="248">
      <c r="A248" s="60">
        <v>45775.43473560186</v>
      </c>
      <c r="B248" s="81" t="s">
        <v>170</v>
      </c>
      <c r="C248" s="74" t="b">
        <v>0</v>
      </c>
      <c r="E248" s="82"/>
      <c r="G248" s="82"/>
      <c r="H248" s="74">
        <v>90.0</v>
      </c>
      <c r="I248" s="84"/>
      <c r="J248" s="74" t="s">
        <v>10</v>
      </c>
      <c r="K248" s="61">
        <v>45775.0</v>
      </c>
      <c r="L248" s="74" t="s">
        <v>129</v>
      </c>
      <c r="M248" s="74" t="s">
        <v>19</v>
      </c>
      <c r="N248" s="74" t="str">
        <f>IFERROR(__xludf.DUMMYFUNCTION("""COMPUTED_VALUE"""),"")</f>
        <v/>
      </c>
      <c r="O248" s="74" t="str">
        <f>IFERROR(__xludf.DUMMYFUNCTION("""COMPUTED_VALUE"""),"")</f>
        <v/>
      </c>
      <c r="P248" s="74" t="str">
        <f>IFERROR(__xludf.DUMMYFUNCTION("""COMPUTED_VALUE"""),"")</f>
        <v/>
      </c>
    </row>
    <row r="249">
      <c r="A249" s="60">
        <v>45775.70768539352</v>
      </c>
      <c r="B249" s="81" t="s">
        <v>173</v>
      </c>
      <c r="C249" s="74" t="b">
        <v>0</v>
      </c>
      <c r="E249" s="82"/>
      <c r="G249" s="82"/>
      <c r="H249" s="74">
        <v>103.0</v>
      </c>
      <c r="I249" s="84"/>
      <c r="J249" s="74" t="s">
        <v>11</v>
      </c>
      <c r="K249" s="61">
        <v>45775.0</v>
      </c>
      <c r="L249" s="74" t="s">
        <v>129</v>
      </c>
      <c r="M249" s="74" t="s">
        <v>18</v>
      </c>
      <c r="N249" s="74" t="str">
        <f>IFERROR(__xludf.DUMMYFUNCTION("""COMPUTED_VALUE"""),"")</f>
        <v/>
      </c>
      <c r="O249" s="74" t="str">
        <f>IFERROR(__xludf.DUMMYFUNCTION("""COMPUTED_VALUE"""),"")</f>
        <v/>
      </c>
      <c r="P249" s="74" t="str">
        <f>IFERROR(__xludf.DUMMYFUNCTION("""COMPUTED_VALUE"""),"")</f>
        <v/>
      </c>
    </row>
    <row r="250">
      <c r="A250" s="60">
        <v>45775.7229627199</v>
      </c>
      <c r="B250" s="81" t="s">
        <v>153</v>
      </c>
      <c r="C250" s="74" t="b">
        <v>0</v>
      </c>
      <c r="E250" s="82"/>
      <c r="G250" s="82"/>
      <c r="H250" s="74">
        <v>134.0</v>
      </c>
      <c r="I250" s="84"/>
      <c r="J250" s="74" t="s">
        <v>11</v>
      </c>
      <c r="K250" s="61">
        <v>45775.0</v>
      </c>
      <c r="L250" s="74" t="s">
        <v>129</v>
      </c>
      <c r="M250" s="74" t="s">
        <v>19</v>
      </c>
      <c r="N250" s="74" t="str">
        <f>IFERROR(__xludf.DUMMYFUNCTION("""COMPUTED_VALUE"""),"")</f>
        <v/>
      </c>
      <c r="O250" s="74" t="str">
        <f>IFERROR(__xludf.DUMMYFUNCTION("""COMPUTED_VALUE"""),"")</f>
        <v/>
      </c>
      <c r="P250" s="74" t="str">
        <f>IFERROR(__xludf.DUMMYFUNCTION("""COMPUTED_VALUE"""),"")</f>
        <v/>
      </c>
    </row>
    <row r="251">
      <c r="A251" s="60">
        <v>45775.72364486111</v>
      </c>
      <c r="B251" s="81" t="s">
        <v>153</v>
      </c>
      <c r="C251" s="74" t="b">
        <v>0</v>
      </c>
      <c r="E251" s="82"/>
      <c r="G251" s="82"/>
      <c r="H251" s="74">
        <v>55.0</v>
      </c>
      <c r="I251" s="84"/>
      <c r="J251" s="74" t="s">
        <v>11</v>
      </c>
      <c r="K251" s="61">
        <v>45775.0</v>
      </c>
      <c r="L251" s="74" t="s">
        <v>129</v>
      </c>
      <c r="M251" s="74" t="s">
        <v>19</v>
      </c>
      <c r="N251" s="74" t="str">
        <f>IFERROR(__xludf.DUMMYFUNCTION("""COMPUTED_VALUE"""),"")</f>
        <v/>
      </c>
      <c r="O251" s="74" t="str">
        <f>IFERROR(__xludf.DUMMYFUNCTION("""COMPUTED_VALUE"""),"")</f>
        <v/>
      </c>
      <c r="P251" s="74" t="str">
        <f>IFERROR(__xludf.DUMMYFUNCTION("""COMPUTED_VALUE"""),"")</f>
        <v/>
      </c>
    </row>
    <row r="252">
      <c r="A252" s="60">
        <v>45775.86593645834</v>
      </c>
      <c r="B252" s="81" t="s">
        <v>168</v>
      </c>
      <c r="C252" s="74" t="b">
        <v>0</v>
      </c>
      <c r="E252" s="82"/>
      <c r="G252" s="82"/>
      <c r="H252" s="74">
        <v>169.0</v>
      </c>
      <c r="I252" s="84"/>
      <c r="J252" s="74" t="s">
        <v>12</v>
      </c>
      <c r="K252" s="61">
        <v>45775.0</v>
      </c>
      <c r="L252" s="74" t="s">
        <v>129</v>
      </c>
      <c r="M252" s="74" t="s">
        <v>18</v>
      </c>
      <c r="N252" s="74" t="str">
        <f>IFERROR(__xludf.DUMMYFUNCTION("""COMPUTED_VALUE"""),"")</f>
        <v/>
      </c>
      <c r="O252" s="74" t="str">
        <f>IFERROR(__xludf.DUMMYFUNCTION("""COMPUTED_VALUE"""),"")</f>
        <v/>
      </c>
      <c r="P252" s="74" t="str">
        <f>IFERROR(__xludf.DUMMYFUNCTION("""COMPUTED_VALUE"""),"")</f>
        <v/>
      </c>
    </row>
    <row r="253">
      <c r="A253" s="60">
        <v>45775.87831737268</v>
      </c>
      <c r="B253" s="81" t="s">
        <v>149</v>
      </c>
      <c r="C253" s="74" t="b">
        <v>0</v>
      </c>
      <c r="E253" s="82"/>
      <c r="G253" s="82"/>
      <c r="H253" s="74">
        <v>238.0</v>
      </c>
      <c r="I253" s="84"/>
      <c r="J253" s="74" t="s">
        <v>12</v>
      </c>
      <c r="K253" s="61">
        <v>45775.0</v>
      </c>
      <c r="L253" s="74" t="s">
        <v>129</v>
      </c>
      <c r="M253" s="74" t="s">
        <v>19</v>
      </c>
      <c r="N253" s="74">
        <f>IFERROR(__xludf.DUMMYFUNCTION("""COMPUTED_VALUE"""),272.0)</f>
        <v>272</v>
      </c>
      <c r="O253" s="74">
        <f>IFERROR(__xludf.DUMMYFUNCTION("""COMPUTED_VALUE"""),517.0)</f>
        <v>517</v>
      </c>
      <c r="P253" s="74">
        <f>IFERROR(__xludf.DUMMYFUNCTION("""COMPUTED_VALUE"""),789.0)</f>
        <v>789</v>
      </c>
    </row>
    <row r="254">
      <c r="A254" s="60">
        <v>45776.48576328703</v>
      </c>
      <c r="B254" s="81" t="s">
        <v>167</v>
      </c>
      <c r="C254" s="74" t="b">
        <v>0</v>
      </c>
      <c r="E254" s="82"/>
      <c r="G254" s="82"/>
      <c r="H254" s="74">
        <v>64.0</v>
      </c>
      <c r="I254" s="84"/>
      <c r="J254" s="74" t="s">
        <v>10</v>
      </c>
      <c r="K254" s="61">
        <v>45776.0</v>
      </c>
      <c r="L254" s="74" t="s">
        <v>132</v>
      </c>
      <c r="M254" s="74" t="s">
        <v>19</v>
      </c>
      <c r="N254" s="74" t="str">
        <f>IFERROR(__xludf.DUMMYFUNCTION("""COMPUTED_VALUE"""),"")</f>
        <v/>
      </c>
      <c r="O254" s="74" t="str">
        <f>IFERROR(__xludf.DUMMYFUNCTION("""COMPUTED_VALUE"""),"")</f>
        <v/>
      </c>
      <c r="P254" s="74" t="str">
        <f>IFERROR(__xludf.DUMMYFUNCTION("""COMPUTED_VALUE"""),"")</f>
        <v/>
      </c>
    </row>
    <row r="255">
      <c r="A255" s="60">
        <v>45776.62062255787</v>
      </c>
      <c r="B255" s="81" t="s">
        <v>148</v>
      </c>
      <c r="C255" s="74" t="b">
        <v>0</v>
      </c>
      <c r="E255" s="82"/>
      <c r="G255" s="82"/>
      <c r="H255" s="74">
        <v>158.0</v>
      </c>
      <c r="I255" s="84"/>
      <c r="J255" s="74" t="s">
        <v>11</v>
      </c>
      <c r="K255" s="61">
        <v>45776.0</v>
      </c>
      <c r="L255" s="74" t="s">
        <v>132</v>
      </c>
      <c r="M255" s="74" t="s">
        <v>19</v>
      </c>
      <c r="N255" s="74" t="str">
        <f>IFERROR(__xludf.DUMMYFUNCTION("""COMPUTED_VALUE"""),"")</f>
        <v/>
      </c>
      <c r="O255" s="74" t="str">
        <f>IFERROR(__xludf.DUMMYFUNCTION("""COMPUTED_VALUE"""),"")</f>
        <v/>
      </c>
      <c r="P255" s="74" t="str">
        <f>IFERROR(__xludf.DUMMYFUNCTION("""COMPUTED_VALUE"""),"")</f>
        <v/>
      </c>
    </row>
    <row r="256">
      <c r="A256" s="60">
        <v>45776.63561239583</v>
      </c>
      <c r="B256" s="81" t="s">
        <v>167</v>
      </c>
      <c r="C256" s="74" t="b">
        <v>0</v>
      </c>
      <c r="E256" s="82"/>
      <c r="G256" s="82"/>
      <c r="H256" s="74">
        <v>133.0</v>
      </c>
      <c r="I256" s="84"/>
      <c r="J256" s="74" t="s">
        <v>11</v>
      </c>
      <c r="K256" s="61">
        <v>45776.0</v>
      </c>
      <c r="L256" s="74" t="s">
        <v>132</v>
      </c>
      <c r="M256" s="74" t="s">
        <v>18</v>
      </c>
      <c r="N256" s="74">
        <f>IFERROR(__xludf.DUMMYFUNCTION("""COMPUTED_VALUE"""),133.0)</f>
        <v>133</v>
      </c>
      <c r="O256" s="74">
        <f>IFERROR(__xludf.DUMMYFUNCTION("""COMPUTED_VALUE"""),222.0)</f>
        <v>222</v>
      </c>
      <c r="P256" s="74">
        <f>IFERROR(__xludf.DUMMYFUNCTION("""COMPUTED_VALUE"""),355.0)</f>
        <v>355</v>
      </c>
    </row>
    <row r="257">
      <c r="A257" s="60">
        <v>45777.4348865162</v>
      </c>
      <c r="B257" s="81" t="s">
        <v>170</v>
      </c>
      <c r="C257" s="74" t="b">
        <v>0</v>
      </c>
      <c r="E257" s="82"/>
      <c r="G257" s="82"/>
      <c r="H257" s="74">
        <v>95.0</v>
      </c>
      <c r="I257" s="84"/>
      <c r="J257" s="74" t="s">
        <v>10</v>
      </c>
      <c r="K257" s="61">
        <v>45777.0</v>
      </c>
      <c r="L257" s="74" t="s">
        <v>135</v>
      </c>
      <c r="M257" s="74" t="s">
        <v>19</v>
      </c>
      <c r="N257" s="74" t="str">
        <f>IFERROR(__xludf.DUMMYFUNCTION("""COMPUTED_VALUE"""),"")</f>
        <v/>
      </c>
      <c r="O257" s="74" t="str">
        <f>IFERROR(__xludf.DUMMYFUNCTION("""COMPUTED_VALUE"""),"")</f>
        <v/>
      </c>
      <c r="P257" s="74" t="str">
        <f>IFERROR(__xludf.DUMMYFUNCTION("""COMPUTED_VALUE"""),"")</f>
        <v/>
      </c>
    </row>
    <row r="258">
      <c r="A258" s="60">
        <v>45777.64435258102</v>
      </c>
      <c r="B258" s="81" t="s">
        <v>173</v>
      </c>
      <c r="C258" s="74" t="b">
        <v>0</v>
      </c>
      <c r="E258" s="82"/>
      <c r="G258" s="82"/>
      <c r="H258" s="74">
        <v>48.0</v>
      </c>
      <c r="I258" s="84"/>
      <c r="J258" s="74" t="s">
        <v>11</v>
      </c>
      <c r="K258" s="61">
        <v>45777.0</v>
      </c>
      <c r="L258" s="74" t="s">
        <v>135</v>
      </c>
      <c r="M258" s="74" t="s">
        <v>18</v>
      </c>
      <c r="N258" s="74" t="str">
        <f>IFERROR(__xludf.DUMMYFUNCTION("""COMPUTED_VALUE"""),"")</f>
        <v/>
      </c>
      <c r="O258" s="74" t="str">
        <f>IFERROR(__xludf.DUMMYFUNCTION("""COMPUTED_VALUE"""),"")</f>
        <v/>
      </c>
      <c r="P258" s="74" t="str">
        <f>IFERROR(__xludf.DUMMYFUNCTION("""COMPUTED_VALUE"""),"")</f>
        <v/>
      </c>
    </row>
    <row r="259">
      <c r="A259" s="60">
        <v>45777.85106494213</v>
      </c>
      <c r="B259" s="81" t="s">
        <v>171</v>
      </c>
      <c r="C259" s="74" t="b">
        <v>0</v>
      </c>
      <c r="E259" s="82"/>
      <c r="G259" s="82"/>
      <c r="H259" s="74">
        <v>57.0</v>
      </c>
      <c r="I259" s="84"/>
      <c r="J259" s="74" t="s">
        <v>11</v>
      </c>
      <c r="K259" s="61">
        <v>45777.0</v>
      </c>
      <c r="L259" s="74" t="s">
        <v>135</v>
      </c>
      <c r="M259" s="74" t="s">
        <v>18</v>
      </c>
      <c r="N259" s="74">
        <f>IFERROR(__xludf.DUMMYFUNCTION("""COMPUTED_VALUE"""),105.0)</f>
        <v>105</v>
      </c>
      <c r="O259" s="74">
        <f>IFERROR(__xludf.DUMMYFUNCTION("""COMPUTED_VALUE"""),95.0)</f>
        <v>95</v>
      </c>
      <c r="P259" s="74">
        <f>IFERROR(__xludf.DUMMYFUNCTION("""COMPUTED_VALUE"""),200.0)</f>
        <v>200</v>
      </c>
    </row>
    <row r="260">
      <c r="A260" s="60">
        <v>45778.54069056713</v>
      </c>
      <c r="B260" s="81" t="s">
        <v>173</v>
      </c>
      <c r="C260" s="74" t="b">
        <v>0</v>
      </c>
      <c r="E260" s="82"/>
      <c r="G260" s="82"/>
      <c r="H260" s="74">
        <v>24.0</v>
      </c>
      <c r="I260" s="84"/>
      <c r="J260" s="74" t="s">
        <v>11</v>
      </c>
      <c r="K260" s="61">
        <v>45778.0</v>
      </c>
      <c r="L260" s="74" t="s">
        <v>137</v>
      </c>
      <c r="M260" s="74" t="s">
        <v>18</v>
      </c>
      <c r="N260" s="74" t="str">
        <f>IFERROR(__xludf.DUMMYFUNCTION("""COMPUTED_VALUE"""),"")</f>
        <v/>
      </c>
      <c r="O260" s="74" t="str">
        <f>IFERROR(__xludf.DUMMYFUNCTION("""COMPUTED_VALUE"""),"")</f>
        <v/>
      </c>
      <c r="P260" s="74" t="str">
        <f>IFERROR(__xludf.DUMMYFUNCTION("""COMPUTED_VALUE"""),"")</f>
        <v/>
      </c>
    </row>
    <row r="261">
      <c r="A261" s="60">
        <v>45778.62533788195</v>
      </c>
      <c r="B261" s="81" t="s">
        <v>148</v>
      </c>
      <c r="C261" s="74" t="b">
        <v>0</v>
      </c>
      <c r="E261" s="82"/>
      <c r="G261" s="82"/>
      <c r="H261" s="74">
        <v>117.0</v>
      </c>
      <c r="I261" s="84"/>
      <c r="J261" s="74" t="s">
        <v>11</v>
      </c>
      <c r="K261" s="61">
        <v>45778.0</v>
      </c>
      <c r="L261" s="74" t="s">
        <v>137</v>
      </c>
      <c r="M261" s="74" t="s">
        <v>19</v>
      </c>
      <c r="N261" s="74" t="str">
        <f>IFERROR(__xludf.DUMMYFUNCTION("""COMPUTED_VALUE"""),"")</f>
        <v/>
      </c>
      <c r="O261" s="74" t="str">
        <f>IFERROR(__xludf.DUMMYFUNCTION("""COMPUTED_VALUE"""),"")</f>
        <v/>
      </c>
      <c r="P261" s="74" t="str">
        <f>IFERROR(__xludf.DUMMYFUNCTION("""COMPUTED_VALUE"""),"")</f>
        <v/>
      </c>
    </row>
    <row r="262">
      <c r="A262" s="60">
        <v>45778.87336393518</v>
      </c>
      <c r="B262" s="81" t="s">
        <v>174</v>
      </c>
      <c r="C262" s="74" t="b">
        <v>0</v>
      </c>
      <c r="E262" s="82"/>
      <c r="G262" s="82"/>
      <c r="H262" s="74">
        <v>158.0</v>
      </c>
      <c r="I262" s="84"/>
      <c r="J262" s="74" t="s">
        <v>12</v>
      </c>
      <c r="K262" s="61">
        <v>45778.0</v>
      </c>
      <c r="L262" s="74" t="s">
        <v>137</v>
      </c>
      <c r="M262" s="74" t="s">
        <v>19</v>
      </c>
      <c r="N262" s="74" t="str">
        <f>IFERROR(__xludf.DUMMYFUNCTION("""COMPUTED_VALUE"""),"")</f>
        <v/>
      </c>
      <c r="O262" s="74" t="str">
        <f>IFERROR(__xludf.DUMMYFUNCTION("""COMPUTED_VALUE"""),"")</f>
        <v/>
      </c>
      <c r="P262" s="74" t="str">
        <f>IFERROR(__xludf.DUMMYFUNCTION("""COMPUTED_VALUE"""),"")</f>
        <v/>
      </c>
    </row>
    <row r="263">
      <c r="A263" s="60">
        <v>45779.57437292824</v>
      </c>
      <c r="B263" s="81" t="s">
        <v>172</v>
      </c>
      <c r="C263" s="74" t="b">
        <v>0</v>
      </c>
      <c r="E263" s="82"/>
      <c r="G263" s="82"/>
      <c r="H263" s="74">
        <v>68.0</v>
      </c>
      <c r="I263" s="84"/>
      <c r="J263" s="74" t="s">
        <v>11</v>
      </c>
      <c r="K263" s="61">
        <v>45778.0</v>
      </c>
      <c r="L263" s="74" t="s">
        <v>137</v>
      </c>
      <c r="M263" s="74" t="s">
        <v>18</v>
      </c>
      <c r="N263" s="74">
        <f>IFERROR(__xludf.DUMMYFUNCTION("""COMPUTED_VALUE"""),92.0)</f>
        <v>92</v>
      </c>
      <c r="O263" s="74">
        <f>IFERROR(__xludf.DUMMYFUNCTION("""COMPUTED_VALUE"""),275.0)</f>
        <v>275</v>
      </c>
      <c r="P263" s="74">
        <f>IFERROR(__xludf.DUMMYFUNCTION("""COMPUTED_VALUE"""),367.0)</f>
        <v>367</v>
      </c>
    </row>
    <row r="264">
      <c r="A264" s="60">
        <v>45779.75929599537</v>
      </c>
      <c r="B264" s="81" t="s">
        <v>171</v>
      </c>
      <c r="C264" s="74" t="b">
        <v>0</v>
      </c>
      <c r="E264" s="82"/>
      <c r="G264" s="82"/>
      <c r="H264" s="74">
        <v>142.0</v>
      </c>
      <c r="I264" s="84"/>
      <c r="J264" s="74" t="s">
        <v>11</v>
      </c>
      <c r="K264" s="61">
        <v>45779.0</v>
      </c>
      <c r="L264" s="74" t="s">
        <v>138</v>
      </c>
      <c r="M264" s="74" t="s">
        <v>18</v>
      </c>
      <c r="N264" s="74">
        <f>IFERROR(__xludf.DUMMYFUNCTION("""COMPUTED_VALUE"""),142.0)</f>
        <v>142</v>
      </c>
      <c r="O264" s="74" t="str">
        <f>IFERROR(__xludf.DUMMYFUNCTION("""COMPUTED_VALUE"""),"")</f>
        <v/>
      </c>
      <c r="P264" s="74">
        <f>IFERROR(__xludf.DUMMYFUNCTION("""COMPUTED_VALUE"""),142.0)</f>
        <v>142</v>
      </c>
    </row>
    <row r="265">
      <c r="A265" s="60"/>
      <c r="B265" s="81"/>
      <c r="E265" s="82"/>
      <c r="G265" s="82"/>
      <c r="I265" s="84"/>
      <c r="K265" s="61"/>
      <c r="N265" s="74" t="str">
        <f>IFERROR(__xludf.DUMMYFUNCTION("""COMPUTED_VALUE"""),"")</f>
        <v/>
      </c>
      <c r="O265" s="74" t="str">
        <f>IFERROR(__xludf.DUMMYFUNCTION("""COMPUTED_VALUE"""),"")</f>
        <v/>
      </c>
      <c r="P265" s="74" t="str">
        <f>IFERROR(__xludf.DUMMYFUNCTION("""COMPUTED_VALUE"""),"")</f>
        <v/>
      </c>
    </row>
    <row r="266">
      <c r="A266" s="60"/>
      <c r="B266" s="81"/>
      <c r="E266" s="82"/>
      <c r="G266" s="82"/>
      <c r="I266" s="84"/>
      <c r="K266" s="61"/>
      <c r="N266" s="74" t="str">
        <f>IFERROR(__xludf.DUMMYFUNCTION("""COMPUTED_VALUE"""),"")</f>
        <v/>
      </c>
      <c r="O266" s="74" t="str">
        <f>IFERROR(__xludf.DUMMYFUNCTION("""COMPUTED_VALUE"""),"")</f>
        <v/>
      </c>
      <c r="P266" s="74" t="str">
        <f>IFERROR(__xludf.DUMMYFUNCTION("""COMPUTED_VALUE"""),"")</f>
        <v/>
      </c>
    </row>
    <row r="267">
      <c r="A267" s="60"/>
      <c r="B267" s="81"/>
      <c r="E267" s="82"/>
      <c r="G267" s="82"/>
      <c r="I267" s="84"/>
      <c r="K267" s="61"/>
      <c r="N267" s="74" t="str">
        <f>IFERROR(__xludf.DUMMYFUNCTION("""COMPUTED_VALUE"""),"")</f>
        <v/>
      </c>
      <c r="O267" s="74" t="str">
        <f>IFERROR(__xludf.DUMMYFUNCTION("""COMPUTED_VALUE"""),"")</f>
        <v/>
      </c>
      <c r="P267" s="74" t="str">
        <f>IFERROR(__xludf.DUMMYFUNCTION("""COMPUTED_VALUE"""),"")</f>
        <v/>
      </c>
    </row>
    <row r="268">
      <c r="A268" s="60"/>
      <c r="B268" s="81"/>
      <c r="E268" s="82"/>
      <c r="G268" s="82"/>
      <c r="I268" s="84"/>
      <c r="K268" s="61"/>
      <c r="N268" s="74" t="str">
        <f>IFERROR(__xludf.DUMMYFUNCTION("""COMPUTED_VALUE"""),"")</f>
        <v/>
      </c>
      <c r="O268" s="74" t="str">
        <f>IFERROR(__xludf.DUMMYFUNCTION("""COMPUTED_VALUE"""),"")</f>
        <v/>
      </c>
      <c r="P268" s="74" t="str">
        <f>IFERROR(__xludf.DUMMYFUNCTION("""COMPUTED_VALUE"""),"")</f>
        <v/>
      </c>
    </row>
    <row r="269">
      <c r="A269" s="60"/>
      <c r="B269" s="81"/>
      <c r="E269" s="82"/>
      <c r="G269" s="82"/>
      <c r="I269" s="84"/>
      <c r="K269" s="61"/>
      <c r="N269" s="74" t="str">
        <f>IFERROR(__xludf.DUMMYFUNCTION("""COMPUTED_VALUE"""),"")</f>
        <v/>
      </c>
      <c r="O269" s="74" t="str">
        <f>IFERROR(__xludf.DUMMYFUNCTION("""COMPUTED_VALUE"""),"")</f>
        <v/>
      </c>
      <c r="P269" s="74" t="str">
        <f>IFERROR(__xludf.DUMMYFUNCTION("""COMPUTED_VALUE"""),"")</f>
        <v/>
      </c>
    </row>
    <row r="270">
      <c r="A270" s="60"/>
      <c r="B270" s="81"/>
      <c r="E270" s="82"/>
      <c r="G270" s="82"/>
      <c r="I270" s="84"/>
      <c r="K270" s="61"/>
      <c r="N270" s="74" t="str">
        <f>IFERROR(__xludf.DUMMYFUNCTION("""COMPUTED_VALUE"""),"")</f>
        <v/>
      </c>
      <c r="O270" s="74" t="str">
        <f>IFERROR(__xludf.DUMMYFUNCTION("""COMPUTED_VALUE"""),"")</f>
        <v/>
      </c>
      <c r="P270" s="74" t="str">
        <f>IFERROR(__xludf.DUMMYFUNCTION("""COMPUTED_VALUE"""),"")</f>
        <v/>
      </c>
    </row>
    <row r="271">
      <c r="A271" s="60"/>
      <c r="B271" s="81"/>
      <c r="E271" s="82"/>
      <c r="G271" s="82"/>
      <c r="I271" s="84"/>
      <c r="K271" s="61"/>
      <c r="N271" s="74" t="str">
        <f>IFERROR(__xludf.DUMMYFUNCTION("""COMPUTED_VALUE"""),"")</f>
        <v/>
      </c>
      <c r="O271" s="74" t="str">
        <f>IFERROR(__xludf.DUMMYFUNCTION("""COMPUTED_VALUE"""),"")</f>
        <v/>
      </c>
      <c r="P271" s="74" t="str">
        <f>IFERROR(__xludf.DUMMYFUNCTION("""COMPUTED_VALUE"""),"")</f>
        <v/>
      </c>
    </row>
    <row r="272">
      <c r="A272" s="60"/>
      <c r="B272" s="81"/>
      <c r="E272" s="82"/>
      <c r="G272" s="82"/>
      <c r="I272" s="84"/>
      <c r="K272" s="61"/>
      <c r="N272" s="74" t="str">
        <f>IFERROR(__xludf.DUMMYFUNCTION("""COMPUTED_VALUE"""),"")</f>
        <v/>
      </c>
      <c r="O272" s="74" t="str">
        <f>IFERROR(__xludf.DUMMYFUNCTION("""COMPUTED_VALUE"""),"")</f>
        <v/>
      </c>
      <c r="P272" s="74" t="str">
        <f>IFERROR(__xludf.DUMMYFUNCTION("""COMPUTED_VALUE"""),"")</f>
        <v/>
      </c>
    </row>
    <row r="273">
      <c r="A273" s="60"/>
      <c r="B273" s="81"/>
      <c r="E273" s="82"/>
      <c r="G273" s="82"/>
      <c r="I273" s="84"/>
      <c r="K273" s="61"/>
      <c r="N273" s="74" t="str">
        <f>IFERROR(__xludf.DUMMYFUNCTION("""COMPUTED_VALUE"""),"")</f>
        <v/>
      </c>
      <c r="O273" s="74" t="str">
        <f>IFERROR(__xludf.DUMMYFUNCTION("""COMPUTED_VALUE"""),"")</f>
        <v/>
      </c>
      <c r="P273" s="74" t="str">
        <f>IFERROR(__xludf.DUMMYFUNCTION("""COMPUTED_VALUE"""),"")</f>
        <v/>
      </c>
    </row>
    <row r="274">
      <c r="A274" s="60"/>
      <c r="B274" s="81"/>
      <c r="E274" s="82"/>
      <c r="G274" s="82"/>
      <c r="I274" s="84"/>
      <c r="K274" s="61"/>
      <c r="N274" s="74" t="str">
        <f>IFERROR(__xludf.DUMMYFUNCTION("""COMPUTED_VALUE"""),"")</f>
        <v/>
      </c>
      <c r="O274" s="74" t="str">
        <f>IFERROR(__xludf.DUMMYFUNCTION("""COMPUTED_VALUE"""),"")</f>
        <v/>
      </c>
      <c r="P274" s="74" t="str">
        <f>IFERROR(__xludf.DUMMYFUNCTION("""COMPUTED_VALUE"""),"")</f>
        <v/>
      </c>
    </row>
    <row r="275">
      <c r="A275" s="60"/>
      <c r="B275" s="81"/>
      <c r="E275" s="82"/>
      <c r="G275" s="82"/>
      <c r="I275" s="84"/>
      <c r="K275" s="61"/>
      <c r="N275" s="74" t="str">
        <f>IFERROR(__xludf.DUMMYFUNCTION("""COMPUTED_VALUE"""),"")</f>
        <v/>
      </c>
      <c r="O275" s="74" t="str">
        <f>IFERROR(__xludf.DUMMYFUNCTION("""COMPUTED_VALUE"""),"")</f>
        <v/>
      </c>
      <c r="P275" s="74" t="str">
        <f>IFERROR(__xludf.DUMMYFUNCTION("""COMPUTED_VALUE"""),"")</f>
        <v/>
      </c>
    </row>
    <row r="276">
      <c r="A276" s="60"/>
      <c r="B276" s="81"/>
      <c r="E276" s="82"/>
      <c r="G276" s="82"/>
      <c r="I276" s="84"/>
      <c r="K276" s="61"/>
      <c r="N276" s="74" t="str">
        <f>IFERROR(__xludf.DUMMYFUNCTION("""COMPUTED_VALUE"""),"")</f>
        <v/>
      </c>
      <c r="O276" s="74" t="str">
        <f>IFERROR(__xludf.DUMMYFUNCTION("""COMPUTED_VALUE"""),"")</f>
        <v/>
      </c>
      <c r="P276" s="74" t="str">
        <f>IFERROR(__xludf.DUMMYFUNCTION("""COMPUTED_VALUE"""),"")</f>
        <v/>
      </c>
    </row>
    <row r="277">
      <c r="A277" s="60"/>
      <c r="B277" s="81"/>
      <c r="E277" s="82"/>
      <c r="G277" s="82"/>
      <c r="I277" s="84"/>
      <c r="K277" s="61"/>
      <c r="N277" s="74" t="str">
        <f>IFERROR(__xludf.DUMMYFUNCTION("""COMPUTED_VALUE"""),"")</f>
        <v/>
      </c>
      <c r="O277" s="74" t="str">
        <f>IFERROR(__xludf.DUMMYFUNCTION("""COMPUTED_VALUE"""),"")</f>
        <v/>
      </c>
      <c r="P277" s="74" t="str">
        <f>IFERROR(__xludf.DUMMYFUNCTION("""COMPUTED_VALUE"""),"")</f>
        <v/>
      </c>
    </row>
    <row r="278">
      <c r="A278" s="60"/>
      <c r="B278" s="81"/>
      <c r="E278" s="82"/>
      <c r="G278" s="82"/>
      <c r="I278" s="84"/>
      <c r="K278" s="61"/>
      <c r="N278" s="74" t="str">
        <f>IFERROR(__xludf.DUMMYFUNCTION("""COMPUTED_VALUE"""),"")</f>
        <v/>
      </c>
      <c r="O278" s="74" t="str">
        <f>IFERROR(__xludf.DUMMYFUNCTION("""COMPUTED_VALUE"""),"")</f>
        <v/>
      </c>
      <c r="P278" s="74" t="str">
        <f>IFERROR(__xludf.DUMMYFUNCTION("""COMPUTED_VALUE"""),"")</f>
        <v/>
      </c>
    </row>
    <row r="279">
      <c r="A279" s="60"/>
      <c r="B279" s="81"/>
      <c r="E279" s="82"/>
      <c r="G279" s="82"/>
      <c r="I279" s="84"/>
      <c r="K279" s="61"/>
      <c r="N279" s="74" t="str">
        <f>IFERROR(__xludf.DUMMYFUNCTION("""COMPUTED_VALUE"""),"")</f>
        <v/>
      </c>
      <c r="O279" s="74" t="str">
        <f>IFERROR(__xludf.DUMMYFUNCTION("""COMPUTED_VALUE"""),"")</f>
        <v/>
      </c>
      <c r="P279" s="74" t="str">
        <f>IFERROR(__xludf.DUMMYFUNCTION("""COMPUTED_VALUE"""),"")</f>
        <v/>
      </c>
    </row>
    <row r="280">
      <c r="A280" s="60"/>
      <c r="B280" s="81"/>
      <c r="E280" s="82"/>
      <c r="G280" s="82"/>
      <c r="I280" s="84"/>
      <c r="K280" s="61"/>
      <c r="N280" s="74" t="str">
        <f>IFERROR(__xludf.DUMMYFUNCTION("""COMPUTED_VALUE"""),"")</f>
        <v/>
      </c>
      <c r="O280" s="74" t="str">
        <f>IFERROR(__xludf.DUMMYFUNCTION("""COMPUTED_VALUE"""),"")</f>
        <v/>
      </c>
      <c r="P280" s="74" t="str">
        <f>IFERROR(__xludf.DUMMYFUNCTION("""COMPUTED_VALUE"""),"")</f>
        <v/>
      </c>
    </row>
    <row r="281">
      <c r="A281" s="60"/>
      <c r="B281" s="81"/>
      <c r="E281" s="82"/>
      <c r="G281" s="82"/>
      <c r="I281" s="84"/>
      <c r="K281" s="61"/>
      <c r="N281" s="74" t="str">
        <f>IFERROR(__xludf.DUMMYFUNCTION("""COMPUTED_VALUE"""),"")</f>
        <v/>
      </c>
      <c r="O281" s="74" t="str">
        <f>IFERROR(__xludf.DUMMYFUNCTION("""COMPUTED_VALUE"""),"")</f>
        <v/>
      </c>
      <c r="P281" s="74" t="str">
        <f>IFERROR(__xludf.DUMMYFUNCTION("""COMPUTED_VALUE"""),"")</f>
        <v/>
      </c>
    </row>
    <row r="282">
      <c r="A282" s="60"/>
      <c r="B282" s="81"/>
      <c r="E282" s="82"/>
      <c r="G282" s="82"/>
      <c r="I282" s="84"/>
      <c r="K282" s="61"/>
      <c r="N282" s="74" t="str">
        <f>IFERROR(__xludf.DUMMYFUNCTION("""COMPUTED_VALUE"""),"")</f>
        <v/>
      </c>
      <c r="O282" s="74" t="str">
        <f>IFERROR(__xludf.DUMMYFUNCTION("""COMPUTED_VALUE"""),"")</f>
        <v/>
      </c>
      <c r="P282" s="74" t="str">
        <f>IFERROR(__xludf.DUMMYFUNCTION("""COMPUTED_VALUE"""),"")</f>
        <v/>
      </c>
    </row>
    <row r="283">
      <c r="A283" s="60"/>
      <c r="B283" s="81"/>
      <c r="E283" s="82"/>
      <c r="G283" s="82"/>
      <c r="I283" s="84"/>
      <c r="K283" s="61"/>
      <c r="N283" s="74" t="str">
        <f>IFERROR(__xludf.DUMMYFUNCTION("""COMPUTED_VALUE"""),"")</f>
        <v/>
      </c>
      <c r="O283" s="74" t="str">
        <f>IFERROR(__xludf.DUMMYFUNCTION("""COMPUTED_VALUE"""),"")</f>
        <v/>
      </c>
      <c r="P283" s="74" t="str">
        <f>IFERROR(__xludf.DUMMYFUNCTION("""COMPUTED_VALUE"""),"")</f>
        <v/>
      </c>
    </row>
    <row r="284">
      <c r="A284" s="60"/>
      <c r="B284" s="81"/>
      <c r="E284" s="82"/>
      <c r="G284" s="82"/>
      <c r="I284" s="84"/>
      <c r="K284" s="61"/>
      <c r="N284" s="74" t="str">
        <f>IFERROR(__xludf.DUMMYFUNCTION("""COMPUTED_VALUE"""),"")</f>
        <v/>
      </c>
      <c r="O284" s="74" t="str">
        <f>IFERROR(__xludf.DUMMYFUNCTION("""COMPUTED_VALUE"""),"")</f>
        <v/>
      </c>
      <c r="P284" s="74" t="str">
        <f>IFERROR(__xludf.DUMMYFUNCTION("""COMPUTED_VALUE"""),"")</f>
        <v/>
      </c>
    </row>
    <row r="285">
      <c r="A285" s="60"/>
      <c r="B285" s="81"/>
      <c r="E285" s="82"/>
      <c r="G285" s="82"/>
      <c r="I285" s="84"/>
      <c r="K285" s="61"/>
      <c r="N285" s="74" t="str">
        <f>IFERROR(__xludf.DUMMYFUNCTION("""COMPUTED_VALUE"""),"")</f>
        <v/>
      </c>
      <c r="O285" s="74" t="str">
        <f>IFERROR(__xludf.DUMMYFUNCTION("""COMPUTED_VALUE"""),"")</f>
        <v/>
      </c>
      <c r="P285" s="74" t="str">
        <f>IFERROR(__xludf.DUMMYFUNCTION("""COMPUTED_VALUE"""),"")</f>
        <v/>
      </c>
    </row>
    <row r="286">
      <c r="A286" s="60"/>
      <c r="B286" s="81"/>
      <c r="E286" s="82"/>
      <c r="G286" s="82"/>
      <c r="I286" s="84"/>
      <c r="K286" s="61"/>
      <c r="N286" s="74" t="str">
        <f>IFERROR(__xludf.DUMMYFUNCTION("""COMPUTED_VALUE"""),"")</f>
        <v/>
      </c>
      <c r="O286" s="74" t="str">
        <f>IFERROR(__xludf.DUMMYFUNCTION("""COMPUTED_VALUE"""),"")</f>
        <v/>
      </c>
      <c r="P286" s="74" t="str">
        <f>IFERROR(__xludf.DUMMYFUNCTION("""COMPUTED_VALUE"""),"")</f>
        <v/>
      </c>
    </row>
    <row r="287">
      <c r="A287" s="60"/>
      <c r="B287" s="81"/>
      <c r="E287" s="82"/>
      <c r="G287" s="82"/>
      <c r="I287" s="84"/>
      <c r="K287" s="61"/>
      <c r="N287" s="74" t="str">
        <f>IFERROR(__xludf.DUMMYFUNCTION("""COMPUTED_VALUE"""),"")</f>
        <v/>
      </c>
      <c r="O287" s="74" t="str">
        <f>IFERROR(__xludf.DUMMYFUNCTION("""COMPUTED_VALUE"""),"")</f>
        <v/>
      </c>
      <c r="P287" s="74" t="str">
        <f>IFERROR(__xludf.DUMMYFUNCTION("""COMPUTED_VALUE"""),"")</f>
        <v/>
      </c>
    </row>
    <row r="288">
      <c r="A288" s="60"/>
      <c r="B288" s="81"/>
      <c r="E288" s="82"/>
      <c r="G288" s="82"/>
      <c r="I288" s="84"/>
      <c r="K288" s="61"/>
      <c r="N288" s="74" t="str">
        <f>IFERROR(__xludf.DUMMYFUNCTION("""COMPUTED_VALUE"""),"")</f>
        <v/>
      </c>
      <c r="O288" s="74" t="str">
        <f>IFERROR(__xludf.DUMMYFUNCTION("""COMPUTED_VALUE"""),"")</f>
        <v/>
      </c>
      <c r="P288" s="74" t="str">
        <f>IFERROR(__xludf.DUMMYFUNCTION("""COMPUTED_VALUE"""),"")</f>
        <v/>
      </c>
    </row>
    <row r="289">
      <c r="A289" s="60"/>
      <c r="B289" s="81"/>
      <c r="E289" s="82"/>
      <c r="G289" s="82"/>
      <c r="I289" s="84"/>
      <c r="K289" s="61"/>
      <c r="N289" s="74" t="str">
        <f>IFERROR(__xludf.DUMMYFUNCTION("""COMPUTED_VALUE"""),"")</f>
        <v/>
      </c>
      <c r="O289" s="74" t="str">
        <f>IFERROR(__xludf.DUMMYFUNCTION("""COMPUTED_VALUE"""),"")</f>
        <v/>
      </c>
      <c r="P289" s="74" t="str">
        <f>IFERROR(__xludf.DUMMYFUNCTION("""COMPUTED_VALUE"""),"")</f>
        <v/>
      </c>
    </row>
    <row r="290">
      <c r="A290" s="60"/>
      <c r="B290" s="81"/>
      <c r="E290" s="82"/>
      <c r="G290" s="82"/>
      <c r="I290" s="84"/>
      <c r="K290" s="61"/>
      <c r="N290" s="74" t="str">
        <f>IFERROR(__xludf.DUMMYFUNCTION("""COMPUTED_VALUE"""),"")</f>
        <v/>
      </c>
      <c r="O290" s="74" t="str">
        <f>IFERROR(__xludf.DUMMYFUNCTION("""COMPUTED_VALUE"""),"")</f>
        <v/>
      </c>
      <c r="P290" s="74" t="str">
        <f>IFERROR(__xludf.DUMMYFUNCTION("""COMPUTED_VALUE"""),"")</f>
        <v/>
      </c>
    </row>
    <row r="291">
      <c r="A291" s="60"/>
      <c r="B291" s="81"/>
      <c r="E291" s="82"/>
      <c r="G291" s="82"/>
      <c r="I291" s="84"/>
      <c r="K291" s="61"/>
      <c r="N291" s="74" t="str">
        <f>IFERROR(__xludf.DUMMYFUNCTION("""COMPUTED_VALUE"""),"")</f>
        <v/>
      </c>
      <c r="O291" s="74" t="str">
        <f>IFERROR(__xludf.DUMMYFUNCTION("""COMPUTED_VALUE"""),"")</f>
        <v/>
      </c>
      <c r="P291" s="74" t="str">
        <f>IFERROR(__xludf.DUMMYFUNCTION("""COMPUTED_VALUE"""),"")</f>
        <v/>
      </c>
    </row>
    <row r="292">
      <c r="A292" s="60"/>
      <c r="B292" s="81"/>
      <c r="E292" s="82"/>
      <c r="G292" s="82"/>
      <c r="I292" s="84"/>
      <c r="K292" s="61"/>
      <c r="N292" s="74" t="str">
        <f>IFERROR(__xludf.DUMMYFUNCTION("""COMPUTED_VALUE"""),"")</f>
        <v/>
      </c>
      <c r="O292" s="74" t="str">
        <f>IFERROR(__xludf.DUMMYFUNCTION("""COMPUTED_VALUE"""),"")</f>
        <v/>
      </c>
      <c r="P292" s="74" t="str">
        <f>IFERROR(__xludf.DUMMYFUNCTION("""COMPUTED_VALUE"""),"")</f>
        <v/>
      </c>
    </row>
    <row r="293">
      <c r="A293" s="60"/>
      <c r="B293" s="81"/>
      <c r="E293" s="82"/>
      <c r="G293" s="82"/>
      <c r="I293" s="84"/>
      <c r="K293" s="61"/>
      <c r="N293" s="74" t="str">
        <f>IFERROR(__xludf.DUMMYFUNCTION("""COMPUTED_VALUE"""),"")</f>
        <v/>
      </c>
      <c r="O293" s="74" t="str">
        <f>IFERROR(__xludf.DUMMYFUNCTION("""COMPUTED_VALUE"""),"")</f>
        <v/>
      </c>
      <c r="P293" s="74" t="str">
        <f>IFERROR(__xludf.DUMMYFUNCTION("""COMPUTED_VALUE"""),"")</f>
        <v/>
      </c>
    </row>
    <row r="294">
      <c r="A294" s="60"/>
      <c r="B294" s="81"/>
      <c r="E294" s="82"/>
      <c r="G294" s="82"/>
      <c r="I294" s="84"/>
      <c r="K294" s="61"/>
      <c r="N294" s="74" t="str">
        <f>IFERROR(__xludf.DUMMYFUNCTION("""COMPUTED_VALUE"""),"")</f>
        <v/>
      </c>
      <c r="O294" s="74" t="str">
        <f>IFERROR(__xludf.DUMMYFUNCTION("""COMPUTED_VALUE"""),"")</f>
        <v/>
      </c>
      <c r="P294" s="74" t="str">
        <f>IFERROR(__xludf.DUMMYFUNCTION("""COMPUTED_VALUE"""),"")</f>
        <v/>
      </c>
    </row>
    <row r="295">
      <c r="A295" s="60"/>
      <c r="B295" s="81"/>
      <c r="E295" s="82"/>
      <c r="G295" s="82"/>
      <c r="I295" s="84"/>
      <c r="K295" s="61"/>
      <c r="N295" s="74" t="str">
        <f>IFERROR(__xludf.DUMMYFUNCTION("""COMPUTED_VALUE"""),"")</f>
        <v/>
      </c>
      <c r="O295" s="74" t="str">
        <f>IFERROR(__xludf.DUMMYFUNCTION("""COMPUTED_VALUE"""),"")</f>
        <v/>
      </c>
      <c r="P295" s="74" t="str">
        <f>IFERROR(__xludf.DUMMYFUNCTION("""COMPUTED_VALUE"""),"")</f>
        <v/>
      </c>
    </row>
    <row r="296">
      <c r="A296" s="60"/>
      <c r="B296" s="81"/>
      <c r="E296" s="82"/>
      <c r="G296" s="82"/>
      <c r="I296" s="84"/>
      <c r="K296" s="61"/>
      <c r="N296" s="74" t="str">
        <f>IFERROR(__xludf.DUMMYFUNCTION("""COMPUTED_VALUE"""),"")</f>
        <v/>
      </c>
      <c r="O296" s="74" t="str">
        <f>IFERROR(__xludf.DUMMYFUNCTION("""COMPUTED_VALUE"""),"")</f>
        <v/>
      </c>
      <c r="P296" s="74" t="str">
        <f>IFERROR(__xludf.DUMMYFUNCTION("""COMPUTED_VALUE"""),"")</f>
        <v/>
      </c>
    </row>
    <row r="297">
      <c r="A297" s="60"/>
      <c r="B297" s="81"/>
      <c r="E297" s="82"/>
      <c r="G297" s="82"/>
      <c r="I297" s="84"/>
      <c r="K297" s="61"/>
      <c r="N297" s="74" t="str">
        <f>IFERROR(__xludf.DUMMYFUNCTION("""COMPUTED_VALUE"""),"")</f>
        <v/>
      </c>
      <c r="O297" s="74" t="str">
        <f>IFERROR(__xludf.DUMMYFUNCTION("""COMPUTED_VALUE"""),"")</f>
        <v/>
      </c>
      <c r="P297" s="74" t="str">
        <f>IFERROR(__xludf.DUMMYFUNCTION("""COMPUTED_VALUE"""),"")</f>
        <v/>
      </c>
    </row>
    <row r="298">
      <c r="A298" s="60"/>
      <c r="B298" s="81"/>
      <c r="E298" s="82"/>
      <c r="G298" s="82"/>
      <c r="I298" s="84"/>
      <c r="K298" s="61"/>
      <c r="N298" s="74" t="str">
        <f>IFERROR(__xludf.DUMMYFUNCTION("""COMPUTED_VALUE"""),"")</f>
        <v/>
      </c>
      <c r="O298" s="74" t="str">
        <f>IFERROR(__xludf.DUMMYFUNCTION("""COMPUTED_VALUE"""),"")</f>
        <v/>
      </c>
      <c r="P298" s="74" t="str">
        <f>IFERROR(__xludf.DUMMYFUNCTION("""COMPUTED_VALUE"""),"")</f>
        <v/>
      </c>
    </row>
    <row r="299">
      <c r="A299" s="60"/>
      <c r="B299" s="81"/>
      <c r="E299" s="82"/>
      <c r="G299" s="82"/>
      <c r="I299" s="84"/>
      <c r="K299" s="61"/>
      <c r="N299" s="74" t="str">
        <f>IFERROR(__xludf.DUMMYFUNCTION("""COMPUTED_VALUE"""),"")</f>
        <v/>
      </c>
      <c r="O299" s="74" t="str">
        <f>IFERROR(__xludf.DUMMYFUNCTION("""COMPUTED_VALUE"""),"")</f>
        <v/>
      </c>
      <c r="P299" s="74" t="str">
        <f>IFERROR(__xludf.DUMMYFUNCTION("""COMPUTED_VALUE"""),"")</f>
        <v/>
      </c>
    </row>
    <row r="300">
      <c r="A300" s="60"/>
      <c r="B300" s="81"/>
      <c r="E300" s="82"/>
      <c r="G300" s="82"/>
      <c r="I300" s="84"/>
      <c r="K300" s="61"/>
      <c r="N300" s="74" t="str">
        <f>IFERROR(__xludf.DUMMYFUNCTION("""COMPUTED_VALUE"""),"")</f>
        <v/>
      </c>
      <c r="O300" s="74" t="str">
        <f>IFERROR(__xludf.DUMMYFUNCTION("""COMPUTED_VALUE"""),"")</f>
        <v/>
      </c>
      <c r="P300" s="74" t="str">
        <f>IFERROR(__xludf.DUMMYFUNCTION("""COMPUTED_VALUE"""),"")</f>
        <v/>
      </c>
    </row>
    <row r="301">
      <c r="A301" s="60"/>
      <c r="B301" s="81"/>
      <c r="E301" s="82"/>
      <c r="G301" s="82"/>
      <c r="I301" s="84"/>
      <c r="K301" s="61"/>
      <c r="N301" s="74" t="str">
        <f>IFERROR(__xludf.DUMMYFUNCTION("""COMPUTED_VALUE"""),"")</f>
        <v/>
      </c>
      <c r="O301" s="74" t="str">
        <f>IFERROR(__xludf.DUMMYFUNCTION("""COMPUTED_VALUE"""),"")</f>
        <v/>
      </c>
      <c r="P301" s="74" t="str">
        <f>IFERROR(__xludf.DUMMYFUNCTION("""COMPUTED_VALUE"""),"")</f>
        <v/>
      </c>
    </row>
    <row r="302">
      <c r="A302" s="60"/>
      <c r="B302" s="81"/>
      <c r="E302" s="82"/>
      <c r="G302" s="82"/>
      <c r="I302" s="84"/>
      <c r="K302" s="61"/>
      <c r="N302" s="74" t="str">
        <f>IFERROR(__xludf.DUMMYFUNCTION("""COMPUTED_VALUE"""),"")</f>
        <v/>
      </c>
      <c r="O302" s="74" t="str">
        <f>IFERROR(__xludf.DUMMYFUNCTION("""COMPUTED_VALUE"""),"")</f>
        <v/>
      </c>
      <c r="P302" s="74" t="str">
        <f>IFERROR(__xludf.DUMMYFUNCTION("""COMPUTED_VALUE"""),"")</f>
        <v/>
      </c>
    </row>
    <row r="303">
      <c r="A303" s="60"/>
      <c r="B303" s="81"/>
      <c r="E303" s="82"/>
      <c r="G303" s="82"/>
      <c r="I303" s="84"/>
      <c r="K303" s="61"/>
      <c r="N303" s="74" t="str">
        <f>IFERROR(__xludf.DUMMYFUNCTION("""COMPUTED_VALUE"""),"")</f>
        <v/>
      </c>
      <c r="O303" s="74" t="str">
        <f>IFERROR(__xludf.DUMMYFUNCTION("""COMPUTED_VALUE"""),"")</f>
        <v/>
      </c>
      <c r="P303" s="74" t="str">
        <f>IFERROR(__xludf.DUMMYFUNCTION("""COMPUTED_VALUE"""),"")</f>
        <v/>
      </c>
    </row>
    <row r="304">
      <c r="A304" s="60"/>
      <c r="B304" s="81"/>
      <c r="E304" s="82"/>
      <c r="G304" s="82"/>
      <c r="I304" s="84"/>
      <c r="K304" s="61"/>
      <c r="N304" s="74" t="str">
        <f>IFERROR(__xludf.DUMMYFUNCTION("""COMPUTED_VALUE"""),"")</f>
        <v/>
      </c>
      <c r="O304" s="74" t="str">
        <f>IFERROR(__xludf.DUMMYFUNCTION("""COMPUTED_VALUE"""),"")</f>
        <v/>
      </c>
      <c r="P304" s="74" t="str">
        <f>IFERROR(__xludf.DUMMYFUNCTION("""COMPUTED_VALUE"""),"")</f>
        <v/>
      </c>
    </row>
    <row r="305">
      <c r="A305" s="60"/>
      <c r="B305" s="81"/>
      <c r="E305" s="82"/>
      <c r="G305" s="82"/>
      <c r="I305" s="84"/>
      <c r="K305" s="61"/>
      <c r="N305" s="74" t="str">
        <f>IFERROR(__xludf.DUMMYFUNCTION("""COMPUTED_VALUE"""),"")</f>
        <v/>
      </c>
      <c r="O305" s="74" t="str">
        <f>IFERROR(__xludf.DUMMYFUNCTION("""COMPUTED_VALUE"""),"")</f>
        <v/>
      </c>
      <c r="P305" s="74" t="str">
        <f>IFERROR(__xludf.DUMMYFUNCTION("""COMPUTED_VALUE"""),"")</f>
        <v/>
      </c>
    </row>
    <row r="306">
      <c r="A306" s="60"/>
      <c r="B306" s="81"/>
      <c r="E306" s="82"/>
      <c r="G306" s="82"/>
      <c r="I306" s="84"/>
      <c r="K306" s="61"/>
      <c r="N306" s="74" t="str">
        <f>IFERROR(__xludf.DUMMYFUNCTION("""COMPUTED_VALUE"""),"")</f>
        <v/>
      </c>
      <c r="O306" s="74" t="str">
        <f>IFERROR(__xludf.DUMMYFUNCTION("""COMPUTED_VALUE"""),"")</f>
        <v/>
      </c>
      <c r="P306" s="74" t="str">
        <f>IFERROR(__xludf.DUMMYFUNCTION("""COMPUTED_VALUE"""),"")</f>
        <v/>
      </c>
    </row>
    <row r="307">
      <c r="A307" s="60"/>
      <c r="B307" s="81"/>
      <c r="E307" s="82"/>
      <c r="G307" s="82"/>
      <c r="I307" s="84"/>
      <c r="K307" s="61"/>
      <c r="N307" s="74" t="str">
        <f>IFERROR(__xludf.DUMMYFUNCTION("""COMPUTED_VALUE"""),"")</f>
        <v/>
      </c>
      <c r="O307" s="74" t="str">
        <f>IFERROR(__xludf.DUMMYFUNCTION("""COMPUTED_VALUE"""),"")</f>
        <v/>
      </c>
      <c r="P307" s="74" t="str">
        <f>IFERROR(__xludf.DUMMYFUNCTION("""COMPUTED_VALUE"""),"")</f>
        <v/>
      </c>
    </row>
    <row r="308">
      <c r="A308" s="60"/>
      <c r="B308" s="81"/>
      <c r="E308" s="82"/>
      <c r="G308" s="82"/>
      <c r="I308" s="84"/>
      <c r="K308" s="61"/>
      <c r="N308" s="74" t="str">
        <f>IFERROR(__xludf.DUMMYFUNCTION("""COMPUTED_VALUE"""),"")</f>
        <v/>
      </c>
      <c r="O308" s="74" t="str">
        <f>IFERROR(__xludf.DUMMYFUNCTION("""COMPUTED_VALUE"""),"")</f>
        <v/>
      </c>
      <c r="P308" s="74" t="str">
        <f>IFERROR(__xludf.DUMMYFUNCTION("""COMPUTED_VALUE"""),"")</f>
        <v/>
      </c>
    </row>
    <row r="309">
      <c r="A309" s="60"/>
      <c r="B309" s="81"/>
      <c r="E309" s="82"/>
      <c r="G309" s="82"/>
      <c r="I309" s="84"/>
      <c r="K309" s="61"/>
      <c r="N309" s="74" t="str">
        <f>IFERROR(__xludf.DUMMYFUNCTION("""COMPUTED_VALUE"""),"")</f>
        <v/>
      </c>
      <c r="O309" s="74" t="str">
        <f>IFERROR(__xludf.DUMMYFUNCTION("""COMPUTED_VALUE"""),"")</f>
        <v/>
      </c>
      <c r="P309" s="74" t="str">
        <f>IFERROR(__xludf.DUMMYFUNCTION("""COMPUTED_VALUE"""),"")</f>
        <v/>
      </c>
    </row>
    <row r="310">
      <c r="A310" s="60"/>
      <c r="B310" s="81"/>
      <c r="E310" s="82"/>
      <c r="G310" s="82"/>
      <c r="I310" s="84"/>
      <c r="K310" s="61"/>
      <c r="N310" s="74" t="str">
        <f>IFERROR(__xludf.DUMMYFUNCTION("""COMPUTED_VALUE"""),"")</f>
        <v/>
      </c>
      <c r="O310" s="74" t="str">
        <f>IFERROR(__xludf.DUMMYFUNCTION("""COMPUTED_VALUE"""),"")</f>
        <v/>
      </c>
      <c r="P310" s="74" t="str">
        <f>IFERROR(__xludf.DUMMYFUNCTION("""COMPUTED_VALUE"""),"")</f>
        <v/>
      </c>
    </row>
    <row r="311">
      <c r="A311" s="60"/>
      <c r="B311" s="81"/>
      <c r="E311" s="82"/>
      <c r="G311" s="82"/>
      <c r="I311" s="84"/>
      <c r="K311" s="61"/>
      <c r="N311" s="74" t="str">
        <f>IFERROR(__xludf.DUMMYFUNCTION("""COMPUTED_VALUE"""),"")</f>
        <v/>
      </c>
      <c r="O311" s="74" t="str">
        <f>IFERROR(__xludf.DUMMYFUNCTION("""COMPUTED_VALUE"""),"")</f>
        <v/>
      </c>
      <c r="P311" s="74" t="str">
        <f>IFERROR(__xludf.DUMMYFUNCTION("""COMPUTED_VALUE"""),"")</f>
        <v/>
      </c>
    </row>
    <row r="312">
      <c r="A312" s="60"/>
      <c r="B312" s="81"/>
      <c r="E312" s="82"/>
      <c r="G312" s="82"/>
      <c r="I312" s="84"/>
      <c r="K312" s="61"/>
      <c r="N312" s="74" t="str">
        <f>IFERROR(__xludf.DUMMYFUNCTION("""COMPUTED_VALUE"""),"")</f>
        <v/>
      </c>
      <c r="O312" s="74" t="str">
        <f>IFERROR(__xludf.DUMMYFUNCTION("""COMPUTED_VALUE"""),"")</f>
        <v/>
      </c>
      <c r="P312" s="74" t="str">
        <f>IFERROR(__xludf.DUMMYFUNCTION("""COMPUTED_VALUE"""),"")</f>
        <v/>
      </c>
    </row>
    <row r="313">
      <c r="A313" s="60"/>
      <c r="B313" s="81"/>
      <c r="E313" s="82"/>
      <c r="G313" s="82"/>
      <c r="I313" s="84"/>
      <c r="K313" s="61"/>
      <c r="N313" s="74" t="str">
        <f>IFERROR(__xludf.DUMMYFUNCTION("""COMPUTED_VALUE"""),"")</f>
        <v/>
      </c>
      <c r="O313" s="74" t="str">
        <f>IFERROR(__xludf.DUMMYFUNCTION("""COMPUTED_VALUE"""),"")</f>
        <v/>
      </c>
      <c r="P313" s="74" t="str">
        <f>IFERROR(__xludf.DUMMYFUNCTION("""COMPUTED_VALUE"""),"")</f>
        <v/>
      </c>
    </row>
    <row r="314">
      <c r="A314" s="60"/>
      <c r="B314" s="81"/>
      <c r="E314" s="82"/>
      <c r="G314" s="82"/>
      <c r="I314" s="84"/>
      <c r="K314" s="61"/>
      <c r="N314" s="74" t="str">
        <f>IFERROR(__xludf.DUMMYFUNCTION("""COMPUTED_VALUE"""),"")</f>
        <v/>
      </c>
      <c r="O314" s="74" t="str">
        <f>IFERROR(__xludf.DUMMYFUNCTION("""COMPUTED_VALUE"""),"")</f>
        <v/>
      </c>
      <c r="P314" s="74" t="str">
        <f>IFERROR(__xludf.DUMMYFUNCTION("""COMPUTED_VALUE"""),"")</f>
        <v/>
      </c>
    </row>
    <row r="315">
      <c r="A315" s="60"/>
      <c r="B315" s="81"/>
      <c r="E315" s="82"/>
      <c r="G315" s="82"/>
      <c r="I315" s="84"/>
      <c r="K315" s="61"/>
      <c r="N315" s="74" t="str">
        <f>IFERROR(__xludf.DUMMYFUNCTION("""COMPUTED_VALUE"""),"")</f>
        <v/>
      </c>
      <c r="O315" s="74" t="str">
        <f>IFERROR(__xludf.DUMMYFUNCTION("""COMPUTED_VALUE"""),"")</f>
        <v/>
      </c>
      <c r="P315" s="74" t="str">
        <f>IFERROR(__xludf.DUMMYFUNCTION("""COMPUTED_VALUE"""),"")</f>
        <v/>
      </c>
    </row>
    <row r="316">
      <c r="A316" s="60"/>
      <c r="B316" s="81"/>
      <c r="E316" s="82"/>
      <c r="G316" s="82"/>
      <c r="I316" s="84"/>
      <c r="K316" s="61"/>
      <c r="N316" s="74" t="str">
        <f>IFERROR(__xludf.DUMMYFUNCTION("""COMPUTED_VALUE"""),"")</f>
        <v/>
      </c>
      <c r="O316" s="74" t="str">
        <f>IFERROR(__xludf.DUMMYFUNCTION("""COMPUTED_VALUE"""),"")</f>
        <v/>
      </c>
      <c r="P316" s="74" t="str">
        <f>IFERROR(__xludf.DUMMYFUNCTION("""COMPUTED_VALUE"""),"")</f>
        <v/>
      </c>
    </row>
    <row r="317">
      <c r="A317" s="60"/>
      <c r="B317" s="81"/>
      <c r="E317" s="82"/>
      <c r="G317" s="82"/>
      <c r="I317" s="84"/>
      <c r="K317" s="61"/>
      <c r="N317" s="74" t="str">
        <f>IFERROR(__xludf.DUMMYFUNCTION("""COMPUTED_VALUE"""),"")</f>
        <v/>
      </c>
      <c r="O317" s="74" t="str">
        <f>IFERROR(__xludf.DUMMYFUNCTION("""COMPUTED_VALUE"""),"")</f>
        <v/>
      </c>
      <c r="P317" s="74" t="str">
        <f>IFERROR(__xludf.DUMMYFUNCTION("""COMPUTED_VALUE"""),"")</f>
        <v/>
      </c>
    </row>
    <row r="318">
      <c r="A318" s="60"/>
      <c r="B318" s="81"/>
      <c r="E318" s="82"/>
      <c r="G318" s="82"/>
      <c r="I318" s="84"/>
      <c r="K318" s="61"/>
      <c r="N318" s="74" t="str">
        <f>IFERROR(__xludf.DUMMYFUNCTION("""COMPUTED_VALUE"""),"")</f>
        <v/>
      </c>
      <c r="O318" s="74" t="str">
        <f>IFERROR(__xludf.DUMMYFUNCTION("""COMPUTED_VALUE"""),"")</f>
        <v/>
      </c>
      <c r="P318" s="74" t="str">
        <f>IFERROR(__xludf.DUMMYFUNCTION("""COMPUTED_VALUE"""),"")</f>
        <v/>
      </c>
    </row>
    <row r="319">
      <c r="A319" s="60"/>
      <c r="B319" s="81"/>
      <c r="E319" s="82"/>
      <c r="G319" s="82"/>
      <c r="I319" s="84"/>
      <c r="K319" s="61"/>
      <c r="N319" s="74" t="str">
        <f>IFERROR(__xludf.DUMMYFUNCTION("""COMPUTED_VALUE"""),"")</f>
        <v/>
      </c>
      <c r="O319" s="74" t="str">
        <f>IFERROR(__xludf.DUMMYFUNCTION("""COMPUTED_VALUE"""),"")</f>
        <v/>
      </c>
      <c r="P319" s="74" t="str">
        <f>IFERROR(__xludf.DUMMYFUNCTION("""COMPUTED_VALUE"""),"")</f>
        <v/>
      </c>
    </row>
    <row r="320">
      <c r="A320" s="60"/>
      <c r="B320" s="81"/>
      <c r="E320" s="82"/>
      <c r="G320" s="82"/>
      <c r="I320" s="84"/>
      <c r="K320" s="61"/>
      <c r="N320" s="74" t="str">
        <f>IFERROR(__xludf.DUMMYFUNCTION("""COMPUTED_VALUE"""),"")</f>
        <v/>
      </c>
      <c r="O320" s="74" t="str">
        <f>IFERROR(__xludf.DUMMYFUNCTION("""COMPUTED_VALUE"""),"")</f>
        <v/>
      </c>
      <c r="P320" s="74" t="str">
        <f>IFERROR(__xludf.DUMMYFUNCTION("""COMPUTED_VALUE"""),"")</f>
        <v/>
      </c>
    </row>
    <row r="321">
      <c r="A321" s="60"/>
      <c r="B321" s="81"/>
      <c r="E321" s="82"/>
      <c r="G321" s="82"/>
      <c r="I321" s="84"/>
      <c r="K321" s="61"/>
      <c r="N321" s="74" t="str">
        <f>IFERROR(__xludf.DUMMYFUNCTION("""COMPUTED_VALUE"""),"")</f>
        <v/>
      </c>
      <c r="O321" s="74" t="str">
        <f>IFERROR(__xludf.DUMMYFUNCTION("""COMPUTED_VALUE"""),"")</f>
        <v/>
      </c>
      <c r="P321" s="74" t="str">
        <f>IFERROR(__xludf.DUMMYFUNCTION("""COMPUTED_VALUE"""),"")</f>
        <v/>
      </c>
    </row>
    <row r="322">
      <c r="A322" s="60"/>
      <c r="B322" s="81"/>
      <c r="E322" s="82"/>
      <c r="G322" s="82"/>
      <c r="I322" s="84"/>
      <c r="K322" s="61"/>
      <c r="N322" s="74" t="str">
        <f>IFERROR(__xludf.DUMMYFUNCTION("""COMPUTED_VALUE"""),"")</f>
        <v/>
      </c>
      <c r="O322" s="74" t="str">
        <f>IFERROR(__xludf.DUMMYFUNCTION("""COMPUTED_VALUE"""),"")</f>
        <v/>
      </c>
      <c r="P322" s="74" t="str">
        <f>IFERROR(__xludf.DUMMYFUNCTION("""COMPUTED_VALUE"""),"")</f>
        <v/>
      </c>
    </row>
    <row r="323">
      <c r="A323" s="60"/>
      <c r="B323" s="81"/>
      <c r="E323" s="82"/>
      <c r="G323" s="82"/>
      <c r="I323" s="84"/>
      <c r="K323" s="61"/>
      <c r="N323" s="74" t="str">
        <f>IFERROR(__xludf.DUMMYFUNCTION("""COMPUTED_VALUE"""),"")</f>
        <v/>
      </c>
      <c r="O323" s="74" t="str">
        <f>IFERROR(__xludf.DUMMYFUNCTION("""COMPUTED_VALUE"""),"")</f>
        <v/>
      </c>
      <c r="P323" s="74" t="str">
        <f>IFERROR(__xludf.DUMMYFUNCTION("""COMPUTED_VALUE"""),"")</f>
        <v/>
      </c>
    </row>
    <row r="324">
      <c r="A324" s="60"/>
      <c r="B324" s="81"/>
      <c r="E324" s="82"/>
      <c r="G324" s="82"/>
      <c r="I324" s="84"/>
      <c r="K324" s="61"/>
      <c r="N324" s="74" t="str">
        <f>IFERROR(__xludf.DUMMYFUNCTION("""COMPUTED_VALUE"""),"")</f>
        <v/>
      </c>
      <c r="O324" s="74" t="str">
        <f>IFERROR(__xludf.DUMMYFUNCTION("""COMPUTED_VALUE"""),"")</f>
        <v/>
      </c>
      <c r="P324" s="74" t="str">
        <f>IFERROR(__xludf.DUMMYFUNCTION("""COMPUTED_VALUE"""),"")</f>
        <v/>
      </c>
    </row>
    <row r="325">
      <c r="A325" s="60"/>
      <c r="B325" s="81"/>
      <c r="E325" s="82"/>
      <c r="G325" s="82"/>
      <c r="I325" s="84"/>
      <c r="K325" s="61"/>
      <c r="N325" s="74" t="str">
        <f>IFERROR(__xludf.DUMMYFUNCTION("""COMPUTED_VALUE"""),"")</f>
        <v/>
      </c>
      <c r="O325" s="74" t="str">
        <f>IFERROR(__xludf.DUMMYFUNCTION("""COMPUTED_VALUE"""),"")</f>
        <v/>
      </c>
      <c r="P325" s="74" t="str">
        <f>IFERROR(__xludf.DUMMYFUNCTION("""COMPUTED_VALUE"""),"")</f>
        <v/>
      </c>
    </row>
    <row r="326">
      <c r="A326" s="60"/>
      <c r="B326" s="81"/>
      <c r="E326" s="82"/>
      <c r="G326" s="82"/>
      <c r="I326" s="84"/>
      <c r="K326" s="61"/>
      <c r="N326" s="74" t="str">
        <f>IFERROR(__xludf.DUMMYFUNCTION("""COMPUTED_VALUE"""),"")</f>
        <v/>
      </c>
      <c r="O326" s="74" t="str">
        <f>IFERROR(__xludf.DUMMYFUNCTION("""COMPUTED_VALUE"""),"")</f>
        <v/>
      </c>
      <c r="P326" s="74" t="str">
        <f>IFERROR(__xludf.DUMMYFUNCTION("""COMPUTED_VALUE"""),"")</f>
        <v/>
      </c>
    </row>
    <row r="327">
      <c r="A327" s="60"/>
      <c r="B327" s="81"/>
      <c r="E327" s="82"/>
      <c r="G327" s="82"/>
      <c r="I327" s="84"/>
      <c r="K327" s="61"/>
      <c r="N327" s="74" t="str">
        <f>IFERROR(__xludf.DUMMYFUNCTION("""COMPUTED_VALUE"""),"")</f>
        <v/>
      </c>
      <c r="O327" s="74" t="str">
        <f>IFERROR(__xludf.DUMMYFUNCTION("""COMPUTED_VALUE"""),"")</f>
        <v/>
      </c>
      <c r="P327" s="74" t="str">
        <f>IFERROR(__xludf.DUMMYFUNCTION("""COMPUTED_VALUE"""),"")</f>
        <v/>
      </c>
    </row>
    <row r="328">
      <c r="A328" s="60"/>
      <c r="B328" s="81"/>
      <c r="E328" s="82"/>
      <c r="G328" s="82"/>
      <c r="I328" s="84"/>
      <c r="K328" s="61"/>
      <c r="N328" s="74" t="str">
        <f>IFERROR(__xludf.DUMMYFUNCTION("""COMPUTED_VALUE"""),"")</f>
        <v/>
      </c>
      <c r="O328" s="74" t="str">
        <f>IFERROR(__xludf.DUMMYFUNCTION("""COMPUTED_VALUE"""),"")</f>
        <v/>
      </c>
      <c r="P328" s="74" t="str">
        <f>IFERROR(__xludf.DUMMYFUNCTION("""COMPUTED_VALUE"""),"")</f>
        <v/>
      </c>
    </row>
    <row r="329">
      <c r="A329" s="60"/>
      <c r="B329" s="81"/>
      <c r="E329" s="82"/>
      <c r="G329" s="82"/>
      <c r="I329" s="84"/>
      <c r="K329" s="61"/>
      <c r="N329" s="74" t="str">
        <f>IFERROR(__xludf.DUMMYFUNCTION("""COMPUTED_VALUE"""),"")</f>
        <v/>
      </c>
      <c r="O329" s="74" t="str">
        <f>IFERROR(__xludf.DUMMYFUNCTION("""COMPUTED_VALUE"""),"")</f>
        <v/>
      </c>
      <c r="P329" s="74" t="str">
        <f>IFERROR(__xludf.DUMMYFUNCTION("""COMPUTED_VALUE"""),"")</f>
        <v/>
      </c>
    </row>
    <row r="330">
      <c r="A330" s="60"/>
      <c r="B330" s="81"/>
      <c r="E330" s="82"/>
      <c r="G330" s="82"/>
      <c r="I330" s="84"/>
      <c r="K330" s="61"/>
      <c r="N330" s="74" t="str">
        <f>IFERROR(__xludf.DUMMYFUNCTION("""COMPUTED_VALUE"""),"")</f>
        <v/>
      </c>
      <c r="O330" s="74" t="str">
        <f>IFERROR(__xludf.DUMMYFUNCTION("""COMPUTED_VALUE"""),"")</f>
        <v/>
      </c>
      <c r="P330" s="74" t="str">
        <f>IFERROR(__xludf.DUMMYFUNCTION("""COMPUTED_VALUE"""),"")</f>
        <v/>
      </c>
    </row>
    <row r="331">
      <c r="A331" s="60"/>
      <c r="B331" s="81"/>
      <c r="E331" s="82"/>
      <c r="G331" s="82"/>
      <c r="I331" s="84"/>
      <c r="K331" s="61"/>
      <c r="N331" s="74" t="str">
        <f>IFERROR(__xludf.DUMMYFUNCTION("""COMPUTED_VALUE"""),"")</f>
        <v/>
      </c>
      <c r="O331" s="74" t="str">
        <f>IFERROR(__xludf.DUMMYFUNCTION("""COMPUTED_VALUE"""),"")</f>
        <v/>
      </c>
      <c r="P331" s="74" t="str">
        <f>IFERROR(__xludf.DUMMYFUNCTION("""COMPUTED_VALUE"""),"")</f>
        <v/>
      </c>
    </row>
    <row r="332">
      <c r="A332" s="60"/>
      <c r="B332" s="81"/>
      <c r="E332" s="82"/>
      <c r="G332" s="82"/>
      <c r="I332" s="84"/>
      <c r="K332" s="61"/>
      <c r="N332" s="74" t="str">
        <f>IFERROR(__xludf.DUMMYFUNCTION("""COMPUTED_VALUE"""),"")</f>
        <v/>
      </c>
      <c r="O332" s="74" t="str">
        <f>IFERROR(__xludf.DUMMYFUNCTION("""COMPUTED_VALUE"""),"")</f>
        <v/>
      </c>
      <c r="P332" s="74" t="str">
        <f>IFERROR(__xludf.DUMMYFUNCTION("""COMPUTED_VALUE"""),"")</f>
        <v/>
      </c>
    </row>
    <row r="333">
      <c r="A333" s="60"/>
      <c r="B333" s="81"/>
      <c r="E333" s="82"/>
      <c r="G333" s="82"/>
      <c r="I333" s="84"/>
      <c r="K333" s="61"/>
      <c r="N333" s="74" t="str">
        <f>IFERROR(__xludf.DUMMYFUNCTION("""COMPUTED_VALUE"""),"")</f>
        <v/>
      </c>
      <c r="O333" s="74" t="str">
        <f>IFERROR(__xludf.DUMMYFUNCTION("""COMPUTED_VALUE"""),"")</f>
        <v/>
      </c>
      <c r="P333" s="74" t="str">
        <f>IFERROR(__xludf.DUMMYFUNCTION("""COMPUTED_VALUE"""),"")</f>
        <v/>
      </c>
    </row>
    <row r="334">
      <c r="A334" s="60"/>
      <c r="B334" s="81"/>
      <c r="E334" s="82"/>
      <c r="G334" s="82"/>
      <c r="I334" s="84"/>
      <c r="K334" s="61"/>
      <c r="N334" s="74" t="str">
        <f>IFERROR(__xludf.DUMMYFUNCTION("""COMPUTED_VALUE"""),"")</f>
        <v/>
      </c>
      <c r="O334" s="74" t="str">
        <f>IFERROR(__xludf.DUMMYFUNCTION("""COMPUTED_VALUE"""),"")</f>
        <v/>
      </c>
      <c r="P334" s="74" t="str">
        <f>IFERROR(__xludf.DUMMYFUNCTION("""COMPUTED_VALUE"""),"")</f>
        <v/>
      </c>
    </row>
    <row r="335">
      <c r="A335" s="60"/>
      <c r="B335" s="81"/>
      <c r="E335" s="82"/>
      <c r="G335" s="82"/>
      <c r="I335" s="84"/>
      <c r="K335" s="61"/>
      <c r="N335" s="74" t="str">
        <f>IFERROR(__xludf.DUMMYFUNCTION("""COMPUTED_VALUE"""),"")</f>
        <v/>
      </c>
      <c r="O335" s="74" t="str">
        <f>IFERROR(__xludf.DUMMYFUNCTION("""COMPUTED_VALUE"""),"")</f>
        <v/>
      </c>
      <c r="P335" s="74" t="str">
        <f>IFERROR(__xludf.DUMMYFUNCTION("""COMPUTED_VALUE"""),"")</f>
        <v/>
      </c>
    </row>
    <row r="336">
      <c r="A336" s="60"/>
      <c r="B336" s="81"/>
      <c r="E336" s="82"/>
      <c r="G336" s="82"/>
      <c r="I336" s="84"/>
      <c r="K336" s="61"/>
      <c r="N336" s="74" t="str">
        <f>IFERROR(__xludf.DUMMYFUNCTION("""COMPUTED_VALUE"""),"")</f>
        <v/>
      </c>
      <c r="O336" s="74" t="str">
        <f>IFERROR(__xludf.DUMMYFUNCTION("""COMPUTED_VALUE"""),"")</f>
        <v/>
      </c>
      <c r="P336" s="74" t="str">
        <f>IFERROR(__xludf.DUMMYFUNCTION("""COMPUTED_VALUE"""),"")</f>
        <v/>
      </c>
    </row>
    <row r="337">
      <c r="A337" s="60"/>
      <c r="B337" s="81"/>
      <c r="E337" s="82"/>
      <c r="G337" s="82"/>
      <c r="I337" s="84"/>
      <c r="K337" s="61"/>
      <c r="N337" s="74" t="str">
        <f>IFERROR(__xludf.DUMMYFUNCTION("""COMPUTED_VALUE"""),"")</f>
        <v/>
      </c>
      <c r="O337" s="74" t="str">
        <f>IFERROR(__xludf.DUMMYFUNCTION("""COMPUTED_VALUE"""),"")</f>
        <v/>
      </c>
      <c r="P337" s="74" t="str">
        <f>IFERROR(__xludf.DUMMYFUNCTION("""COMPUTED_VALUE"""),"")</f>
        <v/>
      </c>
    </row>
    <row r="338">
      <c r="A338" s="60"/>
      <c r="B338" s="81"/>
      <c r="E338" s="82"/>
      <c r="G338" s="82"/>
      <c r="I338" s="84"/>
      <c r="K338" s="61"/>
      <c r="N338" s="74" t="str">
        <f>IFERROR(__xludf.DUMMYFUNCTION("""COMPUTED_VALUE"""),"")</f>
        <v/>
      </c>
      <c r="O338" s="74" t="str">
        <f>IFERROR(__xludf.DUMMYFUNCTION("""COMPUTED_VALUE"""),"")</f>
        <v/>
      </c>
      <c r="P338" s="74" t="str">
        <f>IFERROR(__xludf.DUMMYFUNCTION("""COMPUTED_VALUE"""),"")</f>
        <v/>
      </c>
    </row>
    <row r="339">
      <c r="A339" s="60"/>
      <c r="B339" s="81"/>
      <c r="E339" s="82"/>
      <c r="G339" s="82"/>
      <c r="I339" s="84"/>
      <c r="K339" s="61"/>
      <c r="N339" s="74" t="str">
        <f>IFERROR(__xludf.DUMMYFUNCTION("""COMPUTED_VALUE"""),"")</f>
        <v/>
      </c>
      <c r="O339" s="74" t="str">
        <f>IFERROR(__xludf.DUMMYFUNCTION("""COMPUTED_VALUE"""),"")</f>
        <v/>
      </c>
      <c r="P339" s="74" t="str">
        <f>IFERROR(__xludf.DUMMYFUNCTION("""COMPUTED_VALUE"""),"")</f>
        <v/>
      </c>
    </row>
    <row r="340">
      <c r="A340" s="60"/>
      <c r="B340" s="81"/>
      <c r="E340" s="82"/>
      <c r="G340" s="82"/>
      <c r="I340" s="84"/>
      <c r="K340" s="61"/>
      <c r="N340" s="74" t="str">
        <f>IFERROR(__xludf.DUMMYFUNCTION("""COMPUTED_VALUE"""),"")</f>
        <v/>
      </c>
      <c r="O340" s="74" t="str">
        <f>IFERROR(__xludf.DUMMYFUNCTION("""COMPUTED_VALUE"""),"")</f>
        <v/>
      </c>
      <c r="P340" s="74" t="str">
        <f>IFERROR(__xludf.DUMMYFUNCTION("""COMPUTED_VALUE"""),"")</f>
        <v/>
      </c>
    </row>
    <row r="341">
      <c r="A341" s="60"/>
      <c r="B341" s="81"/>
      <c r="E341" s="82"/>
      <c r="G341" s="82"/>
      <c r="I341" s="84"/>
      <c r="K341" s="61"/>
      <c r="N341" s="74" t="str">
        <f>IFERROR(__xludf.DUMMYFUNCTION("""COMPUTED_VALUE"""),"")</f>
        <v/>
      </c>
      <c r="O341" s="74" t="str">
        <f>IFERROR(__xludf.DUMMYFUNCTION("""COMPUTED_VALUE"""),"")</f>
        <v/>
      </c>
      <c r="P341" s="74" t="str">
        <f>IFERROR(__xludf.DUMMYFUNCTION("""COMPUTED_VALUE"""),"")</f>
        <v/>
      </c>
    </row>
    <row r="342">
      <c r="A342" s="60"/>
      <c r="B342" s="81"/>
      <c r="E342" s="82"/>
      <c r="G342" s="82"/>
      <c r="I342" s="84"/>
      <c r="K342" s="61"/>
      <c r="N342" s="74" t="str">
        <f>IFERROR(__xludf.DUMMYFUNCTION("""COMPUTED_VALUE"""),"")</f>
        <v/>
      </c>
      <c r="O342" s="74" t="str">
        <f>IFERROR(__xludf.DUMMYFUNCTION("""COMPUTED_VALUE"""),"")</f>
        <v/>
      </c>
      <c r="P342" s="74" t="str">
        <f>IFERROR(__xludf.DUMMYFUNCTION("""COMPUTED_VALUE"""),"")</f>
        <v/>
      </c>
    </row>
    <row r="343">
      <c r="A343" s="60"/>
      <c r="B343" s="81"/>
      <c r="E343" s="82"/>
      <c r="G343" s="82"/>
      <c r="I343" s="84"/>
      <c r="K343" s="61"/>
      <c r="N343" s="74" t="str">
        <f>IFERROR(__xludf.DUMMYFUNCTION("""COMPUTED_VALUE"""),"")</f>
        <v/>
      </c>
      <c r="O343" s="74" t="str">
        <f>IFERROR(__xludf.DUMMYFUNCTION("""COMPUTED_VALUE"""),"")</f>
        <v/>
      </c>
      <c r="P343" s="74" t="str">
        <f>IFERROR(__xludf.DUMMYFUNCTION("""COMPUTED_VALUE"""),"")</f>
        <v/>
      </c>
    </row>
    <row r="344">
      <c r="A344" s="60"/>
      <c r="B344" s="81"/>
      <c r="E344" s="82"/>
      <c r="G344" s="82"/>
      <c r="I344" s="84"/>
      <c r="K344" s="61"/>
      <c r="N344" s="74" t="str">
        <f>IFERROR(__xludf.DUMMYFUNCTION("""COMPUTED_VALUE"""),"")</f>
        <v/>
      </c>
      <c r="O344" s="74" t="str">
        <f>IFERROR(__xludf.DUMMYFUNCTION("""COMPUTED_VALUE"""),"")</f>
        <v/>
      </c>
      <c r="P344" s="74" t="str">
        <f>IFERROR(__xludf.DUMMYFUNCTION("""COMPUTED_VALUE"""),"")</f>
        <v/>
      </c>
    </row>
    <row r="345">
      <c r="A345" s="60"/>
      <c r="B345" s="81"/>
      <c r="E345" s="82"/>
      <c r="G345" s="82"/>
      <c r="I345" s="84"/>
      <c r="K345" s="61"/>
      <c r="N345" s="74" t="str">
        <f>IFERROR(__xludf.DUMMYFUNCTION("""COMPUTED_VALUE"""),"")</f>
        <v/>
      </c>
      <c r="O345" s="74" t="str">
        <f>IFERROR(__xludf.DUMMYFUNCTION("""COMPUTED_VALUE"""),"")</f>
        <v/>
      </c>
      <c r="P345" s="74" t="str">
        <f>IFERROR(__xludf.DUMMYFUNCTION("""COMPUTED_VALUE"""),"")</f>
        <v/>
      </c>
    </row>
    <row r="346">
      <c r="A346" s="60"/>
      <c r="B346" s="81"/>
      <c r="E346" s="82"/>
      <c r="G346" s="82"/>
      <c r="I346" s="84"/>
      <c r="K346" s="61"/>
      <c r="N346" s="74" t="str">
        <f>IFERROR(__xludf.DUMMYFUNCTION("""COMPUTED_VALUE"""),"")</f>
        <v/>
      </c>
      <c r="O346" s="74" t="str">
        <f>IFERROR(__xludf.DUMMYFUNCTION("""COMPUTED_VALUE"""),"")</f>
        <v/>
      </c>
      <c r="P346" s="74" t="str">
        <f>IFERROR(__xludf.DUMMYFUNCTION("""COMPUTED_VALUE"""),"")</f>
        <v/>
      </c>
    </row>
    <row r="347">
      <c r="A347" s="60"/>
      <c r="B347" s="81"/>
      <c r="E347" s="82"/>
      <c r="G347" s="82"/>
      <c r="I347" s="84"/>
      <c r="K347" s="61"/>
      <c r="N347" s="74" t="str">
        <f>IFERROR(__xludf.DUMMYFUNCTION("""COMPUTED_VALUE"""),"")</f>
        <v/>
      </c>
      <c r="O347" s="74" t="str">
        <f>IFERROR(__xludf.DUMMYFUNCTION("""COMPUTED_VALUE"""),"")</f>
        <v/>
      </c>
      <c r="P347" s="74" t="str">
        <f>IFERROR(__xludf.DUMMYFUNCTION("""COMPUTED_VALUE"""),"")</f>
        <v/>
      </c>
    </row>
    <row r="348">
      <c r="A348" s="60"/>
      <c r="B348" s="81"/>
      <c r="E348" s="82"/>
      <c r="G348" s="82"/>
      <c r="I348" s="84"/>
      <c r="K348" s="61"/>
      <c r="N348" s="74" t="str">
        <f>IFERROR(__xludf.DUMMYFUNCTION("""COMPUTED_VALUE"""),"")</f>
        <v/>
      </c>
      <c r="O348" s="74" t="str">
        <f>IFERROR(__xludf.DUMMYFUNCTION("""COMPUTED_VALUE"""),"")</f>
        <v/>
      </c>
      <c r="P348" s="74" t="str">
        <f>IFERROR(__xludf.DUMMYFUNCTION("""COMPUTED_VALUE"""),"")</f>
        <v/>
      </c>
    </row>
    <row r="349">
      <c r="A349" s="60"/>
      <c r="B349" s="81"/>
      <c r="E349" s="82"/>
      <c r="G349" s="82"/>
      <c r="I349" s="84"/>
      <c r="K349" s="61"/>
      <c r="N349" s="74" t="str">
        <f>IFERROR(__xludf.DUMMYFUNCTION("""COMPUTED_VALUE"""),"")</f>
        <v/>
      </c>
      <c r="O349" s="74" t="str">
        <f>IFERROR(__xludf.DUMMYFUNCTION("""COMPUTED_VALUE"""),"")</f>
        <v/>
      </c>
      <c r="P349" s="74" t="str">
        <f>IFERROR(__xludf.DUMMYFUNCTION("""COMPUTED_VALUE"""),"")</f>
        <v/>
      </c>
    </row>
    <row r="350">
      <c r="A350" s="60"/>
      <c r="B350" s="81"/>
      <c r="E350" s="82"/>
      <c r="G350" s="82"/>
      <c r="I350" s="84"/>
      <c r="K350" s="61"/>
      <c r="N350" s="74" t="str">
        <f>IFERROR(__xludf.DUMMYFUNCTION("""COMPUTED_VALUE"""),"")</f>
        <v/>
      </c>
      <c r="O350" s="74" t="str">
        <f>IFERROR(__xludf.DUMMYFUNCTION("""COMPUTED_VALUE"""),"")</f>
        <v/>
      </c>
      <c r="P350" s="74" t="str">
        <f>IFERROR(__xludf.DUMMYFUNCTION("""COMPUTED_VALUE"""),"")</f>
        <v/>
      </c>
    </row>
    <row r="351">
      <c r="A351" s="60"/>
      <c r="B351" s="81"/>
      <c r="E351" s="82"/>
      <c r="G351" s="82"/>
      <c r="I351" s="84"/>
      <c r="K351" s="61"/>
      <c r="N351" s="74" t="str">
        <f>IFERROR(__xludf.DUMMYFUNCTION("""COMPUTED_VALUE"""),"")</f>
        <v/>
      </c>
      <c r="O351" s="74" t="str">
        <f>IFERROR(__xludf.DUMMYFUNCTION("""COMPUTED_VALUE"""),"")</f>
        <v/>
      </c>
      <c r="P351" s="74" t="str">
        <f>IFERROR(__xludf.DUMMYFUNCTION("""COMPUTED_VALUE"""),"")</f>
        <v/>
      </c>
    </row>
    <row r="352">
      <c r="A352" s="60"/>
      <c r="B352" s="81"/>
      <c r="E352" s="82"/>
      <c r="G352" s="82"/>
      <c r="I352" s="84"/>
      <c r="K352" s="61"/>
      <c r="N352" s="74" t="str">
        <f>IFERROR(__xludf.DUMMYFUNCTION("""COMPUTED_VALUE"""),"")</f>
        <v/>
      </c>
      <c r="O352" s="74" t="str">
        <f>IFERROR(__xludf.DUMMYFUNCTION("""COMPUTED_VALUE"""),"")</f>
        <v/>
      </c>
      <c r="P352" s="74" t="str">
        <f>IFERROR(__xludf.DUMMYFUNCTION("""COMPUTED_VALUE"""),"")</f>
        <v/>
      </c>
    </row>
    <row r="353">
      <c r="A353" s="60"/>
      <c r="B353" s="81"/>
      <c r="E353" s="82"/>
      <c r="G353" s="82"/>
      <c r="I353" s="84"/>
      <c r="K353" s="61"/>
      <c r="N353" s="74" t="str">
        <f>IFERROR(__xludf.DUMMYFUNCTION("""COMPUTED_VALUE"""),"")</f>
        <v/>
      </c>
      <c r="O353" s="74" t="str">
        <f>IFERROR(__xludf.DUMMYFUNCTION("""COMPUTED_VALUE"""),"")</f>
        <v/>
      </c>
      <c r="P353" s="74" t="str">
        <f>IFERROR(__xludf.DUMMYFUNCTION("""COMPUTED_VALUE"""),"")</f>
        <v/>
      </c>
    </row>
    <row r="354">
      <c r="A354" s="60"/>
      <c r="B354" s="81"/>
      <c r="E354" s="82"/>
      <c r="G354" s="82"/>
      <c r="I354" s="84"/>
      <c r="K354" s="61"/>
      <c r="N354" s="74" t="str">
        <f>IFERROR(__xludf.DUMMYFUNCTION("""COMPUTED_VALUE"""),"")</f>
        <v/>
      </c>
      <c r="O354" s="74" t="str">
        <f>IFERROR(__xludf.DUMMYFUNCTION("""COMPUTED_VALUE"""),"")</f>
        <v/>
      </c>
      <c r="P354" s="74" t="str">
        <f>IFERROR(__xludf.DUMMYFUNCTION("""COMPUTED_VALUE"""),"")</f>
        <v/>
      </c>
    </row>
    <row r="355">
      <c r="A355" s="60"/>
      <c r="B355" s="81"/>
      <c r="E355" s="82"/>
      <c r="G355" s="82"/>
      <c r="I355" s="84"/>
      <c r="K355" s="61"/>
      <c r="N355" s="74" t="str">
        <f>IFERROR(__xludf.DUMMYFUNCTION("""COMPUTED_VALUE"""),"")</f>
        <v/>
      </c>
      <c r="O355" s="74" t="str">
        <f>IFERROR(__xludf.DUMMYFUNCTION("""COMPUTED_VALUE"""),"")</f>
        <v/>
      </c>
      <c r="P355" s="74" t="str">
        <f>IFERROR(__xludf.DUMMYFUNCTION("""COMPUTED_VALUE"""),"")</f>
        <v/>
      </c>
    </row>
    <row r="356">
      <c r="A356" s="60"/>
      <c r="B356" s="81"/>
      <c r="E356" s="82"/>
      <c r="G356" s="82"/>
      <c r="I356" s="84"/>
      <c r="K356" s="61"/>
      <c r="N356" s="74" t="str">
        <f>IFERROR(__xludf.DUMMYFUNCTION("""COMPUTED_VALUE"""),"")</f>
        <v/>
      </c>
      <c r="O356" s="74" t="str">
        <f>IFERROR(__xludf.DUMMYFUNCTION("""COMPUTED_VALUE"""),"")</f>
        <v/>
      </c>
      <c r="P356" s="74" t="str">
        <f>IFERROR(__xludf.DUMMYFUNCTION("""COMPUTED_VALUE"""),"")</f>
        <v/>
      </c>
    </row>
    <row r="357">
      <c r="A357" s="60"/>
      <c r="B357" s="81"/>
      <c r="E357" s="82"/>
      <c r="G357" s="82"/>
      <c r="I357" s="84"/>
      <c r="K357" s="61"/>
      <c r="N357" s="74" t="str">
        <f>IFERROR(__xludf.DUMMYFUNCTION("""COMPUTED_VALUE"""),"")</f>
        <v/>
      </c>
      <c r="O357" s="74" t="str">
        <f>IFERROR(__xludf.DUMMYFUNCTION("""COMPUTED_VALUE"""),"")</f>
        <v/>
      </c>
      <c r="P357" s="74" t="str">
        <f>IFERROR(__xludf.DUMMYFUNCTION("""COMPUTED_VALUE"""),"")</f>
        <v/>
      </c>
    </row>
    <row r="358">
      <c r="A358" s="60"/>
      <c r="B358" s="81"/>
      <c r="E358" s="82"/>
      <c r="G358" s="82"/>
      <c r="I358" s="84"/>
      <c r="K358" s="61"/>
      <c r="N358" s="74" t="str">
        <f>IFERROR(__xludf.DUMMYFUNCTION("""COMPUTED_VALUE"""),"")</f>
        <v/>
      </c>
      <c r="O358" s="74" t="str">
        <f>IFERROR(__xludf.DUMMYFUNCTION("""COMPUTED_VALUE"""),"")</f>
        <v/>
      </c>
      <c r="P358" s="74" t="str">
        <f>IFERROR(__xludf.DUMMYFUNCTION("""COMPUTED_VALUE"""),"")</f>
        <v/>
      </c>
    </row>
    <row r="359">
      <c r="A359" s="60"/>
      <c r="B359" s="81"/>
      <c r="E359" s="82"/>
      <c r="G359" s="82"/>
      <c r="I359" s="84"/>
      <c r="K359" s="61"/>
      <c r="N359" s="74" t="str">
        <f>IFERROR(__xludf.DUMMYFUNCTION("""COMPUTED_VALUE"""),"")</f>
        <v/>
      </c>
      <c r="O359" s="74" t="str">
        <f>IFERROR(__xludf.DUMMYFUNCTION("""COMPUTED_VALUE"""),"")</f>
        <v/>
      </c>
      <c r="P359" s="74" t="str">
        <f>IFERROR(__xludf.DUMMYFUNCTION("""COMPUTED_VALUE"""),"")</f>
        <v/>
      </c>
    </row>
    <row r="360">
      <c r="A360" s="60"/>
      <c r="B360" s="81"/>
      <c r="E360" s="82"/>
      <c r="G360" s="82"/>
      <c r="I360" s="84"/>
      <c r="K360" s="61"/>
      <c r="N360" s="74" t="str">
        <f>IFERROR(__xludf.DUMMYFUNCTION("""COMPUTED_VALUE"""),"")</f>
        <v/>
      </c>
      <c r="O360" s="74" t="str">
        <f>IFERROR(__xludf.DUMMYFUNCTION("""COMPUTED_VALUE"""),"")</f>
        <v/>
      </c>
      <c r="P360" s="74" t="str">
        <f>IFERROR(__xludf.DUMMYFUNCTION("""COMPUTED_VALUE"""),"")</f>
        <v/>
      </c>
    </row>
    <row r="361">
      <c r="A361" s="60"/>
      <c r="B361" s="81"/>
      <c r="E361" s="82"/>
      <c r="G361" s="82"/>
      <c r="I361" s="84"/>
      <c r="K361" s="61"/>
      <c r="N361" s="74" t="str">
        <f>IFERROR(__xludf.DUMMYFUNCTION("""COMPUTED_VALUE"""),"")</f>
        <v/>
      </c>
      <c r="O361" s="74" t="str">
        <f>IFERROR(__xludf.DUMMYFUNCTION("""COMPUTED_VALUE"""),"")</f>
        <v/>
      </c>
      <c r="P361" s="74" t="str">
        <f>IFERROR(__xludf.DUMMYFUNCTION("""COMPUTED_VALUE"""),"")</f>
        <v/>
      </c>
    </row>
    <row r="362">
      <c r="A362" s="60"/>
      <c r="B362" s="81"/>
      <c r="E362" s="82"/>
      <c r="G362" s="82"/>
      <c r="I362" s="84"/>
      <c r="K362" s="61"/>
      <c r="N362" s="74" t="str">
        <f>IFERROR(__xludf.DUMMYFUNCTION("""COMPUTED_VALUE"""),"")</f>
        <v/>
      </c>
      <c r="O362" s="74" t="str">
        <f>IFERROR(__xludf.DUMMYFUNCTION("""COMPUTED_VALUE"""),"")</f>
        <v/>
      </c>
      <c r="P362" s="74" t="str">
        <f>IFERROR(__xludf.DUMMYFUNCTION("""COMPUTED_VALUE"""),"")</f>
        <v/>
      </c>
    </row>
    <row r="363">
      <c r="A363" s="60"/>
      <c r="B363" s="81"/>
      <c r="E363" s="82"/>
      <c r="G363" s="82"/>
      <c r="I363" s="84"/>
      <c r="K363" s="61"/>
      <c r="N363" s="74" t="str">
        <f>IFERROR(__xludf.DUMMYFUNCTION("""COMPUTED_VALUE"""),"")</f>
        <v/>
      </c>
      <c r="O363" s="74" t="str">
        <f>IFERROR(__xludf.DUMMYFUNCTION("""COMPUTED_VALUE"""),"")</f>
        <v/>
      </c>
      <c r="P363" s="74" t="str">
        <f>IFERROR(__xludf.DUMMYFUNCTION("""COMPUTED_VALUE"""),"")</f>
        <v/>
      </c>
    </row>
    <row r="364">
      <c r="A364" s="60"/>
      <c r="B364" s="81"/>
      <c r="E364" s="82"/>
      <c r="G364" s="82"/>
      <c r="I364" s="84"/>
      <c r="K364" s="61"/>
      <c r="N364" s="74" t="str">
        <f>IFERROR(__xludf.DUMMYFUNCTION("""COMPUTED_VALUE"""),"")</f>
        <v/>
      </c>
      <c r="O364" s="74" t="str">
        <f>IFERROR(__xludf.DUMMYFUNCTION("""COMPUTED_VALUE"""),"")</f>
        <v/>
      </c>
      <c r="P364" s="74" t="str">
        <f>IFERROR(__xludf.DUMMYFUNCTION("""COMPUTED_VALUE"""),"")</f>
        <v/>
      </c>
    </row>
    <row r="365">
      <c r="A365" s="60"/>
      <c r="B365" s="81"/>
      <c r="E365" s="82"/>
      <c r="G365" s="82"/>
      <c r="I365" s="84"/>
      <c r="K365" s="61"/>
      <c r="N365" s="74" t="str">
        <f>IFERROR(__xludf.DUMMYFUNCTION("""COMPUTED_VALUE"""),"")</f>
        <v/>
      </c>
      <c r="O365" s="74" t="str">
        <f>IFERROR(__xludf.DUMMYFUNCTION("""COMPUTED_VALUE"""),"")</f>
        <v/>
      </c>
      <c r="P365" s="74" t="str">
        <f>IFERROR(__xludf.DUMMYFUNCTION("""COMPUTED_VALUE"""),"")</f>
        <v/>
      </c>
    </row>
    <row r="366">
      <c r="A366" s="60"/>
      <c r="B366" s="81"/>
      <c r="E366" s="82"/>
      <c r="G366" s="82"/>
      <c r="I366" s="84"/>
      <c r="K366" s="61"/>
      <c r="N366" s="74" t="str">
        <f>IFERROR(__xludf.DUMMYFUNCTION("""COMPUTED_VALUE"""),"")</f>
        <v/>
      </c>
      <c r="O366" s="74" t="str">
        <f>IFERROR(__xludf.DUMMYFUNCTION("""COMPUTED_VALUE"""),"")</f>
        <v/>
      </c>
      <c r="P366" s="74" t="str">
        <f>IFERROR(__xludf.DUMMYFUNCTION("""COMPUTED_VALUE"""),"")</f>
        <v/>
      </c>
    </row>
    <row r="367">
      <c r="A367" s="60"/>
      <c r="B367" s="81"/>
      <c r="E367" s="82"/>
      <c r="G367" s="82"/>
      <c r="I367" s="84"/>
      <c r="K367" s="61"/>
      <c r="N367" s="74" t="str">
        <f>IFERROR(__xludf.DUMMYFUNCTION("""COMPUTED_VALUE"""),"")</f>
        <v/>
      </c>
      <c r="O367" s="74" t="str">
        <f>IFERROR(__xludf.DUMMYFUNCTION("""COMPUTED_VALUE"""),"")</f>
        <v/>
      </c>
      <c r="P367" s="74" t="str">
        <f>IFERROR(__xludf.DUMMYFUNCTION("""COMPUTED_VALUE"""),"")</f>
        <v/>
      </c>
    </row>
    <row r="368">
      <c r="A368" s="60"/>
      <c r="B368" s="81"/>
      <c r="E368" s="82"/>
      <c r="G368" s="82"/>
      <c r="I368" s="84"/>
      <c r="K368" s="61"/>
      <c r="N368" s="74" t="str">
        <f>IFERROR(__xludf.DUMMYFUNCTION("""COMPUTED_VALUE"""),"")</f>
        <v/>
      </c>
      <c r="O368" s="74" t="str">
        <f>IFERROR(__xludf.DUMMYFUNCTION("""COMPUTED_VALUE"""),"")</f>
        <v/>
      </c>
      <c r="P368" s="74" t="str">
        <f>IFERROR(__xludf.DUMMYFUNCTION("""COMPUTED_VALUE"""),"")</f>
        <v/>
      </c>
    </row>
    <row r="369">
      <c r="A369" s="60"/>
      <c r="B369" s="81"/>
      <c r="E369" s="82"/>
      <c r="G369" s="82"/>
      <c r="I369" s="84"/>
      <c r="K369" s="61"/>
      <c r="N369" s="74" t="str">
        <f>IFERROR(__xludf.DUMMYFUNCTION("""COMPUTED_VALUE"""),"")</f>
        <v/>
      </c>
      <c r="O369" s="74" t="str">
        <f>IFERROR(__xludf.DUMMYFUNCTION("""COMPUTED_VALUE"""),"")</f>
        <v/>
      </c>
      <c r="P369" s="74" t="str">
        <f>IFERROR(__xludf.DUMMYFUNCTION("""COMPUTED_VALUE"""),"")</f>
        <v/>
      </c>
    </row>
    <row r="370">
      <c r="A370" s="60"/>
      <c r="B370" s="81"/>
      <c r="E370" s="82"/>
      <c r="G370" s="82"/>
      <c r="I370" s="84"/>
      <c r="K370" s="61"/>
      <c r="N370" s="74" t="str">
        <f>IFERROR(__xludf.DUMMYFUNCTION("""COMPUTED_VALUE"""),"")</f>
        <v/>
      </c>
      <c r="O370" s="74" t="str">
        <f>IFERROR(__xludf.DUMMYFUNCTION("""COMPUTED_VALUE"""),"")</f>
        <v/>
      </c>
      <c r="P370" s="74" t="str">
        <f>IFERROR(__xludf.DUMMYFUNCTION("""COMPUTED_VALUE"""),"")</f>
        <v/>
      </c>
    </row>
    <row r="371">
      <c r="A371" s="60"/>
      <c r="B371" s="81"/>
      <c r="E371" s="82"/>
      <c r="G371" s="82"/>
      <c r="I371" s="84"/>
      <c r="K371" s="61"/>
      <c r="N371" s="74" t="str">
        <f>IFERROR(__xludf.DUMMYFUNCTION("""COMPUTED_VALUE"""),"")</f>
        <v/>
      </c>
      <c r="O371" s="74" t="str">
        <f>IFERROR(__xludf.DUMMYFUNCTION("""COMPUTED_VALUE"""),"")</f>
        <v/>
      </c>
      <c r="P371" s="74" t="str">
        <f>IFERROR(__xludf.DUMMYFUNCTION("""COMPUTED_VALUE"""),"")</f>
        <v/>
      </c>
    </row>
    <row r="372">
      <c r="A372" s="60"/>
      <c r="B372" s="81"/>
      <c r="E372" s="82"/>
      <c r="G372" s="82"/>
      <c r="I372" s="84"/>
      <c r="K372" s="61"/>
      <c r="N372" s="74" t="str">
        <f>IFERROR(__xludf.DUMMYFUNCTION("""COMPUTED_VALUE"""),"")</f>
        <v/>
      </c>
      <c r="O372" s="74" t="str">
        <f>IFERROR(__xludf.DUMMYFUNCTION("""COMPUTED_VALUE"""),"")</f>
        <v/>
      </c>
      <c r="P372" s="74" t="str">
        <f>IFERROR(__xludf.DUMMYFUNCTION("""COMPUTED_VALUE"""),"")</f>
        <v/>
      </c>
    </row>
    <row r="373">
      <c r="A373" s="60"/>
      <c r="B373" s="81"/>
      <c r="E373" s="82"/>
      <c r="G373" s="82"/>
      <c r="I373" s="84"/>
      <c r="K373" s="61"/>
      <c r="N373" s="74" t="str">
        <f>IFERROR(__xludf.DUMMYFUNCTION("""COMPUTED_VALUE"""),"")</f>
        <v/>
      </c>
      <c r="O373" s="74" t="str">
        <f>IFERROR(__xludf.DUMMYFUNCTION("""COMPUTED_VALUE"""),"")</f>
        <v/>
      </c>
      <c r="P373" s="74" t="str">
        <f>IFERROR(__xludf.DUMMYFUNCTION("""COMPUTED_VALUE"""),"")</f>
        <v/>
      </c>
    </row>
    <row r="374">
      <c r="A374" s="60"/>
      <c r="B374" s="81"/>
      <c r="E374" s="82"/>
      <c r="G374" s="82"/>
      <c r="I374" s="84"/>
      <c r="K374" s="61"/>
      <c r="N374" s="74" t="str">
        <f>IFERROR(__xludf.DUMMYFUNCTION("""COMPUTED_VALUE"""),"")</f>
        <v/>
      </c>
      <c r="O374" s="74" t="str">
        <f>IFERROR(__xludf.DUMMYFUNCTION("""COMPUTED_VALUE"""),"")</f>
        <v/>
      </c>
      <c r="P374" s="74" t="str">
        <f>IFERROR(__xludf.DUMMYFUNCTION("""COMPUTED_VALUE"""),"")</f>
        <v/>
      </c>
    </row>
    <row r="375">
      <c r="A375" s="60"/>
      <c r="B375" s="81"/>
      <c r="E375" s="82"/>
      <c r="G375" s="82"/>
      <c r="I375" s="84"/>
      <c r="K375" s="61"/>
      <c r="N375" s="74" t="str">
        <f>IFERROR(__xludf.DUMMYFUNCTION("""COMPUTED_VALUE"""),"")</f>
        <v/>
      </c>
      <c r="O375" s="74" t="str">
        <f>IFERROR(__xludf.DUMMYFUNCTION("""COMPUTED_VALUE"""),"")</f>
        <v/>
      </c>
      <c r="P375" s="74" t="str">
        <f>IFERROR(__xludf.DUMMYFUNCTION("""COMPUTED_VALUE"""),"")</f>
        <v/>
      </c>
    </row>
    <row r="376">
      <c r="A376" s="60"/>
      <c r="B376" s="81"/>
      <c r="E376" s="82"/>
      <c r="G376" s="82"/>
      <c r="I376" s="84"/>
      <c r="K376" s="61"/>
      <c r="N376" s="74" t="str">
        <f>IFERROR(__xludf.DUMMYFUNCTION("""COMPUTED_VALUE"""),"")</f>
        <v/>
      </c>
      <c r="O376" s="74" t="str">
        <f>IFERROR(__xludf.DUMMYFUNCTION("""COMPUTED_VALUE"""),"")</f>
        <v/>
      </c>
      <c r="P376" s="74" t="str">
        <f>IFERROR(__xludf.DUMMYFUNCTION("""COMPUTED_VALUE"""),"")</f>
        <v/>
      </c>
    </row>
    <row r="377">
      <c r="A377" s="60"/>
      <c r="B377" s="81"/>
      <c r="E377" s="82"/>
      <c r="G377" s="82"/>
      <c r="I377" s="84"/>
      <c r="K377" s="61"/>
      <c r="N377" s="74" t="str">
        <f>IFERROR(__xludf.DUMMYFUNCTION("""COMPUTED_VALUE"""),"")</f>
        <v/>
      </c>
      <c r="O377" s="74" t="str">
        <f>IFERROR(__xludf.DUMMYFUNCTION("""COMPUTED_VALUE"""),"")</f>
        <v/>
      </c>
      <c r="P377" s="74" t="str">
        <f>IFERROR(__xludf.DUMMYFUNCTION("""COMPUTED_VALUE"""),"")</f>
        <v/>
      </c>
    </row>
    <row r="378">
      <c r="A378" s="60"/>
      <c r="B378" s="81"/>
      <c r="E378" s="82"/>
      <c r="G378" s="82"/>
      <c r="I378" s="84"/>
      <c r="K378" s="61"/>
      <c r="N378" s="74" t="str">
        <f>IFERROR(__xludf.DUMMYFUNCTION("""COMPUTED_VALUE"""),"")</f>
        <v/>
      </c>
      <c r="O378" s="74" t="str">
        <f>IFERROR(__xludf.DUMMYFUNCTION("""COMPUTED_VALUE"""),"")</f>
        <v/>
      </c>
      <c r="P378" s="74" t="str">
        <f>IFERROR(__xludf.DUMMYFUNCTION("""COMPUTED_VALUE"""),"")</f>
        <v/>
      </c>
    </row>
    <row r="379">
      <c r="A379" s="60"/>
      <c r="B379" s="81"/>
      <c r="E379" s="82"/>
      <c r="G379" s="82"/>
      <c r="I379" s="84"/>
      <c r="K379" s="61"/>
      <c r="N379" s="74" t="str">
        <f>IFERROR(__xludf.DUMMYFUNCTION("""COMPUTED_VALUE"""),"")</f>
        <v/>
      </c>
      <c r="O379" s="74" t="str">
        <f>IFERROR(__xludf.DUMMYFUNCTION("""COMPUTED_VALUE"""),"")</f>
        <v/>
      </c>
      <c r="P379" s="74" t="str">
        <f>IFERROR(__xludf.DUMMYFUNCTION("""COMPUTED_VALUE"""),"")</f>
        <v/>
      </c>
    </row>
    <row r="380">
      <c r="A380" s="60"/>
      <c r="B380" s="81"/>
      <c r="E380" s="82"/>
      <c r="G380" s="82"/>
      <c r="I380" s="84"/>
      <c r="K380" s="61"/>
      <c r="N380" s="74" t="str">
        <f>IFERROR(__xludf.DUMMYFUNCTION("""COMPUTED_VALUE"""),"")</f>
        <v/>
      </c>
      <c r="O380" s="74" t="str">
        <f>IFERROR(__xludf.DUMMYFUNCTION("""COMPUTED_VALUE"""),"")</f>
        <v/>
      </c>
      <c r="P380" s="74" t="str">
        <f>IFERROR(__xludf.DUMMYFUNCTION("""COMPUTED_VALUE"""),"")</f>
        <v/>
      </c>
    </row>
    <row r="381">
      <c r="A381" s="60"/>
      <c r="B381" s="81"/>
      <c r="E381" s="82"/>
      <c r="G381" s="82"/>
      <c r="I381" s="84"/>
      <c r="K381" s="61"/>
      <c r="N381" s="74" t="str">
        <f>IFERROR(__xludf.DUMMYFUNCTION("""COMPUTED_VALUE"""),"")</f>
        <v/>
      </c>
      <c r="O381" s="74" t="str">
        <f>IFERROR(__xludf.DUMMYFUNCTION("""COMPUTED_VALUE"""),"")</f>
        <v/>
      </c>
      <c r="P381" s="74" t="str">
        <f>IFERROR(__xludf.DUMMYFUNCTION("""COMPUTED_VALUE"""),"")</f>
        <v/>
      </c>
    </row>
    <row r="382">
      <c r="A382" s="60"/>
      <c r="B382" s="81"/>
      <c r="E382" s="82"/>
      <c r="G382" s="82"/>
      <c r="I382" s="84"/>
      <c r="K382" s="61"/>
      <c r="N382" s="74" t="str">
        <f>IFERROR(__xludf.DUMMYFUNCTION("""COMPUTED_VALUE"""),"")</f>
        <v/>
      </c>
      <c r="O382" s="74" t="str">
        <f>IFERROR(__xludf.DUMMYFUNCTION("""COMPUTED_VALUE"""),"")</f>
        <v/>
      </c>
      <c r="P382" s="74" t="str">
        <f>IFERROR(__xludf.DUMMYFUNCTION("""COMPUTED_VALUE"""),"")</f>
        <v/>
      </c>
    </row>
    <row r="383">
      <c r="A383" s="60"/>
      <c r="B383" s="81"/>
      <c r="E383" s="82"/>
      <c r="G383" s="82"/>
      <c r="I383" s="84"/>
      <c r="K383" s="61"/>
      <c r="N383" s="74" t="str">
        <f>IFERROR(__xludf.DUMMYFUNCTION("""COMPUTED_VALUE"""),"")</f>
        <v/>
      </c>
      <c r="O383" s="74" t="str">
        <f>IFERROR(__xludf.DUMMYFUNCTION("""COMPUTED_VALUE"""),"")</f>
        <v/>
      </c>
      <c r="P383" s="74" t="str">
        <f>IFERROR(__xludf.DUMMYFUNCTION("""COMPUTED_VALUE"""),"")</f>
        <v/>
      </c>
    </row>
    <row r="384">
      <c r="A384" s="60"/>
      <c r="B384" s="81"/>
      <c r="E384" s="82"/>
      <c r="G384" s="82"/>
      <c r="I384" s="84"/>
      <c r="K384" s="61"/>
      <c r="N384" s="74" t="str">
        <f>IFERROR(__xludf.DUMMYFUNCTION("""COMPUTED_VALUE"""),"")</f>
        <v/>
      </c>
      <c r="O384" s="74" t="str">
        <f>IFERROR(__xludf.DUMMYFUNCTION("""COMPUTED_VALUE"""),"")</f>
        <v/>
      </c>
      <c r="P384" s="74" t="str">
        <f>IFERROR(__xludf.DUMMYFUNCTION("""COMPUTED_VALUE"""),"")</f>
        <v/>
      </c>
    </row>
    <row r="385">
      <c r="A385" s="60"/>
      <c r="B385" s="81"/>
      <c r="E385" s="82"/>
      <c r="G385" s="82"/>
      <c r="I385" s="84"/>
      <c r="K385" s="61"/>
      <c r="N385" s="74" t="str">
        <f>IFERROR(__xludf.DUMMYFUNCTION("""COMPUTED_VALUE"""),"")</f>
        <v/>
      </c>
      <c r="O385" s="74" t="str">
        <f>IFERROR(__xludf.DUMMYFUNCTION("""COMPUTED_VALUE"""),"")</f>
        <v/>
      </c>
      <c r="P385" s="74" t="str">
        <f>IFERROR(__xludf.DUMMYFUNCTION("""COMPUTED_VALUE"""),"")</f>
        <v/>
      </c>
    </row>
    <row r="386">
      <c r="A386" s="60"/>
      <c r="B386" s="81"/>
      <c r="E386" s="82"/>
      <c r="G386" s="82"/>
      <c r="I386" s="84"/>
      <c r="K386" s="61"/>
      <c r="N386" s="74" t="str">
        <f>IFERROR(__xludf.DUMMYFUNCTION("""COMPUTED_VALUE"""),"")</f>
        <v/>
      </c>
      <c r="O386" s="74" t="str">
        <f>IFERROR(__xludf.DUMMYFUNCTION("""COMPUTED_VALUE"""),"")</f>
        <v/>
      </c>
      <c r="P386" s="74" t="str">
        <f>IFERROR(__xludf.DUMMYFUNCTION("""COMPUTED_VALUE"""),"")</f>
        <v/>
      </c>
    </row>
    <row r="387">
      <c r="A387" s="60"/>
      <c r="B387" s="81"/>
      <c r="E387" s="82"/>
      <c r="G387" s="82"/>
      <c r="I387" s="84"/>
      <c r="K387" s="61"/>
      <c r="N387" s="74" t="str">
        <f>IFERROR(__xludf.DUMMYFUNCTION("""COMPUTED_VALUE"""),"")</f>
        <v/>
      </c>
      <c r="O387" s="74" t="str">
        <f>IFERROR(__xludf.DUMMYFUNCTION("""COMPUTED_VALUE"""),"")</f>
        <v/>
      </c>
      <c r="P387" s="74" t="str">
        <f>IFERROR(__xludf.DUMMYFUNCTION("""COMPUTED_VALUE"""),"")</f>
        <v/>
      </c>
    </row>
    <row r="388">
      <c r="A388" s="60"/>
      <c r="B388" s="81"/>
      <c r="E388" s="82"/>
      <c r="G388" s="82"/>
      <c r="I388" s="84"/>
      <c r="K388" s="61"/>
      <c r="N388" s="74" t="str">
        <f>IFERROR(__xludf.DUMMYFUNCTION("""COMPUTED_VALUE"""),"")</f>
        <v/>
      </c>
      <c r="O388" s="74" t="str">
        <f>IFERROR(__xludf.DUMMYFUNCTION("""COMPUTED_VALUE"""),"")</f>
        <v/>
      </c>
      <c r="P388" s="74" t="str">
        <f>IFERROR(__xludf.DUMMYFUNCTION("""COMPUTED_VALUE"""),"")</f>
        <v/>
      </c>
    </row>
    <row r="389">
      <c r="A389" s="60"/>
      <c r="B389" s="81"/>
      <c r="E389" s="82"/>
      <c r="G389" s="82"/>
      <c r="I389" s="84"/>
      <c r="K389" s="61"/>
      <c r="N389" s="74" t="str">
        <f>IFERROR(__xludf.DUMMYFUNCTION("""COMPUTED_VALUE"""),"")</f>
        <v/>
      </c>
      <c r="O389" s="74" t="str">
        <f>IFERROR(__xludf.DUMMYFUNCTION("""COMPUTED_VALUE"""),"")</f>
        <v/>
      </c>
      <c r="P389" s="74" t="str">
        <f>IFERROR(__xludf.DUMMYFUNCTION("""COMPUTED_VALUE"""),"")</f>
        <v/>
      </c>
    </row>
    <row r="390">
      <c r="A390" s="60"/>
      <c r="B390" s="81"/>
      <c r="E390" s="82"/>
      <c r="G390" s="82"/>
      <c r="I390" s="84"/>
      <c r="K390" s="61"/>
      <c r="N390" s="74" t="str">
        <f>IFERROR(__xludf.DUMMYFUNCTION("""COMPUTED_VALUE"""),"")</f>
        <v/>
      </c>
      <c r="O390" s="74" t="str">
        <f>IFERROR(__xludf.DUMMYFUNCTION("""COMPUTED_VALUE"""),"")</f>
        <v/>
      </c>
      <c r="P390" s="74" t="str">
        <f>IFERROR(__xludf.DUMMYFUNCTION("""COMPUTED_VALUE"""),"")</f>
        <v/>
      </c>
    </row>
    <row r="391">
      <c r="A391" s="60"/>
      <c r="B391" s="81"/>
      <c r="E391" s="82"/>
      <c r="G391" s="82"/>
      <c r="I391" s="84"/>
      <c r="K391" s="61"/>
      <c r="N391" s="74" t="str">
        <f>IFERROR(__xludf.DUMMYFUNCTION("""COMPUTED_VALUE"""),"")</f>
        <v/>
      </c>
      <c r="O391" s="74" t="str">
        <f>IFERROR(__xludf.DUMMYFUNCTION("""COMPUTED_VALUE"""),"")</f>
        <v/>
      </c>
      <c r="P391" s="74" t="str">
        <f>IFERROR(__xludf.DUMMYFUNCTION("""COMPUTED_VALUE"""),"")</f>
        <v/>
      </c>
    </row>
    <row r="392">
      <c r="A392" s="60"/>
      <c r="B392" s="81"/>
      <c r="E392" s="82"/>
      <c r="G392" s="82"/>
      <c r="I392" s="84"/>
      <c r="K392" s="61"/>
      <c r="N392" s="74" t="str">
        <f>IFERROR(__xludf.DUMMYFUNCTION("""COMPUTED_VALUE"""),"")</f>
        <v/>
      </c>
      <c r="O392" s="74" t="str">
        <f>IFERROR(__xludf.DUMMYFUNCTION("""COMPUTED_VALUE"""),"")</f>
        <v/>
      </c>
      <c r="P392" s="74" t="str">
        <f>IFERROR(__xludf.DUMMYFUNCTION("""COMPUTED_VALUE"""),"")</f>
        <v/>
      </c>
    </row>
    <row r="393">
      <c r="A393" s="60"/>
      <c r="B393" s="81"/>
      <c r="E393" s="82"/>
      <c r="G393" s="82"/>
      <c r="I393" s="84"/>
      <c r="K393" s="61"/>
      <c r="N393" s="74" t="str">
        <f>IFERROR(__xludf.DUMMYFUNCTION("""COMPUTED_VALUE"""),"")</f>
        <v/>
      </c>
      <c r="O393" s="74" t="str">
        <f>IFERROR(__xludf.DUMMYFUNCTION("""COMPUTED_VALUE"""),"")</f>
        <v/>
      </c>
      <c r="P393" s="74" t="str">
        <f>IFERROR(__xludf.DUMMYFUNCTION("""COMPUTED_VALUE"""),"")</f>
        <v/>
      </c>
    </row>
    <row r="394">
      <c r="A394" s="60"/>
      <c r="B394" s="81"/>
      <c r="E394" s="82"/>
      <c r="G394" s="82"/>
      <c r="I394" s="84"/>
      <c r="K394" s="61"/>
      <c r="N394" s="74" t="str">
        <f>IFERROR(__xludf.DUMMYFUNCTION("""COMPUTED_VALUE"""),"")</f>
        <v/>
      </c>
      <c r="O394" s="74" t="str">
        <f>IFERROR(__xludf.DUMMYFUNCTION("""COMPUTED_VALUE"""),"")</f>
        <v/>
      </c>
      <c r="P394" s="74" t="str">
        <f>IFERROR(__xludf.DUMMYFUNCTION("""COMPUTED_VALUE"""),"")</f>
        <v/>
      </c>
    </row>
    <row r="395">
      <c r="A395" s="60"/>
      <c r="B395" s="81"/>
      <c r="E395" s="82"/>
      <c r="G395" s="82"/>
      <c r="I395" s="84"/>
      <c r="K395" s="61"/>
      <c r="N395" s="74" t="str">
        <f>IFERROR(__xludf.DUMMYFUNCTION("""COMPUTED_VALUE"""),"")</f>
        <v/>
      </c>
      <c r="O395" s="74" t="str">
        <f>IFERROR(__xludf.DUMMYFUNCTION("""COMPUTED_VALUE"""),"")</f>
        <v/>
      </c>
      <c r="P395" s="74" t="str">
        <f>IFERROR(__xludf.DUMMYFUNCTION("""COMPUTED_VALUE"""),"")</f>
        <v/>
      </c>
    </row>
    <row r="396">
      <c r="A396" s="60"/>
      <c r="B396" s="81"/>
      <c r="E396" s="82"/>
      <c r="G396" s="82"/>
      <c r="I396" s="84"/>
      <c r="K396" s="61"/>
      <c r="N396" s="74" t="str">
        <f>IFERROR(__xludf.DUMMYFUNCTION("""COMPUTED_VALUE"""),"")</f>
        <v/>
      </c>
      <c r="O396" s="74" t="str">
        <f>IFERROR(__xludf.DUMMYFUNCTION("""COMPUTED_VALUE"""),"")</f>
        <v/>
      </c>
      <c r="P396" s="74" t="str">
        <f>IFERROR(__xludf.DUMMYFUNCTION("""COMPUTED_VALUE"""),"")</f>
        <v/>
      </c>
    </row>
    <row r="397">
      <c r="A397" s="60"/>
      <c r="B397" s="81"/>
      <c r="E397" s="82"/>
      <c r="G397" s="82"/>
      <c r="I397" s="84"/>
      <c r="K397" s="61"/>
      <c r="N397" s="74" t="str">
        <f>IFERROR(__xludf.DUMMYFUNCTION("""COMPUTED_VALUE"""),"")</f>
        <v/>
      </c>
      <c r="O397" s="74" t="str">
        <f>IFERROR(__xludf.DUMMYFUNCTION("""COMPUTED_VALUE"""),"")</f>
        <v/>
      </c>
      <c r="P397" s="74" t="str">
        <f>IFERROR(__xludf.DUMMYFUNCTION("""COMPUTED_VALUE"""),"")</f>
        <v/>
      </c>
    </row>
    <row r="398">
      <c r="A398" s="60"/>
      <c r="B398" s="81"/>
      <c r="E398" s="82"/>
      <c r="G398" s="82"/>
      <c r="I398" s="84"/>
      <c r="K398" s="61"/>
      <c r="N398" s="74" t="str">
        <f>IFERROR(__xludf.DUMMYFUNCTION("""COMPUTED_VALUE"""),"")</f>
        <v/>
      </c>
      <c r="O398" s="74" t="str">
        <f>IFERROR(__xludf.DUMMYFUNCTION("""COMPUTED_VALUE"""),"")</f>
        <v/>
      </c>
      <c r="P398" s="74" t="str">
        <f>IFERROR(__xludf.DUMMYFUNCTION("""COMPUTED_VALUE"""),"")</f>
        <v/>
      </c>
    </row>
    <row r="399">
      <c r="A399" s="60"/>
      <c r="B399" s="81"/>
      <c r="E399" s="82"/>
      <c r="G399" s="82"/>
      <c r="I399" s="84"/>
      <c r="K399" s="61"/>
      <c r="N399" s="74" t="str">
        <f>IFERROR(__xludf.DUMMYFUNCTION("""COMPUTED_VALUE"""),"")</f>
        <v/>
      </c>
      <c r="O399" s="74" t="str">
        <f>IFERROR(__xludf.DUMMYFUNCTION("""COMPUTED_VALUE"""),"")</f>
        <v/>
      </c>
      <c r="P399" s="74" t="str">
        <f>IFERROR(__xludf.DUMMYFUNCTION("""COMPUTED_VALUE"""),"")</f>
        <v/>
      </c>
    </row>
    <row r="400">
      <c r="A400" s="60"/>
      <c r="B400" s="81"/>
      <c r="E400" s="82"/>
      <c r="G400" s="82"/>
      <c r="I400" s="84"/>
      <c r="K400" s="61"/>
      <c r="N400" s="74" t="str">
        <f>IFERROR(__xludf.DUMMYFUNCTION("""COMPUTED_VALUE"""),"")</f>
        <v/>
      </c>
      <c r="O400" s="74" t="str">
        <f>IFERROR(__xludf.DUMMYFUNCTION("""COMPUTED_VALUE"""),"")</f>
        <v/>
      </c>
      <c r="P400" s="74" t="str">
        <f>IFERROR(__xludf.DUMMYFUNCTION("""COMPUTED_VALUE"""),"")</f>
        <v/>
      </c>
    </row>
    <row r="401">
      <c r="A401" s="60"/>
      <c r="B401" s="81"/>
      <c r="E401" s="82"/>
      <c r="G401" s="82"/>
      <c r="I401" s="84"/>
      <c r="K401" s="61"/>
      <c r="N401" s="74" t="str">
        <f>IFERROR(__xludf.DUMMYFUNCTION("""COMPUTED_VALUE"""),"")</f>
        <v/>
      </c>
      <c r="O401" s="74" t="str">
        <f>IFERROR(__xludf.DUMMYFUNCTION("""COMPUTED_VALUE"""),"")</f>
        <v/>
      </c>
      <c r="P401" s="74" t="str">
        <f>IFERROR(__xludf.DUMMYFUNCTION("""COMPUTED_VALUE"""),"")</f>
        <v/>
      </c>
    </row>
    <row r="402">
      <c r="A402" s="60"/>
      <c r="B402" s="81"/>
      <c r="E402" s="82"/>
      <c r="G402" s="82"/>
      <c r="I402" s="84"/>
      <c r="K402" s="61"/>
      <c r="N402" s="74" t="str">
        <f>IFERROR(__xludf.DUMMYFUNCTION("""COMPUTED_VALUE"""),"")</f>
        <v/>
      </c>
      <c r="O402" s="74" t="str">
        <f>IFERROR(__xludf.DUMMYFUNCTION("""COMPUTED_VALUE"""),"")</f>
        <v/>
      </c>
      <c r="P402" s="74" t="str">
        <f>IFERROR(__xludf.DUMMYFUNCTION("""COMPUTED_VALUE"""),"")</f>
        <v/>
      </c>
    </row>
    <row r="403">
      <c r="A403" s="60"/>
      <c r="B403" s="81"/>
      <c r="E403" s="82"/>
      <c r="G403" s="82"/>
      <c r="I403" s="84"/>
      <c r="K403" s="61"/>
      <c r="N403" s="74" t="str">
        <f>IFERROR(__xludf.DUMMYFUNCTION("""COMPUTED_VALUE"""),"")</f>
        <v/>
      </c>
      <c r="O403" s="74" t="str">
        <f>IFERROR(__xludf.DUMMYFUNCTION("""COMPUTED_VALUE"""),"")</f>
        <v/>
      </c>
      <c r="P403" s="74" t="str">
        <f>IFERROR(__xludf.DUMMYFUNCTION("""COMPUTED_VALUE"""),"")</f>
        <v/>
      </c>
    </row>
    <row r="404">
      <c r="A404" s="60"/>
      <c r="B404" s="81"/>
      <c r="E404" s="82"/>
      <c r="G404" s="82"/>
      <c r="I404" s="84"/>
      <c r="K404" s="61"/>
      <c r="N404" s="74" t="str">
        <f>IFERROR(__xludf.DUMMYFUNCTION("""COMPUTED_VALUE"""),"")</f>
        <v/>
      </c>
      <c r="O404" s="74" t="str">
        <f>IFERROR(__xludf.DUMMYFUNCTION("""COMPUTED_VALUE"""),"")</f>
        <v/>
      </c>
      <c r="P404" s="74" t="str">
        <f>IFERROR(__xludf.DUMMYFUNCTION("""COMPUTED_VALUE"""),"")</f>
        <v/>
      </c>
    </row>
    <row r="405">
      <c r="A405" s="60"/>
      <c r="B405" s="81"/>
      <c r="E405" s="82"/>
      <c r="G405" s="82"/>
      <c r="I405" s="84"/>
      <c r="K405" s="61"/>
      <c r="N405" s="74" t="str">
        <f>IFERROR(__xludf.DUMMYFUNCTION("""COMPUTED_VALUE"""),"")</f>
        <v/>
      </c>
      <c r="O405" s="74" t="str">
        <f>IFERROR(__xludf.DUMMYFUNCTION("""COMPUTED_VALUE"""),"")</f>
        <v/>
      </c>
      <c r="P405" s="74" t="str">
        <f>IFERROR(__xludf.DUMMYFUNCTION("""COMPUTED_VALUE"""),"")</f>
        <v/>
      </c>
    </row>
    <row r="406">
      <c r="A406" s="60"/>
      <c r="B406" s="81"/>
      <c r="E406" s="82"/>
      <c r="G406" s="82"/>
      <c r="I406" s="84"/>
      <c r="K406" s="61"/>
      <c r="N406" s="74" t="str">
        <f>IFERROR(__xludf.DUMMYFUNCTION("""COMPUTED_VALUE"""),"")</f>
        <v/>
      </c>
      <c r="O406" s="74" t="str">
        <f>IFERROR(__xludf.DUMMYFUNCTION("""COMPUTED_VALUE"""),"")</f>
        <v/>
      </c>
      <c r="P406" s="74" t="str">
        <f>IFERROR(__xludf.DUMMYFUNCTION("""COMPUTED_VALUE"""),"")</f>
        <v/>
      </c>
    </row>
    <row r="407">
      <c r="A407" s="60"/>
      <c r="B407" s="81"/>
      <c r="E407" s="82"/>
      <c r="G407" s="82"/>
      <c r="I407" s="84"/>
      <c r="K407" s="61"/>
      <c r="N407" s="74" t="str">
        <f>IFERROR(__xludf.DUMMYFUNCTION("""COMPUTED_VALUE"""),"")</f>
        <v/>
      </c>
      <c r="O407" s="74" t="str">
        <f>IFERROR(__xludf.DUMMYFUNCTION("""COMPUTED_VALUE"""),"")</f>
        <v/>
      </c>
      <c r="P407" s="74" t="str">
        <f>IFERROR(__xludf.DUMMYFUNCTION("""COMPUTED_VALUE"""),"")</f>
        <v/>
      </c>
    </row>
    <row r="408">
      <c r="A408" s="60"/>
      <c r="B408" s="81"/>
      <c r="E408" s="82"/>
      <c r="G408" s="82"/>
      <c r="I408" s="84"/>
      <c r="K408" s="61"/>
      <c r="N408" s="74" t="str">
        <f>IFERROR(__xludf.DUMMYFUNCTION("""COMPUTED_VALUE"""),"")</f>
        <v/>
      </c>
      <c r="O408" s="74" t="str">
        <f>IFERROR(__xludf.DUMMYFUNCTION("""COMPUTED_VALUE"""),"")</f>
        <v/>
      </c>
      <c r="P408" s="74" t="str">
        <f>IFERROR(__xludf.DUMMYFUNCTION("""COMPUTED_VALUE"""),"")</f>
        <v/>
      </c>
    </row>
    <row r="409">
      <c r="A409" s="60"/>
      <c r="B409" s="81"/>
      <c r="E409" s="82"/>
      <c r="G409" s="82"/>
      <c r="I409" s="84"/>
      <c r="K409" s="61"/>
      <c r="N409" s="74" t="str">
        <f>IFERROR(__xludf.DUMMYFUNCTION("""COMPUTED_VALUE"""),"")</f>
        <v/>
      </c>
      <c r="O409" s="74" t="str">
        <f>IFERROR(__xludf.DUMMYFUNCTION("""COMPUTED_VALUE"""),"")</f>
        <v/>
      </c>
      <c r="P409" s="74" t="str">
        <f>IFERROR(__xludf.DUMMYFUNCTION("""COMPUTED_VALUE"""),"")</f>
        <v/>
      </c>
    </row>
    <row r="410">
      <c r="A410" s="60"/>
      <c r="B410" s="81"/>
      <c r="E410" s="82"/>
      <c r="G410" s="82"/>
      <c r="I410" s="84"/>
      <c r="K410" s="61"/>
      <c r="N410" s="74" t="str">
        <f>IFERROR(__xludf.DUMMYFUNCTION("""COMPUTED_VALUE"""),"")</f>
        <v/>
      </c>
      <c r="O410" s="74" t="str">
        <f>IFERROR(__xludf.DUMMYFUNCTION("""COMPUTED_VALUE"""),"")</f>
        <v/>
      </c>
      <c r="P410" s="74" t="str">
        <f>IFERROR(__xludf.DUMMYFUNCTION("""COMPUTED_VALUE"""),"")</f>
        <v/>
      </c>
    </row>
    <row r="411">
      <c r="A411" s="60"/>
      <c r="B411" s="81"/>
      <c r="E411" s="82"/>
      <c r="G411" s="82"/>
      <c r="I411" s="84"/>
      <c r="K411" s="61"/>
      <c r="N411" s="74" t="str">
        <f>IFERROR(__xludf.DUMMYFUNCTION("""COMPUTED_VALUE"""),"")</f>
        <v/>
      </c>
      <c r="O411" s="74" t="str">
        <f>IFERROR(__xludf.DUMMYFUNCTION("""COMPUTED_VALUE"""),"")</f>
        <v/>
      </c>
      <c r="P411" s="74" t="str">
        <f>IFERROR(__xludf.DUMMYFUNCTION("""COMPUTED_VALUE"""),"")</f>
        <v/>
      </c>
    </row>
    <row r="412">
      <c r="A412" s="60"/>
      <c r="B412" s="81"/>
      <c r="E412" s="82"/>
      <c r="G412" s="82"/>
      <c r="I412" s="84"/>
      <c r="K412" s="61"/>
      <c r="N412" s="74" t="str">
        <f>IFERROR(__xludf.DUMMYFUNCTION("""COMPUTED_VALUE"""),"")</f>
        <v/>
      </c>
      <c r="O412" s="74" t="str">
        <f>IFERROR(__xludf.DUMMYFUNCTION("""COMPUTED_VALUE"""),"")</f>
        <v/>
      </c>
      <c r="P412" s="74" t="str">
        <f>IFERROR(__xludf.DUMMYFUNCTION("""COMPUTED_VALUE"""),"")</f>
        <v/>
      </c>
    </row>
    <row r="413">
      <c r="A413" s="60"/>
      <c r="B413" s="81"/>
      <c r="E413" s="82"/>
      <c r="G413" s="82"/>
      <c r="I413" s="84"/>
      <c r="K413" s="61"/>
      <c r="N413" s="74" t="str">
        <f>IFERROR(__xludf.DUMMYFUNCTION("""COMPUTED_VALUE"""),"")</f>
        <v/>
      </c>
      <c r="O413" s="74" t="str">
        <f>IFERROR(__xludf.DUMMYFUNCTION("""COMPUTED_VALUE"""),"")</f>
        <v/>
      </c>
      <c r="P413" s="74" t="str">
        <f>IFERROR(__xludf.DUMMYFUNCTION("""COMPUTED_VALUE"""),"")</f>
        <v/>
      </c>
    </row>
    <row r="414">
      <c r="A414" s="60"/>
      <c r="B414" s="81"/>
      <c r="E414" s="82"/>
      <c r="G414" s="82"/>
      <c r="I414" s="84"/>
      <c r="K414" s="61"/>
      <c r="N414" s="74" t="str">
        <f>IFERROR(__xludf.DUMMYFUNCTION("""COMPUTED_VALUE"""),"")</f>
        <v/>
      </c>
      <c r="O414" s="74" t="str">
        <f>IFERROR(__xludf.DUMMYFUNCTION("""COMPUTED_VALUE"""),"")</f>
        <v/>
      </c>
      <c r="P414" s="74" t="str">
        <f>IFERROR(__xludf.DUMMYFUNCTION("""COMPUTED_VALUE"""),"")</f>
        <v/>
      </c>
    </row>
    <row r="415">
      <c r="A415" s="60"/>
      <c r="B415" s="81"/>
      <c r="E415" s="82"/>
      <c r="G415" s="82"/>
      <c r="I415" s="84"/>
      <c r="K415" s="61"/>
      <c r="N415" s="74" t="str">
        <f>IFERROR(__xludf.DUMMYFUNCTION("""COMPUTED_VALUE"""),"")</f>
        <v/>
      </c>
      <c r="O415" s="74" t="str">
        <f>IFERROR(__xludf.DUMMYFUNCTION("""COMPUTED_VALUE"""),"")</f>
        <v/>
      </c>
      <c r="P415" s="74" t="str">
        <f>IFERROR(__xludf.DUMMYFUNCTION("""COMPUTED_VALUE"""),"")</f>
        <v/>
      </c>
    </row>
    <row r="416">
      <c r="A416" s="60"/>
      <c r="B416" s="81"/>
      <c r="E416" s="82"/>
      <c r="G416" s="82"/>
      <c r="I416" s="84"/>
      <c r="K416" s="61"/>
      <c r="N416" s="74" t="str">
        <f>IFERROR(__xludf.DUMMYFUNCTION("""COMPUTED_VALUE"""),"")</f>
        <v/>
      </c>
      <c r="O416" s="74" t="str">
        <f>IFERROR(__xludf.DUMMYFUNCTION("""COMPUTED_VALUE"""),"")</f>
        <v/>
      </c>
      <c r="P416" s="74" t="str">
        <f>IFERROR(__xludf.DUMMYFUNCTION("""COMPUTED_VALUE"""),"")</f>
        <v/>
      </c>
    </row>
    <row r="417">
      <c r="A417" s="60"/>
      <c r="B417" s="81"/>
      <c r="E417" s="82"/>
      <c r="G417" s="82"/>
      <c r="I417" s="84"/>
      <c r="K417" s="61"/>
      <c r="N417" s="74" t="str">
        <f>IFERROR(__xludf.DUMMYFUNCTION("""COMPUTED_VALUE"""),"")</f>
        <v/>
      </c>
      <c r="O417" s="74" t="str">
        <f>IFERROR(__xludf.DUMMYFUNCTION("""COMPUTED_VALUE"""),"")</f>
        <v/>
      </c>
      <c r="P417" s="74" t="str">
        <f>IFERROR(__xludf.DUMMYFUNCTION("""COMPUTED_VALUE"""),"")</f>
        <v/>
      </c>
    </row>
    <row r="418">
      <c r="A418" s="60"/>
      <c r="B418" s="81"/>
      <c r="E418" s="82"/>
      <c r="G418" s="82"/>
      <c r="I418" s="84"/>
      <c r="K418" s="61"/>
      <c r="N418" s="74" t="str">
        <f>IFERROR(__xludf.DUMMYFUNCTION("""COMPUTED_VALUE"""),"")</f>
        <v/>
      </c>
      <c r="O418" s="74" t="str">
        <f>IFERROR(__xludf.DUMMYFUNCTION("""COMPUTED_VALUE"""),"")</f>
        <v/>
      </c>
      <c r="P418" s="74" t="str">
        <f>IFERROR(__xludf.DUMMYFUNCTION("""COMPUTED_VALUE"""),"")</f>
        <v/>
      </c>
    </row>
    <row r="419">
      <c r="A419" s="60"/>
      <c r="B419" s="81"/>
      <c r="E419" s="82"/>
      <c r="G419" s="82"/>
      <c r="I419" s="84"/>
      <c r="K419" s="61"/>
      <c r="N419" s="74" t="str">
        <f>IFERROR(__xludf.DUMMYFUNCTION("""COMPUTED_VALUE"""),"")</f>
        <v/>
      </c>
      <c r="O419" s="74" t="str">
        <f>IFERROR(__xludf.DUMMYFUNCTION("""COMPUTED_VALUE"""),"")</f>
        <v/>
      </c>
      <c r="P419" s="74" t="str">
        <f>IFERROR(__xludf.DUMMYFUNCTION("""COMPUTED_VALUE"""),"")</f>
        <v/>
      </c>
    </row>
    <row r="420">
      <c r="A420" s="60"/>
      <c r="B420" s="81"/>
      <c r="E420" s="82"/>
      <c r="G420" s="82"/>
      <c r="I420" s="84"/>
      <c r="K420" s="61"/>
      <c r="N420" s="74" t="str">
        <f>IFERROR(__xludf.DUMMYFUNCTION("""COMPUTED_VALUE"""),"")</f>
        <v/>
      </c>
      <c r="O420" s="74" t="str">
        <f>IFERROR(__xludf.DUMMYFUNCTION("""COMPUTED_VALUE"""),"")</f>
        <v/>
      </c>
      <c r="P420" s="74" t="str">
        <f>IFERROR(__xludf.DUMMYFUNCTION("""COMPUTED_VALUE"""),"")</f>
        <v/>
      </c>
    </row>
    <row r="421">
      <c r="A421" s="60"/>
      <c r="B421" s="81"/>
      <c r="E421" s="82"/>
      <c r="G421" s="82"/>
      <c r="I421" s="84"/>
      <c r="K421" s="61"/>
      <c r="N421" s="74" t="str">
        <f>IFERROR(__xludf.DUMMYFUNCTION("""COMPUTED_VALUE"""),"")</f>
        <v/>
      </c>
      <c r="O421" s="74" t="str">
        <f>IFERROR(__xludf.DUMMYFUNCTION("""COMPUTED_VALUE"""),"")</f>
        <v/>
      </c>
      <c r="P421" s="74" t="str">
        <f>IFERROR(__xludf.DUMMYFUNCTION("""COMPUTED_VALUE"""),"")</f>
        <v/>
      </c>
    </row>
    <row r="422">
      <c r="A422" s="60"/>
      <c r="B422" s="81"/>
      <c r="E422" s="82"/>
      <c r="G422" s="82"/>
      <c r="I422" s="84"/>
      <c r="K422" s="61"/>
      <c r="N422" s="74" t="str">
        <f>IFERROR(__xludf.DUMMYFUNCTION("""COMPUTED_VALUE"""),"")</f>
        <v/>
      </c>
      <c r="O422" s="74" t="str">
        <f>IFERROR(__xludf.DUMMYFUNCTION("""COMPUTED_VALUE"""),"")</f>
        <v/>
      </c>
      <c r="P422" s="74" t="str">
        <f>IFERROR(__xludf.DUMMYFUNCTION("""COMPUTED_VALUE"""),"")</f>
        <v/>
      </c>
    </row>
    <row r="423">
      <c r="A423" s="60"/>
      <c r="B423" s="81"/>
      <c r="E423" s="82"/>
      <c r="G423" s="82"/>
      <c r="I423" s="84"/>
      <c r="K423" s="61"/>
      <c r="N423" s="74" t="str">
        <f>IFERROR(__xludf.DUMMYFUNCTION("""COMPUTED_VALUE"""),"")</f>
        <v/>
      </c>
      <c r="O423" s="74" t="str">
        <f>IFERROR(__xludf.DUMMYFUNCTION("""COMPUTED_VALUE"""),"")</f>
        <v/>
      </c>
      <c r="P423" s="74" t="str">
        <f>IFERROR(__xludf.DUMMYFUNCTION("""COMPUTED_VALUE"""),"")</f>
        <v/>
      </c>
    </row>
    <row r="424">
      <c r="A424" s="60"/>
      <c r="B424" s="81"/>
      <c r="E424" s="82"/>
      <c r="G424" s="82"/>
      <c r="I424" s="84"/>
      <c r="K424" s="61"/>
      <c r="N424" s="74" t="str">
        <f>IFERROR(__xludf.DUMMYFUNCTION("""COMPUTED_VALUE"""),"")</f>
        <v/>
      </c>
      <c r="O424" s="74" t="str">
        <f>IFERROR(__xludf.DUMMYFUNCTION("""COMPUTED_VALUE"""),"")</f>
        <v/>
      </c>
      <c r="P424" s="74" t="str">
        <f>IFERROR(__xludf.DUMMYFUNCTION("""COMPUTED_VALUE"""),"")</f>
        <v/>
      </c>
    </row>
    <row r="425">
      <c r="A425" s="60"/>
      <c r="B425" s="81"/>
      <c r="E425" s="82"/>
      <c r="G425" s="82"/>
      <c r="I425" s="84"/>
      <c r="K425" s="61"/>
      <c r="N425" s="74" t="str">
        <f>IFERROR(__xludf.DUMMYFUNCTION("""COMPUTED_VALUE"""),"")</f>
        <v/>
      </c>
      <c r="O425" s="74" t="str">
        <f>IFERROR(__xludf.DUMMYFUNCTION("""COMPUTED_VALUE"""),"")</f>
        <v/>
      </c>
      <c r="P425" s="74" t="str">
        <f>IFERROR(__xludf.DUMMYFUNCTION("""COMPUTED_VALUE"""),"")</f>
        <v/>
      </c>
    </row>
    <row r="426">
      <c r="A426" s="60"/>
      <c r="B426" s="81"/>
      <c r="E426" s="82"/>
      <c r="G426" s="82"/>
      <c r="I426" s="84"/>
      <c r="K426" s="61"/>
      <c r="N426" s="74" t="str">
        <f>IFERROR(__xludf.DUMMYFUNCTION("""COMPUTED_VALUE"""),"")</f>
        <v/>
      </c>
      <c r="O426" s="74" t="str">
        <f>IFERROR(__xludf.DUMMYFUNCTION("""COMPUTED_VALUE"""),"")</f>
        <v/>
      </c>
      <c r="P426" s="74" t="str">
        <f>IFERROR(__xludf.DUMMYFUNCTION("""COMPUTED_VALUE"""),"")</f>
        <v/>
      </c>
    </row>
    <row r="427">
      <c r="A427" s="60"/>
      <c r="B427" s="81"/>
      <c r="E427" s="82"/>
      <c r="G427" s="82"/>
      <c r="I427" s="84"/>
      <c r="K427" s="61"/>
      <c r="N427" s="74" t="str">
        <f>IFERROR(__xludf.DUMMYFUNCTION("""COMPUTED_VALUE"""),"")</f>
        <v/>
      </c>
      <c r="O427" s="74" t="str">
        <f>IFERROR(__xludf.DUMMYFUNCTION("""COMPUTED_VALUE"""),"")</f>
        <v/>
      </c>
      <c r="P427" s="74" t="str">
        <f>IFERROR(__xludf.DUMMYFUNCTION("""COMPUTED_VALUE"""),"")</f>
        <v/>
      </c>
    </row>
    <row r="428">
      <c r="A428" s="60"/>
      <c r="B428" s="81"/>
      <c r="E428" s="82"/>
      <c r="G428" s="82"/>
      <c r="I428" s="84"/>
      <c r="K428" s="61"/>
      <c r="N428" s="74" t="str">
        <f>IFERROR(__xludf.DUMMYFUNCTION("""COMPUTED_VALUE"""),"")</f>
        <v/>
      </c>
      <c r="O428" s="74" t="str">
        <f>IFERROR(__xludf.DUMMYFUNCTION("""COMPUTED_VALUE"""),"")</f>
        <v/>
      </c>
      <c r="P428" s="74" t="str">
        <f>IFERROR(__xludf.DUMMYFUNCTION("""COMPUTED_VALUE"""),"")</f>
        <v/>
      </c>
    </row>
    <row r="429">
      <c r="A429" s="60"/>
      <c r="B429" s="81"/>
      <c r="E429" s="82"/>
      <c r="G429" s="82"/>
      <c r="I429" s="84"/>
      <c r="K429" s="61"/>
      <c r="N429" s="74" t="str">
        <f>IFERROR(__xludf.DUMMYFUNCTION("""COMPUTED_VALUE"""),"")</f>
        <v/>
      </c>
      <c r="O429" s="74" t="str">
        <f>IFERROR(__xludf.DUMMYFUNCTION("""COMPUTED_VALUE"""),"")</f>
        <v/>
      </c>
      <c r="P429" s="74" t="str">
        <f>IFERROR(__xludf.DUMMYFUNCTION("""COMPUTED_VALUE"""),"")</f>
        <v/>
      </c>
    </row>
    <row r="430">
      <c r="A430" s="60"/>
      <c r="B430" s="81"/>
      <c r="E430" s="82"/>
      <c r="G430" s="82"/>
      <c r="I430" s="84"/>
      <c r="K430" s="61"/>
      <c r="N430" s="74" t="str">
        <f>IFERROR(__xludf.DUMMYFUNCTION("""COMPUTED_VALUE"""),"")</f>
        <v/>
      </c>
      <c r="O430" s="74" t="str">
        <f>IFERROR(__xludf.DUMMYFUNCTION("""COMPUTED_VALUE"""),"")</f>
        <v/>
      </c>
      <c r="P430" s="74" t="str">
        <f>IFERROR(__xludf.DUMMYFUNCTION("""COMPUTED_VALUE"""),"")</f>
        <v/>
      </c>
    </row>
    <row r="431">
      <c r="A431" s="60"/>
      <c r="B431" s="81"/>
      <c r="E431" s="82"/>
      <c r="G431" s="82"/>
      <c r="I431" s="84"/>
      <c r="K431" s="61"/>
      <c r="N431" s="74" t="str">
        <f>IFERROR(__xludf.DUMMYFUNCTION("""COMPUTED_VALUE"""),"")</f>
        <v/>
      </c>
      <c r="O431" s="74" t="str">
        <f>IFERROR(__xludf.DUMMYFUNCTION("""COMPUTED_VALUE"""),"")</f>
        <v/>
      </c>
      <c r="P431" s="74" t="str">
        <f>IFERROR(__xludf.DUMMYFUNCTION("""COMPUTED_VALUE"""),"")</f>
        <v/>
      </c>
    </row>
    <row r="432">
      <c r="A432" s="60"/>
      <c r="B432" s="81"/>
      <c r="E432" s="82"/>
      <c r="G432" s="82"/>
      <c r="I432" s="84"/>
      <c r="K432" s="61"/>
      <c r="N432" s="74" t="str">
        <f>IFERROR(__xludf.DUMMYFUNCTION("""COMPUTED_VALUE"""),"")</f>
        <v/>
      </c>
      <c r="O432" s="74" t="str">
        <f>IFERROR(__xludf.DUMMYFUNCTION("""COMPUTED_VALUE"""),"")</f>
        <v/>
      </c>
      <c r="P432" s="74" t="str">
        <f>IFERROR(__xludf.DUMMYFUNCTION("""COMPUTED_VALUE"""),"")</f>
        <v/>
      </c>
    </row>
    <row r="433">
      <c r="A433" s="60"/>
      <c r="B433" s="81"/>
      <c r="E433" s="82"/>
      <c r="G433" s="82"/>
      <c r="I433" s="84"/>
      <c r="K433" s="61"/>
      <c r="N433" s="74" t="str">
        <f>IFERROR(__xludf.DUMMYFUNCTION("""COMPUTED_VALUE"""),"")</f>
        <v/>
      </c>
      <c r="O433" s="74" t="str">
        <f>IFERROR(__xludf.DUMMYFUNCTION("""COMPUTED_VALUE"""),"")</f>
        <v/>
      </c>
      <c r="P433" s="74" t="str">
        <f>IFERROR(__xludf.DUMMYFUNCTION("""COMPUTED_VALUE"""),"")</f>
        <v/>
      </c>
    </row>
    <row r="434">
      <c r="A434" s="60"/>
      <c r="B434" s="81"/>
      <c r="E434" s="82"/>
      <c r="G434" s="82"/>
      <c r="I434" s="84"/>
      <c r="K434" s="61"/>
      <c r="N434" s="74" t="str">
        <f>IFERROR(__xludf.DUMMYFUNCTION("""COMPUTED_VALUE"""),"")</f>
        <v/>
      </c>
      <c r="O434" s="74" t="str">
        <f>IFERROR(__xludf.DUMMYFUNCTION("""COMPUTED_VALUE"""),"")</f>
        <v/>
      </c>
      <c r="P434" s="74" t="str">
        <f>IFERROR(__xludf.DUMMYFUNCTION("""COMPUTED_VALUE"""),"")</f>
        <v/>
      </c>
    </row>
    <row r="435">
      <c r="A435" s="60"/>
      <c r="B435" s="81"/>
      <c r="E435" s="82"/>
      <c r="G435" s="82"/>
      <c r="I435" s="84"/>
      <c r="K435" s="61"/>
      <c r="N435" s="74" t="str">
        <f>IFERROR(__xludf.DUMMYFUNCTION("""COMPUTED_VALUE"""),"")</f>
        <v/>
      </c>
      <c r="O435" s="74" t="str">
        <f>IFERROR(__xludf.DUMMYFUNCTION("""COMPUTED_VALUE"""),"")</f>
        <v/>
      </c>
      <c r="P435" s="74" t="str">
        <f>IFERROR(__xludf.DUMMYFUNCTION("""COMPUTED_VALUE"""),"")</f>
        <v/>
      </c>
    </row>
    <row r="436">
      <c r="A436" s="60"/>
      <c r="B436" s="81"/>
      <c r="E436" s="82"/>
      <c r="G436" s="82"/>
      <c r="I436" s="84"/>
      <c r="K436" s="61"/>
      <c r="N436" s="74" t="str">
        <f>IFERROR(__xludf.DUMMYFUNCTION("""COMPUTED_VALUE"""),"")</f>
        <v/>
      </c>
      <c r="O436" s="74" t="str">
        <f>IFERROR(__xludf.DUMMYFUNCTION("""COMPUTED_VALUE"""),"")</f>
        <v/>
      </c>
      <c r="P436" s="74" t="str">
        <f>IFERROR(__xludf.DUMMYFUNCTION("""COMPUTED_VALUE"""),"")</f>
        <v/>
      </c>
    </row>
    <row r="437">
      <c r="A437" s="60"/>
      <c r="B437" s="81"/>
      <c r="E437" s="82"/>
      <c r="G437" s="82"/>
      <c r="I437" s="84"/>
      <c r="K437" s="61"/>
      <c r="N437" s="74" t="str">
        <f>IFERROR(__xludf.DUMMYFUNCTION("""COMPUTED_VALUE"""),"")</f>
        <v/>
      </c>
      <c r="O437" s="74" t="str">
        <f>IFERROR(__xludf.DUMMYFUNCTION("""COMPUTED_VALUE"""),"")</f>
        <v/>
      </c>
      <c r="P437" s="74" t="str">
        <f>IFERROR(__xludf.DUMMYFUNCTION("""COMPUTED_VALUE"""),"")</f>
        <v/>
      </c>
    </row>
    <row r="438">
      <c r="A438" s="60"/>
      <c r="B438" s="81"/>
      <c r="E438" s="82"/>
      <c r="G438" s="82"/>
      <c r="I438" s="84"/>
      <c r="K438" s="61"/>
      <c r="N438" s="74" t="str">
        <f>IFERROR(__xludf.DUMMYFUNCTION("""COMPUTED_VALUE"""),"")</f>
        <v/>
      </c>
      <c r="O438" s="74" t="str">
        <f>IFERROR(__xludf.DUMMYFUNCTION("""COMPUTED_VALUE"""),"")</f>
        <v/>
      </c>
      <c r="P438" s="74" t="str">
        <f>IFERROR(__xludf.DUMMYFUNCTION("""COMPUTED_VALUE"""),"")</f>
        <v/>
      </c>
    </row>
    <row r="439">
      <c r="A439" s="60"/>
      <c r="B439" s="81"/>
      <c r="E439" s="82"/>
      <c r="G439" s="82"/>
      <c r="I439" s="84"/>
      <c r="K439" s="61"/>
      <c r="N439" s="74" t="str">
        <f>IFERROR(__xludf.DUMMYFUNCTION("""COMPUTED_VALUE"""),"")</f>
        <v/>
      </c>
      <c r="O439" s="74" t="str">
        <f>IFERROR(__xludf.DUMMYFUNCTION("""COMPUTED_VALUE"""),"")</f>
        <v/>
      </c>
      <c r="P439" s="74" t="str">
        <f>IFERROR(__xludf.DUMMYFUNCTION("""COMPUTED_VALUE"""),"")</f>
        <v/>
      </c>
    </row>
    <row r="440">
      <c r="A440" s="60"/>
      <c r="B440" s="81"/>
      <c r="E440" s="82"/>
      <c r="G440" s="82"/>
      <c r="I440" s="84"/>
      <c r="K440" s="61"/>
      <c r="N440" s="74" t="str">
        <f>IFERROR(__xludf.DUMMYFUNCTION("""COMPUTED_VALUE"""),"")</f>
        <v/>
      </c>
      <c r="O440" s="74" t="str">
        <f>IFERROR(__xludf.DUMMYFUNCTION("""COMPUTED_VALUE"""),"")</f>
        <v/>
      </c>
      <c r="P440" s="74" t="str">
        <f>IFERROR(__xludf.DUMMYFUNCTION("""COMPUTED_VALUE"""),"")</f>
        <v/>
      </c>
    </row>
    <row r="441">
      <c r="A441" s="60"/>
      <c r="B441" s="81"/>
      <c r="E441" s="82"/>
      <c r="G441" s="82"/>
      <c r="I441" s="84"/>
      <c r="K441" s="61"/>
      <c r="N441" s="74" t="str">
        <f>IFERROR(__xludf.DUMMYFUNCTION("""COMPUTED_VALUE"""),"")</f>
        <v/>
      </c>
      <c r="O441" s="74" t="str">
        <f>IFERROR(__xludf.DUMMYFUNCTION("""COMPUTED_VALUE"""),"")</f>
        <v/>
      </c>
      <c r="P441" s="74" t="str">
        <f>IFERROR(__xludf.DUMMYFUNCTION("""COMPUTED_VALUE"""),"")</f>
        <v/>
      </c>
    </row>
    <row r="442">
      <c r="A442" s="60"/>
      <c r="B442" s="81"/>
      <c r="E442" s="82"/>
      <c r="G442" s="82"/>
      <c r="I442" s="84"/>
      <c r="K442" s="61"/>
      <c r="N442" s="74" t="str">
        <f>IFERROR(__xludf.DUMMYFUNCTION("""COMPUTED_VALUE"""),"")</f>
        <v/>
      </c>
      <c r="O442" s="74" t="str">
        <f>IFERROR(__xludf.DUMMYFUNCTION("""COMPUTED_VALUE"""),"")</f>
        <v/>
      </c>
      <c r="P442" s="74" t="str">
        <f>IFERROR(__xludf.DUMMYFUNCTION("""COMPUTED_VALUE"""),"")</f>
        <v/>
      </c>
    </row>
    <row r="443">
      <c r="A443" s="60"/>
      <c r="B443" s="81"/>
      <c r="E443" s="82"/>
      <c r="G443" s="82"/>
      <c r="I443" s="84"/>
      <c r="K443" s="61"/>
      <c r="N443" s="74" t="str">
        <f>IFERROR(__xludf.DUMMYFUNCTION("""COMPUTED_VALUE"""),"")</f>
        <v/>
      </c>
      <c r="O443" s="74" t="str">
        <f>IFERROR(__xludf.DUMMYFUNCTION("""COMPUTED_VALUE"""),"")</f>
        <v/>
      </c>
      <c r="P443" s="74" t="str">
        <f>IFERROR(__xludf.DUMMYFUNCTION("""COMPUTED_VALUE"""),"")</f>
        <v/>
      </c>
    </row>
    <row r="444">
      <c r="A444" s="60"/>
      <c r="B444" s="81"/>
      <c r="E444" s="82"/>
      <c r="G444" s="82"/>
      <c r="I444" s="84"/>
      <c r="K444" s="61"/>
      <c r="N444" s="74" t="str">
        <f>IFERROR(__xludf.DUMMYFUNCTION("""COMPUTED_VALUE"""),"")</f>
        <v/>
      </c>
      <c r="O444" s="74" t="str">
        <f>IFERROR(__xludf.DUMMYFUNCTION("""COMPUTED_VALUE"""),"")</f>
        <v/>
      </c>
      <c r="P444" s="74" t="str">
        <f>IFERROR(__xludf.DUMMYFUNCTION("""COMPUTED_VALUE"""),"")</f>
        <v/>
      </c>
    </row>
    <row r="445">
      <c r="A445" s="60"/>
      <c r="B445" s="81"/>
      <c r="E445" s="82"/>
      <c r="G445" s="82"/>
      <c r="I445" s="84"/>
      <c r="K445" s="61"/>
      <c r="N445" s="74" t="str">
        <f>IFERROR(__xludf.DUMMYFUNCTION("""COMPUTED_VALUE"""),"")</f>
        <v/>
      </c>
      <c r="O445" s="74" t="str">
        <f>IFERROR(__xludf.DUMMYFUNCTION("""COMPUTED_VALUE"""),"")</f>
        <v/>
      </c>
      <c r="P445" s="74" t="str">
        <f>IFERROR(__xludf.DUMMYFUNCTION("""COMPUTED_VALUE"""),"")</f>
        <v/>
      </c>
    </row>
    <row r="446">
      <c r="A446" s="60"/>
      <c r="B446" s="81"/>
      <c r="E446" s="82"/>
      <c r="G446" s="82"/>
      <c r="I446" s="84"/>
      <c r="K446" s="61"/>
      <c r="N446" s="74" t="str">
        <f>IFERROR(__xludf.DUMMYFUNCTION("""COMPUTED_VALUE"""),"")</f>
        <v/>
      </c>
      <c r="O446" s="74" t="str">
        <f>IFERROR(__xludf.DUMMYFUNCTION("""COMPUTED_VALUE"""),"")</f>
        <v/>
      </c>
      <c r="P446" s="74" t="str">
        <f>IFERROR(__xludf.DUMMYFUNCTION("""COMPUTED_VALUE"""),"")</f>
        <v/>
      </c>
    </row>
    <row r="447">
      <c r="A447" s="60"/>
      <c r="B447" s="81"/>
      <c r="E447" s="82"/>
      <c r="G447" s="82"/>
      <c r="I447" s="84"/>
      <c r="K447" s="61"/>
      <c r="N447" s="74" t="str">
        <f>IFERROR(__xludf.DUMMYFUNCTION("""COMPUTED_VALUE"""),"")</f>
        <v/>
      </c>
      <c r="O447" s="74" t="str">
        <f>IFERROR(__xludf.DUMMYFUNCTION("""COMPUTED_VALUE"""),"")</f>
        <v/>
      </c>
      <c r="P447" s="74" t="str">
        <f>IFERROR(__xludf.DUMMYFUNCTION("""COMPUTED_VALUE"""),"")</f>
        <v/>
      </c>
    </row>
    <row r="448">
      <c r="A448" s="60"/>
      <c r="B448" s="81"/>
      <c r="E448" s="82"/>
      <c r="G448" s="82"/>
      <c r="I448" s="84"/>
      <c r="K448" s="61"/>
      <c r="N448" s="74" t="str">
        <f>IFERROR(__xludf.DUMMYFUNCTION("""COMPUTED_VALUE"""),"")</f>
        <v/>
      </c>
      <c r="O448" s="74" t="str">
        <f>IFERROR(__xludf.DUMMYFUNCTION("""COMPUTED_VALUE"""),"")</f>
        <v/>
      </c>
      <c r="P448" s="74" t="str">
        <f>IFERROR(__xludf.DUMMYFUNCTION("""COMPUTED_VALUE"""),"")</f>
        <v/>
      </c>
    </row>
    <row r="449">
      <c r="A449" s="60"/>
      <c r="B449" s="81"/>
      <c r="E449" s="82"/>
      <c r="G449" s="82"/>
      <c r="I449" s="84"/>
      <c r="K449" s="61"/>
      <c r="N449" s="74" t="str">
        <f>IFERROR(__xludf.DUMMYFUNCTION("""COMPUTED_VALUE"""),"")</f>
        <v/>
      </c>
      <c r="O449" s="74" t="str">
        <f>IFERROR(__xludf.DUMMYFUNCTION("""COMPUTED_VALUE"""),"")</f>
        <v/>
      </c>
      <c r="P449" s="74" t="str">
        <f>IFERROR(__xludf.DUMMYFUNCTION("""COMPUTED_VALUE"""),"")</f>
        <v/>
      </c>
    </row>
    <row r="450">
      <c r="A450" s="60"/>
      <c r="B450" s="81"/>
      <c r="E450" s="82"/>
      <c r="G450" s="82"/>
      <c r="I450" s="84"/>
      <c r="K450" s="61"/>
      <c r="N450" s="74" t="str">
        <f>IFERROR(__xludf.DUMMYFUNCTION("""COMPUTED_VALUE"""),"")</f>
        <v/>
      </c>
      <c r="O450" s="74" t="str">
        <f>IFERROR(__xludf.DUMMYFUNCTION("""COMPUTED_VALUE"""),"")</f>
        <v/>
      </c>
      <c r="P450" s="74" t="str">
        <f>IFERROR(__xludf.DUMMYFUNCTION("""COMPUTED_VALUE"""),"")</f>
        <v/>
      </c>
    </row>
    <row r="451">
      <c r="A451" s="60"/>
      <c r="B451" s="81"/>
      <c r="E451" s="82"/>
      <c r="G451" s="82"/>
      <c r="I451" s="84"/>
      <c r="K451" s="61"/>
      <c r="N451" s="74" t="str">
        <f>IFERROR(__xludf.DUMMYFUNCTION("""COMPUTED_VALUE"""),"")</f>
        <v/>
      </c>
      <c r="O451" s="74" t="str">
        <f>IFERROR(__xludf.DUMMYFUNCTION("""COMPUTED_VALUE"""),"")</f>
        <v/>
      </c>
      <c r="P451" s="74" t="str">
        <f>IFERROR(__xludf.DUMMYFUNCTION("""COMPUTED_VALUE"""),"")</f>
        <v/>
      </c>
    </row>
    <row r="452">
      <c r="A452" s="60"/>
      <c r="B452" s="81"/>
      <c r="E452" s="82"/>
      <c r="G452" s="82"/>
      <c r="I452" s="84"/>
      <c r="K452" s="61"/>
      <c r="N452" s="74" t="str">
        <f>IFERROR(__xludf.DUMMYFUNCTION("""COMPUTED_VALUE"""),"")</f>
        <v/>
      </c>
      <c r="O452" s="74" t="str">
        <f>IFERROR(__xludf.DUMMYFUNCTION("""COMPUTED_VALUE"""),"")</f>
        <v/>
      </c>
      <c r="P452" s="74" t="str">
        <f>IFERROR(__xludf.DUMMYFUNCTION("""COMPUTED_VALUE"""),"")</f>
        <v/>
      </c>
    </row>
    <row r="453">
      <c r="A453" s="60"/>
      <c r="B453" s="81"/>
      <c r="E453" s="82"/>
      <c r="G453" s="82"/>
      <c r="I453" s="84"/>
      <c r="K453" s="61"/>
      <c r="N453" s="74" t="str">
        <f>IFERROR(__xludf.DUMMYFUNCTION("""COMPUTED_VALUE"""),"")</f>
        <v/>
      </c>
      <c r="O453" s="74" t="str">
        <f>IFERROR(__xludf.DUMMYFUNCTION("""COMPUTED_VALUE"""),"")</f>
        <v/>
      </c>
      <c r="P453" s="74" t="str">
        <f>IFERROR(__xludf.DUMMYFUNCTION("""COMPUTED_VALUE"""),"")</f>
        <v/>
      </c>
    </row>
    <row r="454">
      <c r="A454" s="60"/>
      <c r="B454" s="81"/>
      <c r="E454" s="82"/>
      <c r="G454" s="82"/>
      <c r="I454" s="84"/>
      <c r="K454" s="61"/>
      <c r="N454" s="74" t="str">
        <f>IFERROR(__xludf.DUMMYFUNCTION("""COMPUTED_VALUE"""),"")</f>
        <v/>
      </c>
      <c r="O454" s="74" t="str">
        <f>IFERROR(__xludf.DUMMYFUNCTION("""COMPUTED_VALUE"""),"")</f>
        <v/>
      </c>
      <c r="P454" s="74" t="str">
        <f>IFERROR(__xludf.DUMMYFUNCTION("""COMPUTED_VALUE"""),"")</f>
        <v/>
      </c>
    </row>
    <row r="455">
      <c r="A455" s="60"/>
      <c r="B455" s="81"/>
      <c r="E455" s="82"/>
      <c r="G455" s="82"/>
      <c r="I455" s="84"/>
      <c r="K455" s="61"/>
      <c r="N455" s="74" t="str">
        <f>IFERROR(__xludf.DUMMYFUNCTION("""COMPUTED_VALUE"""),"")</f>
        <v/>
      </c>
      <c r="O455" s="74" t="str">
        <f>IFERROR(__xludf.DUMMYFUNCTION("""COMPUTED_VALUE"""),"")</f>
        <v/>
      </c>
      <c r="P455" s="74" t="str">
        <f>IFERROR(__xludf.DUMMYFUNCTION("""COMPUTED_VALUE"""),"")</f>
        <v/>
      </c>
    </row>
    <row r="456">
      <c r="A456" s="60"/>
      <c r="B456" s="81"/>
      <c r="E456" s="82"/>
      <c r="G456" s="82"/>
      <c r="I456" s="84"/>
      <c r="K456" s="61"/>
      <c r="N456" s="74" t="str">
        <f>IFERROR(__xludf.DUMMYFUNCTION("""COMPUTED_VALUE"""),"")</f>
        <v/>
      </c>
      <c r="O456" s="74" t="str">
        <f>IFERROR(__xludf.DUMMYFUNCTION("""COMPUTED_VALUE"""),"")</f>
        <v/>
      </c>
      <c r="P456" s="74" t="str">
        <f>IFERROR(__xludf.DUMMYFUNCTION("""COMPUTED_VALUE"""),"")</f>
        <v/>
      </c>
    </row>
    <row r="457">
      <c r="A457" s="60"/>
      <c r="B457" s="81"/>
      <c r="E457" s="82"/>
      <c r="G457" s="82"/>
      <c r="I457" s="84"/>
      <c r="K457" s="61"/>
      <c r="N457" s="74" t="str">
        <f>IFERROR(__xludf.DUMMYFUNCTION("""COMPUTED_VALUE"""),"")</f>
        <v/>
      </c>
      <c r="O457" s="74" t="str">
        <f>IFERROR(__xludf.DUMMYFUNCTION("""COMPUTED_VALUE"""),"")</f>
        <v/>
      </c>
      <c r="P457" s="74" t="str">
        <f>IFERROR(__xludf.DUMMYFUNCTION("""COMPUTED_VALUE"""),"")</f>
        <v/>
      </c>
    </row>
    <row r="458">
      <c r="A458" s="60"/>
      <c r="B458" s="81"/>
      <c r="E458" s="82"/>
      <c r="G458" s="82"/>
      <c r="I458" s="84"/>
      <c r="K458" s="61"/>
      <c r="N458" s="74" t="str">
        <f>IFERROR(__xludf.DUMMYFUNCTION("""COMPUTED_VALUE"""),"")</f>
        <v/>
      </c>
      <c r="O458" s="74" t="str">
        <f>IFERROR(__xludf.DUMMYFUNCTION("""COMPUTED_VALUE"""),"")</f>
        <v/>
      </c>
      <c r="P458" s="74" t="str">
        <f>IFERROR(__xludf.DUMMYFUNCTION("""COMPUTED_VALUE"""),"")</f>
        <v/>
      </c>
    </row>
    <row r="459">
      <c r="A459" s="60"/>
      <c r="B459" s="81"/>
      <c r="E459" s="82"/>
      <c r="G459" s="82"/>
      <c r="I459" s="84"/>
      <c r="K459" s="61"/>
      <c r="N459" s="74" t="str">
        <f>IFERROR(__xludf.DUMMYFUNCTION("""COMPUTED_VALUE"""),"")</f>
        <v/>
      </c>
      <c r="O459" s="74" t="str">
        <f>IFERROR(__xludf.DUMMYFUNCTION("""COMPUTED_VALUE"""),"")</f>
        <v/>
      </c>
      <c r="P459" s="74" t="str">
        <f>IFERROR(__xludf.DUMMYFUNCTION("""COMPUTED_VALUE"""),"")</f>
        <v/>
      </c>
    </row>
    <row r="460">
      <c r="A460" s="60"/>
      <c r="B460" s="81"/>
      <c r="E460" s="82"/>
      <c r="G460" s="82"/>
      <c r="I460" s="84"/>
      <c r="K460" s="61"/>
      <c r="N460" s="74" t="str">
        <f>IFERROR(__xludf.DUMMYFUNCTION("""COMPUTED_VALUE"""),"")</f>
        <v/>
      </c>
      <c r="O460" s="74" t="str">
        <f>IFERROR(__xludf.DUMMYFUNCTION("""COMPUTED_VALUE"""),"")</f>
        <v/>
      </c>
      <c r="P460" s="74" t="str">
        <f>IFERROR(__xludf.DUMMYFUNCTION("""COMPUTED_VALUE"""),"")</f>
        <v/>
      </c>
    </row>
    <row r="461">
      <c r="A461" s="60"/>
      <c r="B461" s="81"/>
      <c r="E461" s="82"/>
      <c r="G461" s="82"/>
      <c r="I461" s="84"/>
      <c r="K461" s="61"/>
      <c r="N461" s="74" t="str">
        <f>IFERROR(__xludf.DUMMYFUNCTION("""COMPUTED_VALUE"""),"")</f>
        <v/>
      </c>
      <c r="O461" s="74" t="str">
        <f>IFERROR(__xludf.DUMMYFUNCTION("""COMPUTED_VALUE"""),"")</f>
        <v/>
      </c>
      <c r="P461" s="74" t="str">
        <f>IFERROR(__xludf.DUMMYFUNCTION("""COMPUTED_VALUE"""),"")</f>
        <v/>
      </c>
    </row>
    <row r="462">
      <c r="A462" s="60"/>
      <c r="B462" s="81"/>
      <c r="E462" s="82"/>
      <c r="G462" s="82"/>
      <c r="I462" s="84"/>
      <c r="K462" s="61"/>
      <c r="N462" s="74" t="str">
        <f>IFERROR(__xludf.DUMMYFUNCTION("""COMPUTED_VALUE"""),"")</f>
        <v/>
      </c>
      <c r="O462" s="74" t="str">
        <f>IFERROR(__xludf.DUMMYFUNCTION("""COMPUTED_VALUE"""),"")</f>
        <v/>
      </c>
      <c r="P462" s="74" t="str">
        <f>IFERROR(__xludf.DUMMYFUNCTION("""COMPUTED_VALUE"""),"")</f>
        <v/>
      </c>
    </row>
    <row r="463">
      <c r="A463" s="60"/>
      <c r="B463" s="81"/>
      <c r="E463" s="82"/>
      <c r="G463" s="82"/>
      <c r="I463" s="84"/>
      <c r="K463" s="61"/>
      <c r="N463" s="74" t="str">
        <f>IFERROR(__xludf.DUMMYFUNCTION("""COMPUTED_VALUE"""),"")</f>
        <v/>
      </c>
      <c r="O463" s="74" t="str">
        <f>IFERROR(__xludf.DUMMYFUNCTION("""COMPUTED_VALUE"""),"")</f>
        <v/>
      </c>
      <c r="P463" s="74" t="str">
        <f>IFERROR(__xludf.DUMMYFUNCTION("""COMPUTED_VALUE"""),"")</f>
        <v/>
      </c>
    </row>
    <row r="464">
      <c r="A464" s="60"/>
      <c r="B464" s="81"/>
      <c r="E464" s="82"/>
      <c r="G464" s="82"/>
      <c r="I464" s="84"/>
      <c r="K464" s="61"/>
      <c r="N464" s="74" t="str">
        <f>IFERROR(__xludf.DUMMYFUNCTION("""COMPUTED_VALUE"""),"")</f>
        <v/>
      </c>
      <c r="O464" s="74" t="str">
        <f>IFERROR(__xludf.DUMMYFUNCTION("""COMPUTED_VALUE"""),"")</f>
        <v/>
      </c>
      <c r="P464" s="74" t="str">
        <f>IFERROR(__xludf.DUMMYFUNCTION("""COMPUTED_VALUE"""),"")</f>
        <v/>
      </c>
    </row>
    <row r="465">
      <c r="A465" s="60"/>
      <c r="B465" s="81"/>
      <c r="E465" s="82"/>
      <c r="G465" s="82"/>
      <c r="I465" s="84"/>
      <c r="K465" s="61"/>
      <c r="N465" s="74" t="str">
        <f>IFERROR(__xludf.DUMMYFUNCTION("""COMPUTED_VALUE"""),"")</f>
        <v/>
      </c>
      <c r="O465" s="74" t="str">
        <f>IFERROR(__xludf.DUMMYFUNCTION("""COMPUTED_VALUE"""),"")</f>
        <v/>
      </c>
      <c r="P465" s="74" t="str">
        <f>IFERROR(__xludf.DUMMYFUNCTION("""COMPUTED_VALUE"""),"")</f>
        <v/>
      </c>
    </row>
    <row r="466">
      <c r="A466" s="60"/>
      <c r="B466" s="81"/>
      <c r="E466" s="82"/>
      <c r="G466" s="82"/>
      <c r="I466" s="84"/>
      <c r="K466" s="61"/>
      <c r="N466" s="74" t="str">
        <f>IFERROR(__xludf.DUMMYFUNCTION("""COMPUTED_VALUE"""),"")</f>
        <v/>
      </c>
      <c r="O466" s="74" t="str">
        <f>IFERROR(__xludf.DUMMYFUNCTION("""COMPUTED_VALUE"""),"")</f>
        <v/>
      </c>
      <c r="P466" s="74" t="str">
        <f>IFERROR(__xludf.DUMMYFUNCTION("""COMPUTED_VALUE"""),"")</f>
        <v/>
      </c>
    </row>
    <row r="467">
      <c r="A467" s="60"/>
      <c r="B467" s="81"/>
      <c r="E467" s="82"/>
      <c r="G467" s="82"/>
      <c r="I467" s="84"/>
      <c r="K467" s="61"/>
      <c r="N467" s="74" t="str">
        <f>IFERROR(__xludf.DUMMYFUNCTION("""COMPUTED_VALUE"""),"")</f>
        <v/>
      </c>
      <c r="O467" s="74" t="str">
        <f>IFERROR(__xludf.DUMMYFUNCTION("""COMPUTED_VALUE"""),"")</f>
        <v/>
      </c>
      <c r="P467" s="74" t="str">
        <f>IFERROR(__xludf.DUMMYFUNCTION("""COMPUTED_VALUE"""),"")</f>
        <v/>
      </c>
    </row>
    <row r="468">
      <c r="A468" s="60"/>
      <c r="B468" s="81"/>
      <c r="E468" s="82"/>
      <c r="G468" s="82"/>
      <c r="I468" s="84"/>
      <c r="K468" s="61"/>
      <c r="N468" s="74" t="str">
        <f>IFERROR(__xludf.DUMMYFUNCTION("""COMPUTED_VALUE"""),"")</f>
        <v/>
      </c>
      <c r="O468" s="74" t="str">
        <f>IFERROR(__xludf.DUMMYFUNCTION("""COMPUTED_VALUE"""),"")</f>
        <v/>
      </c>
      <c r="P468" s="74" t="str">
        <f>IFERROR(__xludf.DUMMYFUNCTION("""COMPUTED_VALUE"""),"")</f>
        <v/>
      </c>
    </row>
    <row r="469">
      <c r="A469" s="60"/>
      <c r="B469" s="81"/>
      <c r="E469" s="82"/>
      <c r="G469" s="82"/>
      <c r="I469" s="84"/>
      <c r="K469" s="61"/>
      <c r="N469" s="74" t="str">
        <f>IFERROR(__xludf.DUMMYFUNCTION("""COMPUTED_VALUE"""),"")</f>
        <v/>
      </c>
      <c r="O469" s="74" t="str">
        <f>IFERROR(__xludf.DUMMYFUNCTION("""COMPUTED_VALUE"""),"")</f>
        <v/>
      </c>
      <c r="P469" s="74" t="str">
        <f>IFERROR(__xludf.DUMMYFUNCTION("""COMPUTED_VALUE"""),"")</f>
        <v/>
      </c>
    </row>
    <row r="470">
      <c r="A470" s="60"/>
      <c r="B470" s="81"/>
      <c r="E470" s="82"/>
      <c r="G470" s="82"/>
      <c r="I470" s="84"/>
      <c r="K470" s="61"/>
      <c r="N470" s="74" t="str">
        <f>IFERROR(__xludf.DUMMYFUNCTION("""COMPUTED_VALUE"""),"")</f>
        <v/>
      </c>
      <c r="O470" s="74" t="str">
        <f>IFERROR(__xludf.DUMMYFUNCTION("""COMPUTED_VALUE"""),"")</f>
        <v/>
      </c>
      <c r="P470" s="74" t="str">
        <f>IFERROR(__xludf.DUMMYFUNCTION("""COMPUTED_VALUE"""),"")</f>
        <v/>
      </c>
    </row>
    <row r="471">
      <c r="A471" s="60"/>
      <c r="B471" s="81"/>
      <c r="E471" s="82"/>
      <c r="G471" s="82"/>
      <c r="I471" s="84"/>
      <c r="K471" s="61"/>
      <c r="N471" s="74" t="str">
        <f>IFERROR(__xludf.DUMMYFUNCTION("""COMPUTED_VALUE"""),"")</f>
        <v/>
      </c>
      <c r="O471" s="74" t="str">
        <f>IFERROR(__xludf.DUMMYFUNCTION("""COMPUTED_VALUE"""),"")</f>
        <v/>
      </c>
      <c r="P471" s="74" t="str">
        <f>IFERROR(__xludf.DUMMYFUNCTION("""COMPUTED_VALUE"""),"")</f>
        <v/>
      </c>
    </row>
    <row r="472">
      <c r="A472" s="60"/>
      <c r="B472" s="81"/>
      <c r="E472" s="82"/>
      <c r="G472" s="82"/>
      <c r="I472" s="84"/>
      <c r="K472" s="61"/>
      <c r="N472" s="74" t="str">
        <f>IFERROR(__xludf.DUMMYFUNCTION("""COMPUTED_VALUE"""),"")</f>
        <v/>
      </c>
      <c r="O472" s="74" t="str">
        <f>IFERROR(__xludf.DUMMYFUNCTION("""COMPUTED_VALUE"""),"")</f>
        <v/>
      </c>
      <c r="P472" s="74" t="str">
        <f>IFERROR(__xludf.DUMMYFUNCTION("""COMPUTED_VALUE"""),"")</f>
        <v/>
      </c>
    </row>
    <row r="473">
      <c r="A473" s="60"/>
      <c r="B473" s="81"/>
      <c r="E473" s="82"/>
      <c r="G473" s="82"/>
      <c r="I473" s="84"/>
      <c r="K473" s="61"/>
      <c r="N473" s="74" t="str">
        <f>IFERROR(__xludf.DUMMYFUNCTION("""COMPUTED_VALUE"""),"")</f>
        <v/>
      </c>
      <c r="O473" s="74" t="str">
        <f>IFERROR(__xludf.DUMMYFUNCTION("""COMPUTED_VALUE"""),"")</f>
        <v/>
      </c>
      <c r="P473" s="74" t="str">
        <f>IFERROR(__xludf.DUMMYFUNCTION("""COMPUTED_VALUE"""),"")</f>
        <v/>
      </c>
    </row>
    <row r="474">
      <c r="A474" s="60"/>
      <c r="B474" s="81"/>
      <c r="E474" s="82"/>
      <c r="G474" s="82"/>
      <c r="I474" s="84"/>
      <c r="K474" s="61"/>
      <c r="N474" s="74" t="str">
        <f>IFERROR(__xludf.DUMMYFUNCTION("""COMPUTED_VALUE"""),"")</f>
        <v/>
      </c>
      <c r="O474" s="74" t="str">
        <f>IFERROR(__xludf.DUMMYFUNCTION("""COMPUTED_VALUE"""),"")</f>
        <v/>
      </c>
      <c r="P474" s="74" t="str">
        <f>IFERROR(__xludf.DUMMYFUNCTION("""COMPUTED_VALUE"""),"")</f>
        <v/>
      </c>
    </row>
    <row r="475">
      <c r="A475" s="60"/>
      <c r="B475" s="81"/>
      <c r="E475" s="82"/>
      <c r="G475" s="82"/>
      <c r="I475" s="84"/>
      <c r="K475" s="61"/>
      <c r="N475" s="74" t="str">
        <f>IFERROR(__xludf.DUMMYFUNCTION("""COMPUTED_VALUE"""),"")</f>
        <v/>
      </c>
      <c r="O475" s="74" t="str">
        <f>IFERROR(__xludf.DUMMYFUNCTION("""COMPUTED_VALUE"""),"")</f>
        <v/>
      </c>
      <c r="P475" s="74" t="str">
        <f>IFERROR(__xludf.DUMMYFUNCTION("""COMPUTED_VALUE"""),"")</f>
        <v/>
      </c>
    </row>
    <row r="476">
      <c r="A476" s="60"/>
      <c r="B476" s="81"/>
      <c r="E476" s="82"/>
      <c r="G476" s="82"/>
      <c r="I476" s="84"/>
      <c r="K476" s="61"/>
      <c r="N476" s="74" t="str">
        <f>IFERROR(__xludf.DUMMYFUNCTION("""COMPUTED_VALUE"""),"")</f>
        <v/>
      </c>
      <c r="O476" s="74" t="str">
        <f>IFERROR(__xludf.DUMMYFUNCTION("""COMPUTED_VALUE"""),"")</f>
        <v/>
      </c>
      <c r="P476" s="74" t="str">
        <f>IFERROR(__xludf.DUMMYFUNCTION("""COMPUTED_VALUE"""),"")</f>
        <v/>
      </c>
    </row>
    <row r="477">
      <c r="A477" s="60"/>
      <c r="B477" s="81"/>
      <c r="E477" s="82"/>
      <c r="G477" s="82"/>
      <c r="I477" s="84"/>
      <c r="K477" s="61"/>
      <c r="N477" s="74" t="str">
        <f>IFERROR(__xludf.DUMMYFUNCTION("""COMPUTED_VALUE"""),"")</f>
        <v/>
      </c>
      <c r="O477" s="74" t="str">
        <f>IFERROR(__xludf.DUMMYFUNCTION("""COMPUTED_VALUE"""),"")</f>
        <v/>
      </c>
      <c r="P477" s="74" t="str">
        <f>IFERROR(__xludf.DUMMYFUNCTION("""COMPUTED_VALUE"""),"")</f>
        <v/>
      </c>
    </row>
    <row r="478">
      <c r="A478" s="60"/>
      <c r="B478" s="81"/>
      <c r="E478" s="82"/>
      <c r="G478" s="82"/>
      <c r="I478" s="84"/>
      <c r="K478" s="61"/>
      <c r="N478" s="74" t="str">
        <f>IFERROR(__xludf.DUMMYFUNCTION("""COMPUTED_VALUE"""),"")</f>
        <v/>
      </c>
      <c r="O478" s="74" t="str">
        <f>IFERROR(__xludf.DUMMYFUNCTION("""COMPUTED_VALUE"""),"")</f>
        <v/>
      </c>
      <c r="P478" s="74" t="str">
        <f>IFERROR(__xludf.DUMMYFUNCTION("""COMPUTED_VALUE"""),"")</f>
        <v/>
      </c>
    </row>
    <row r="479">
      <c r="A479" s="60"/>
      <c r="B479" s="81"/>
      <c r="E479" s="82"/>
      <c r="G479" s="82"/>
      <c r="I479" s="84"/>
      <c r="K479" s="61"/>
      <c r="N479" s="74" t="str">
        <f>IFERROR(__xludf.DUMMYFUNCTION("""COMPUTED_VALUE"""),"")</f>
        <v/>
      </c>
      <c r="O479" s="74" t="str">
        <f>IFERROR(__xludf.DUMMYFUNCTION("""COMPUTED_VALUE"""),"")</f>
        <v/>
      </c>
      <c r="P479" s="74" t="str">
        <f>IFERROR(__xludf.DUMMYFUNCTION("""COMPUTED_VALUE"""),"")</f>
        <v/>
      </c>
    </row>
    <row r="480">
      <c r="A480" s="60"/>
      <c r="B480" s="81"/>
      <c r="E480" s="82"/>
      <c r="G480" s="82"/>
      <c r="I480" s="84"/>
      <c r="K480" s="61"/>
      <c r="N480" s="74" t="str">
        <f>IFERROR(__xludf.DUMMYFUNCTION("""COMPUTED_VALUE"""),"")</f>
        <v/>
      </c>
      <c r="O480" s="74" t="str">
        <f>IFERROR(__xludf.DUMMYFUNCTION("""COMPUTED_VALUE"""),"")</f>
        <v/>
      </c>
      <c r="P480" s="74" t="str">
        <f>IFERROR(__xludf.DUMMYFUNCTION("""COMPUTED_VALUE"""),"")</f>
        <v/>
      </c>
    </row>
    <row r="481">
      <c r="A481" s="60"/>
      <c r="B481" s="81"/>
      <c r="E481" s="82"/>
      <c r="G481" s="82"/>
      <c r="I481" s="84"/>
      <c r="K481" s="61"/>
      <c r="N481" s="74" t="str">
        <f>IFERROR(__xludf.DUMMYFUNCTION("""COMPUTED_VALUE"""),"")</f>
        <v/>
      </c>
      <c r="O481" s="74" t="str">
        <f>IFERROR(__xludf.DUMMYFUNCTION("""COMPUTED_VALUE"""),"")</f>
        <v/>
      </c>
      <c r="P481" s="74" t="str">
        <f>IFERROR(__xludf.DUMMYFUNCTION("""COMPUTED_VALUE"""),"")</f>
        <v/>
      </c>
    </row>
    <row r="482">
      <c r="A482" s="60"/>
      <c r="B482" s="81"/>
      <c r="E482" s="82"/>
      <c r="G482" s="82"/>
      <c r="I482" s="84"/>
      <c r="K482" s="61"/>
      <c r="N482" s="74" t="str">
        <f>IFERROR(__xludf.DUMMYFUNCTION("""COMPUTED_VALUE"""),"")</f>
        <v/>
      </c>
      <c r="O482" s="74" t="str">
        <f>IFERROR(__xludf.DUMMYFUNCTION("""COMPUTED_VALUE"""),"")</f>
        <v/>
      </c>
      <c r="P482" s="74" t="str">
        <f>IFERROR(__xludf.DUMMYFUNCTION("""COMPUTED_VALUE"""),"")</f>
        <v/>
      </c>
    </row>
    <row r="483">
      <c r="A483" s="60"/>
      <c r="B483" s="81"/>
      <c r="E483" s="82"/>
      <c r="G483" s="82"/>
      <c r="I483" s="84"/>
      <c r="K483" s="61"/>
      <c r="N483" s="74" t="str">
        <f>IFERROR(__xludf.DUMMYFUNCTION("""COMPUTED_VALUE"""),"")</f>
        <v/>
      </c>
      <c r="O483" s="74" t="str">
        <f>IFERROR(__xludf.DUMMYFUNCTION("""COMPUTED_VALUE"""),"")</f>
        <v/>
      </c>
      <c r="P483" s="74" t="str">
        <f>IFERROR(__xludf.DUMMYFUNCTION("""COMPUTED_VALUE"""),"")</f>
        <v/>
      </c>
    </row>
    <row r="484">
      <c r="A484" s="60"/>
      <c r="B484" s="81"/>
      <c r="E484" s="82"/>
      <c r="G484" s="82"/>
      <c r="I484" s="84"/>
      <c r="K484" s="61"/>
      <c r="N484" s="74" t="str">
        <f>IFERROR(__xludf.DUMMYFUNCTION("""COMPUTED_VALUE"""),"")</f>
        <v/>
      </c>
      <c r="O484" s="74" t="str">
        <f>IFERROR(__xludf.DUMMYFUNCTION("""COMPUTED_VALUE"""),"")</f>
        <v/>
      </c>
      <c r="P484" s="74" t="str">
        <f>IFERROR(__xludf.DUMMYFUNCTION("""COMPUTED_VALUE"""),"")</f>
        <v/>
      </c>
    </row>
    <row r="485">
      <c r="A485" s="60"/>
      <c r="B485" s="81"/>
      <c r="E485" s="82"/>
      <c r="G485" s="82"/>
      <c r="I485" s="84"/>
      <c r="K485" s="61"/>
      <c r="N485" s="74" t="str">
        <f>IFERROR(__xludf.DUMMYFUNCTION("""COMPUTED_VALUE"""),"")</f>
        <v/>
      </c>
      <c r="O485" s="74" t="str">
        <f>IFERROR(__xludf.DUMMYFUNCTION("""COMPUTED_VALUE"""),"")</f>
        <v/>
      </c>
      <c r="P485" s="74" t="str">
        <f>IFERROR(__xludf.DUMMYFUNCTION("""COMPUTED_VALUE"""),"")</f>
        <v/>
      </c>
    </row>
    <row r="486">
      <c r="A486" s="60"/>
      <c r="B486" s="81"/>
      <c r="E486" s="82"/>
      <c r="G486" s="82"/>
      <c r="I486" s="84"/>
      <c r="K486" s="61"/>
      <c r="N486" s="74" t="str">
        <f>IFERROR(__xludf.DUMMYFUNCTION("""COMPUTED_VALUE"""),"")</f>
        <v/>
      </c>
      <c r="O486" s="74" t="str">
        <f>IFERROR(__xludf.DUMMYFUNCTION("""COMPUTED_VALUE"""),"")</f>
        <v/>
      </c>
      <c r="P486" s="74" t="str">
        <f>IFERROR(__xludf.DUMMYFUNCTION("""COMPUTED_VALUE"""),"")</f>
        <v/>
      </c>
    </row>
    <row r="487">
      <c r="A487" s="60"/>
      <c r="B487" s="81"/>
      <c r="E487" s="82"/>
      <c r="G487" s="82"/>
      <c r="I487" s="84"/>
      <c r="K487" s="61"/>
      <c r="N487" s="74" t="str">
        <f>IFERROR(__xludf.DUMMYFUNCTION("""COMPUTED_VALUE"""),"")</f>
        <v/>
      </c>
      <c r="O487" s="74" t="str">
        <f>IFERROR(__xludf.DUMMYFUNCTION("""COMPUTED_VALUE"""),"")</f>
        <v/>
      </c>
      <c r="P487" s="74" t="str">
        <f>IFERROR(__xludf.DUMMYFUNCTION("""COMPUTED_VALUE"""),"")</f>
        <v/>
      </c>
    </row>
    <row r="488">
      <c r="A488" s="60"/>
      <c r="B488" s="81"/>
      <c r="E488" s="82"/>
      <c r="G488" s="82"/>
      <c r="I488" s="84"/>
      <c r="K488" s="61"/>
      <c r="N488" s="74" t="str">
        <f>IFERROR(__xludf.DUMMYFUNCTION("""COMPUTED_VALUE"""),"")</f>
        <v/>
      </c>
      <c r="O488" s="74" t="str">
        <f>IFERROR(__xludf.DUMMYFUNCTION("""COMPUTED_VALUE"""),"")</f>
        <v/>
      </c>
      <c r="P488" s="74" t="str">
        <f>IFERROR(__xludf.DUMMYFUNCTION("""COMPUTED_VALUE"""),"")</f>
        <v/>
      </c>
    </row>
    <row r="489">
      <c r="A489" s="60"/>
      <c r="B489" s="81"/>
      <c r="E489" s="82"/>
      <c r="G489" s="82"/>
      <c r="I489" s="84"/>
      <c r="K489" s="61"/>
      <c r="N489" s="74" t="str">
        <f>IFERROR(__xludf.DUMMYFUNCTION("""COMPUTED_VALUE"""),"")</f>
        <v/>
      </c>
      <c r="O489" s="74" t="str">
        <f>IFERROR(__xludf.DUMMYFUNCTION("""COMPUTED_VALUE"""),"")</f>
        <v/>
      </c>
      <c r="P489" s="74" t="str">
        <f>IFERROR(__xludf.DUMMYFUNCTION("""COMPUTED_VALUE"""),"")</f>
        <v/>
      </c>
    </row>
    <row r="490">
      <c r="A490" s="60"/>
      <c r="B490" s="81"/>
      <c r="E490" s="82"/>
      <c r="G490" s="82"/>
      <c r="I490" s="84"/>
      <c r="K490" s="61"/>
      <c r="N490" s="74" t="str">
        <f>IFERROR(__xludf.DUMMYFUNCTION("""COMPUTED_VALUE"""),"")</f>
        <v/>
      </c>
      <c r="O490" s="74" t="str">
        <f>IFERROR(__xludf.DUMMYFUNCTION("""COMPUTED_VALUE"""),"")</f>
        <v/>
      </c>
      <c r="P490" s="74" t="str">
        <f>IFERROR(__xludf.DUMMYFUNCTION("""COMPUTED_VALUE"""),"")</f>
        <v/>
      </c>
    </row>
    <row r="491">
      <c r="A491" s="60"/>
      <c r="B491" s="81"/>
      <c r="E491" s="82"/>
      <c r="G491" s="82"/>
      <c r="I491" s="84"/>
      <c r="K491" s="61"/>
      <c r="N491" s="74" t="str">
        <f>IFERROR(__xludf.DUMMYFUNCTION("""COMPUTED_VALUE"""),"")</f>
        <v/>
      </c>
      <c r="O491" s="74" t="str">
        <f>IFERROR(__xludf.DUMMYFUNCTION("""COMPUTED_VALUE"""),"")</f>
        <v/>
      </c>
      <c r="P491" s="74" t="str">
        <f>IFERROR(__xludf.DUMMYFUNCTION("""COMPUTED_VALUE"""),"")</f>
        <v/>
      </c>
    </row>
    <row r="492">
      <c r="A492" s="60"/>
      <c r="B492" s="81"/>
      <c r="E492" s="82"/>
      <c r="G492" s="82"/>
      <c r="I492" s="84"/>
      <c r="K492" s="61"/>
      <c r="N492" s="74" t="str">
        <f>IFERROR(__xludf.DUMMYFUNCTION("""COMPUTED_VALUE"""),"")</f>
        <v/>
      </c>
      <c r="O492" s="74" t="str">
        <f>IFERROR(__xludf.DUMMYFUNCTION("""COMPUTED_VALUE"""),"")</f>
        <v/>
      </c>
      <c r="P492" s="74" t="str">
        <f>IFERROR(__xludf.DUMMYFUNCTION("""COMPUTED_VALUE"""),"")</f>
        <v/>
      </c>
    </row>
    <row r="493">
      <c r="A493" s="60"/>
      <c r="B493" s="81"/>
      <c r="E493" s="82"/>
      <c r="G493" s="82"/>
      <c r="I493" s="84"/>
      <c r="K493" s="61"/>
      <c r="N493" s="74" t="str">
        <f>IFERROR(__xludf.DUMMYFUNCTION("""COMPUTED_VALUE"""),"")</f>
        <v/>
      </c>
      <c r="O493" s="74" t="str">
        <f>IFERROR(__xludf.DUMMYFUNCTION("""COMPUTED_VALUE"""),"")</f>
        <v/>
      </c>
      <c r="P493" s="74" t="str">
        <f>IFERROR(__xludf.DUMMYFUNCTION("""COMPUTED_VALUE"""),"")</f>
        <v/>
      </c>
    </row>
    <row r="494">
      <c r="A494" s="60"/>
      <c r="B494" s="81"/>
      <c r="E494" s="82"/>
      <c r="G494" s="82"/>
      <c r="I494" s="84"/>
      <c r="K494" s="61"/>
      <c r="N494" s="74" t="str">
        <f>IFERROR(__xludf.DUMMYFUNCTION("""COMPUTED_VALUE"""),"")</f>
        <v/>
      </c>
      <c r="O494" s="74" t="str">
        <f>IFERROR(__xludf.DUMMYFUNCTION("""COMPUTED_VALUE"""),"")</f>
        <v/>
      </c>
      <c r="P494" s="74" t="str">
        <f>IFERROR(__xludf.DUMMYFUNCTION("""COMPUTED_VALUE"""),"")</f>
        <v/>
      </c>
    </row>
    <row r="495">
      <c r="A495" s="60"/>
      <c r="B495" s="81"/>
      <c r="E495" s="82"/>
      <c r="G495" s="82"/>
      <c r="I495" s="84"/>
      <c r="K495" s="61"/>
      <c r="N495" s="74" t="str">
        <f>IFERROR(__xludf.DUMMYFUNCTION("""COMPUTED_VALUE"""),"")</f>
        <v/>
      </c>
      <c r="O495" s="74" t="str">
        <f>IFERROR(__xludf.DUMMYFUNCTION("""COMPUTED_VALUE"""),"")</f>
        <v/>
      </c>
      <c r="P495" s="74" t="str">
        <f>IFERROR(__xludf.DUMMYFUNCTION("""COMPUTED_VALUE"""),"")</f>
        <v/>
      </c>
    </row>
    <row r="496">
      <c r="A496" s="60"/>
      <c r="B496" s="81"/>
      <c r="E496" s="82"/>
      <c r="G496" s="82"/>
      <c r="I496" s="84"/>
      <c r="K496" s="61"/>
      <c r="N496" s="74" t="str">
        <f>IFERROR(__xludf.DUMMYFUNCTION("""COMPUTED_VALUE"""),"")</f>
        <v/>
      </c>
      <c r="O496" s="74" t="str">
        <f>IFERROR(__xludf.DUMMYFUNCTION("""COMPUTED_VALUE"""),"")</f>
        <v/>
      </c>
      <c r="P496" s="74" t="str">
        <f>IFERROR(__xludf.DUMMYFUNCTION("""COMPUTED_VALUE"""),"")</f>
        <v/>
      </c>
    </row>
    <row r="497">
      <c r="A497" s="60"/>
      <c r="B497" s="81"/>
      <c r="E497" s="82"/>
      <c r="G497" s="82"/>
      <c r="I497" s="84"/>
      <c r="K497" s="61"/>
      <c r="N497" s="74" t="str">
        <f>IFERROR(__xludf.DUMMYFUNCTION("""COMPUTED_VALUE"""),"")</f>
        <v/>
      </c>
      <c r="O497" s="74" t="str">
        <f>IFERROR(__xludf.DUMMYFUNCTION("""COMPUTED_VALUE"""),"")</f>
        <v/>
      </c>
      <c r="P497" s="74" t="str">
        <f>IFERROR(__xludf.DUMMYFUNCTION("""COMPUTED_VALUE"""),"")</f>
        <v/>
      </c>
    </row>
    <row r="498">
      <c r="A498" s="60"/>
      <c r="B498" s="81"/>
      <c r="E498" s="82"/>
      <c r="G498" s="82"/>
      <c r="I498" s="84"/>
      <c r="K498" s="61"/>
      <c r="N498" s="74" t="str">
        <f>IFERROR(__xludf.DUMMYFUNCTION("""COMPUTED_VALUE"""),"")</f>
        <v/>
      </c>
      <c r="O498" s="74" t="str">
        <f>IFERROR(__xludf.DUMMYFUNCTION("""COMPUTED_VALUE"""),"")</f>
        <v/>
      </c>
      <c r="P498" s="74" t="str">
        <f>IFERROR(__xludf.DUMMYFUNCTION("""COMPUTED_VALUE"""),"")</f>
        <v/>
      </c>
    </row>
    <row r="499">
      <c r="A499" s="60"/>
      <c r="B499" s="81"/>
      <c r="E499" s="82"/>
      <c r="G499" s="82"/>
      <c r="I499" s="84"/>
      <c r="K499" s="61"/>
      <c r="N499" s="74" t="str">
        <f>IFERROR(__xludf.DUMMYFUNCTION("""COMPUTED_VALUE"""),"")</f>
        <v/>
      </c>
      <c r="O499" s="74" t="str">
        <f>IFERROR(__xludf.DUMMYFUNCTION("""COMPUTED_VALUE"""),"")</f>
        <v/>
      </c>
      <c r="P499" s="74" t="str">
        <f>IFERROR(__xludf.DUMMYFUNCTION("""COMPUTED_VALUE"""),"")</f>
        <v/>
      </c>
    </row>
    <row r="500">
      <c r="A500" s="60"/>
      <c r="B500" s="81"/>
      <c r="E500" s="82"/>
      <c r="G500" s="82"/>
      <c r="I500" s="84"/>
      <c r="K500" s="61"/>
      <c r="N500" s="74" t="str">
        <f>IFERROR(__xludf.DUMMYFUNCTION("""COMPUTED_VALUE"""),"")</f>
        <v/>
      </c>
      <c r="O500" s="74" t="str">
        <f>IFERROR(__xludf.DUMMYFUNCTION("""COMPUTED_VALUE"""),"")</f>
        <v/>
      </c>
      <c r="P500" s="74" t="str">
        <f>IFERROR(__xludf.DUMMYFUNCTION("""COMPUTED_VALUE"""),"")</f>
        <v/>
      </c>
    </row>
    <row r="501">
      <c r="A501" s="60"/>
      <c r="B501" s="81"/>
      <c r="E501" s="82"/>
      <c r="G501" s="82"/>
      <c r="I501" s="84"/>
      <c r="K501" s="61"/>
      <c r="N501" s="74" t="str">
        <f>IFERROR(__xludf.DUMMYFUNCTION("""COMPUTED_VALUE"""),"")</f>
        <v/>
      </c>
      <c r="O501" s="74" t="str">
        <f>IFERROR(__xludf.DUMMYFUNCTION("""COMPUTED_VALUE"""),"")</f>
        <v/>
      </c>
      <c r="P501" s="74" t="str">
        <f>IFERROR(__xludf.DUMMYFUNCTION("""COMPUTED_VALUE"""),"")</f>
        <v/>
      </c>
    </row>
    <row r="502">
      <c r="A502" s="60"/>
      <c r="B502" s="81"/>
      <c r="E502" s="82"/>
      <c r="G502" s="82"/>
      <c r="I502" s="84"/>
      <c r="K502" s="61"/>
      <c r="N502" s="74" t="str">
        <f>IFERROR(__xludf.DUMMYFUNCTION("""COMPUTED_VALUE"""),"")</f>
        <v/>
      </c>
      <c r="O502" s="74" t="str">
        <f>IFERROR(__xludf.DUMMYFUNCTION("""COMPUTED_VALUE"""),"")</f>
        <v/>
      </c>
      <c r="P502" s="74" t="str">
        <f>IFERROR(__xludf.DUMMYFUNCTION("""COMPUTED_VALUE"""),"")</f>
        <v/>
      </c>
    </row>
    <row r="503">
      <c r="A503" s="60"/>
      <c r="B503" s="81"/>
      <c r="E503" s="82"/>
      <c r="G503" s="82"/>
      <c r="I503" s="84"/>
      <c r="K503" s="61"/>
      <c r="N503" s="74" t="str">
        <f>IFERROR(__xludf.DUMMYFUNCTION("""COMPUTED_VALUE"""),"")</f>
        <v/>
      </c>
      <c r="O503" s="74" t="str">
        <f>IFERROR(__xludf.DUMMYFUNCTION("""COMPUTED_VALUE"""),"")</f>
        <v/>
      </c>
      <c r="P503" s="74" t="str">
        <f>IFERROR(__xludf.DUMMYFUNCTION("""COMPUTED_VALUE"""),"")</f>
        <v/>
      </c>
    </row>
    <row r="504">
      <c r="A504" s="60"/>
      <c r="B504" s="81"/>
      <c r="E504" s="82"/>
      <c r="G504" s="82"/>
      <c r="I504" s="84"/>
      <c r="K504" s="61"/>
      <c r="N504" s="74" t="str">
        <f>IFERROR(__xludf.DUMMYFUNCTION("""COMPUTED_VALUE"""),"")</f>
        <v/>
      </c>
      <c r="O504" s="74" t="str">
        <f>IFERROR(__xludf.DUMMYFUNCTION("""COMPUTED_VALUE"""),"")</f>
        <v/>
      </c>
      <c r="P504" s="74" t="str">
        <f>IFERROR(__xludf.DUMMYFUNCTION("""COMPUTED_VALUE"""),"")</f>
        <v/>
      </c>
    </row>
    <row r="505">
      <c r="A505" s="60"/>
      <c r="B505" s="81"/>
      <c r="E505" s="82"/>
      <c r="G505" s="82"/>
      <c r="I505" s="84"/>
      <c r="K505" s="61"/>
      <c r="N505" s="74" t="str">
        <f>IFERROR(__xludf.DUMMYFUNCTION("""COMPUTED_VALUE"""),"")</f>
        <v/>
      </c>
      <c r="O505" s="74" t="str">
        <f>IFERROR(__xludf.DUMMYFUNCTION("""COMPUTED_VALUE"""),"")</f>
        <v/>
      </c>
      <c r="P505" s="74" t="str">
        <f>IFERROR(__xludf.DUMMYFUNCTION("""COMPUTED_VALUE"""),"")</f>
        <v/>
      </c>
    </row>
    <row r="506">
      <c r="A506" s="60"/>
      <c r="B506" s="81"/>
      <c r="E506" s="82"/>
      <c r="G506" s="82"/>
      <c r="I506" s="84"/>
      <c r="K506" s="61"/>
      <c r="N506" s="74" t="str">
        <f>IFERROR(__xludf.DUMMYFUNCTION("""COMPUTED_VALUE"""),"")</f>
        <v/>
      </c>
      <c r="O506" s="74" t="str">
        <f>IFERROR(__xludf.DUMMYFUNCTION("""COMPUTED_VALUE"""),"")</f>
        <v/>
      </c>
      <c r="P506" s="74" t="str">
        <f>IFERROR(__xludf.DUMMYFUNCTION("""COMPUTED_VALUE"""),"")</f>
        <v/>
      </c>
    </row>
    <row r="507">
      <c r="A507" s="60"/>
      <c r="B507" s="81"/>
      <c r="E507" s="82"/>
      <c r="G507" s="82"/>
      <c r="I507" s="84"/>
      <c r="K507" s="61"/>
      <c r="N507" s="74" t="str">
        <f>IFERROR(__xludf.DUMMYFUNCTION("""COMPUTED_VALUE"""),"")</f>
        <v/>
      </c>
      <c r="O507" s="74" t="str">
        <f>IFERROR(__xludf.DUMMYFUNCTION("""COMPUTED_VALUE"""),"")</f>
        <v/>
      </c>
      <c r="P507" s="74" t="str">
        <f>IFERROR(__xludf.DUMMYFUNCTION("""COMPUTED_VALUE"""),"")</f>
        <v/>
      </c>
    </row>
    <row r="508">
      <c r="A508" s="60"/>
      <c r="B508" s="81"/>
      <c r="E508" s="82"/>
      <c r="G508" s="82"/>
      <c r="I508" s="84"/>
      <c r="K508" s="61"/>
      <c r="N508" s="74" t="str">
        <f>IFERROR(__xludf.DUMMYFUNCTION("""COMPUTED_VALUE"""),"")</f>
        <v/>
      </c>
      <c r="O508" s="74" t="str">
        <f>IFERROR(__xludf.DUMMYFUNCTION("""COMPUTED_VALUE"""),"")</f>
        <v/>
      </c>
      <c r="P508" s="74" t="str">
        <f>IFERROR(__xludf.DUMMYFUNCTION("""COMPUTED_VALUE"""),"")</f>
        <v/>
      </c>
    </row>
    <row r="509">
      <c r="A509" s="60"/>
      <c r="B509" s="81"/>
      <c r="E509" s="82"/>
      <c r="G509" s="82"/>
      <c r="I509" s="84"/>
      <c r="K509" s="61"/>
      <c r="N509" s="74" t="str">
        <f>IFERROR(__xludf.DUMMYFUNCTION("""COMPUTED_VALUE"""),"")</f>
        <v/>
      </c>
      <c r="O509" s="74" t="str">
        <f>IFERROR(__xludf.DUMMYFUNCTION("""COMPUTED_VALUE"""),"")</f>
        <v/>
      </c>
      <c r="P509" s="74" t="str">
        <f>IFERROR(__xludf.DUMMYFUNCTION("""COMPUTED_VALUE"""),"")</f>
        <v/>
      </c>
    </row>
    <row r="510">
      <c r="A510" s="60"/>
      <c r="B510" s="81"/>
      <c r="E510" s="82"/>
      <c r="G510" s="82"/>
      <c r="I510" s="84"/>
      <c r="K510" s="61"/>
      <c r="N510" s="74" t="str">
        <f>IFERROR(__xludf.DUMMYFUNCTION("""COMPUTED_VALUE"""),"")</f>
        <v/>
      </c>
      <c r="O510" s="74" t="str">
        <f>IFERROR(__xludf.DUMMYFUNCTION("""COMPUTED_VALUE"""),"")</f>
        <v/>
      </c>
      <c r="P510" s="74" t="str">
        <f>IFERROR(__xludf.DUMMYFUNCTION("""COMPUTED_VALUE"""),"")</f>
        <v/>
      </c>
    </row>
    <row r="511">
      <c r="A511" s="60"/>
      <c r="B511" s="81"/>
      <c r="E511" s="82"/>
      <c r="G511" s="82"/>
      <c r="I511" s="84"/>
      <c r="K511" s="61"/>
      <c r="N511" s="74" t="str">
        <f>IFERROR(__xludf.DUMMYFUNCTION("""COMPUTED_VALUE"""),"")</f>
        <v/>
      </c>
      <c r="O511" s="74" t="str">
        <f>IFERROR(__xludf.DUMMYFUNCTION("""COMPUTED_VALUE"""),"")</f>
        <v/>
      </c>
      <c r="P511" s="74" t="str">
        <f>IFERROR(__xludf.DUMMYFUNCTION("""COMPUTED_VALUE"""),"")</f>
        <v/>
      </c>
    </row>
    <row r="512">
      <c r="A512" s="60"/>
      <c r="B512" s="81"/>
      <c r="E512" s="82"/>
      <c r="G512" s="82"/>
      <c r="I512" s="84"/>
      <c r="K512" s="61"/>
      <c r="N512" s="74" t="str">
        <f>IFERROR(__xludf.DUMMYFUNCTION("""COMPUTED_VALUE"""),"")</f>
        <v/>
      </c>
      <c r="O512" s="74" t="str">
        <f>IFERROR(__xludf.DUMMYFUNCTION("""COMPUTED_VALUE"""),"")</f>
        <v/>
      </c>
      <c r="P512" s="74" t="str">
        <f>IFERROR(__xludf.DUMMYFUNCTION("""COMPUTED_VALUE"""),"")</f>
        <v/>
      </c>
    </row>
    <row r="513">
      <c r="A513" s="60"/>
      <c r="B513" s="81"/>
      <c r="E513" s="82"/>
      <c r="G513" s="82"/>
      <c r="I513" s="84"/>
      <c r="K513" s="61"/>
      <c r="N513" s="74" t="str">
        <f>IFERROR(__xludf.DUMMYFUNCTION("""COMPUTED_VALUE"""),"")</f>
        <v/>
      </c>
      <c r="O513" s="74" t="str">
        <f>IFERROR(__xludf.DUMMYFUNCTION("""COMPUTED_VALUE"""),"")</f>
        <v/>
      </c>
      <c r="P513" s="74" t="str">
        <f>IFERROR(__xludf.DUMMYFUNCTION("""COMPUTED_VALUE"""),"")</f>
        <v/>
      </c>
    </row>
    <row r="514">
      <c r="A514" s="60"/>
      <c r="B514" s="81"/>
      <c r="E514" s="82"/>
      <c r="G514" s="82"/>
      <c r="I514" s="84"/>
      <c r="K514" s="61"/>
      <c r="N514" s="74" t="str">
        <f>IFERROR(__xludf.DUMMYFUNCTION("""COMPUTED_VALUE"""),"")</f>
        <v/>
      </c>
      <c r="O514" s="74" t="str">
        <f>IFERROR(__xludf.DUMMYFUNCTION("""COMPUTED_VALUE"""),"")</f>
        <v/>
      </c>
      <c r="P514" s="74" t="str">
        <f>IFERROR(__xludf.DUMMYFUNCTION("""COMPUTED_VALUE"""),"")</f>
        <v/>
      </c>
    </row>
    <row r="515">
      <c r="A515" s="60"/>
      <c r="B515" s="81"/>
      <c r="E515" s="82"/>
      <c r="G515" s="82"/>
      <c r="I515" s="84"/>
      <c r="K515" s="61"/>
      <c r="N515" s="74" t="str">
        <f>IFERROR(__xludf.DUMMYFUNCTION("""COMPUTED_VALUE"""),"")</f>
        <v/>
      </c>
      <c r="O515" s="74" t="str">
        <f>IFERROR(__xludf.DUMMYFUNCTION("""COMPUTED_VALUE"""),"")</f>
        <v/>
      </c>
      <c r="P515" s="74" t="str">
        <f>IFERROR(__xludf.DUMMYFUNCTION("""COMPUTED_VALUE"""),"")</f>
        <v/>
      </c>
    </row>
    <row r="516">
      <c r="A516" s="60"/>
      <c r="B516" s="81"/>
      <c r="E516" s="82"/>
      <c r="G516" s="82"/>
      <c r="I516" s="84"/>
      <c r="K516" s="61"/>
      <c r="N516" s="74" t="str">
        <f>IFERROR(__xludf.DUMMYFUNCTION("""COMPUTED_VALUE"""),"")</f>
        <v/>
      </c>
      <c r="O516" s="74" t="str">
        <f>IFERROR(__xludf.DUMMYFUNCTION("""COMPUTED_VALUE"""),"")</f>
        <v/>
      </c>
      <c r="P516" s="74" t="str">
        <f>IFERROR(__xludf.DUMMYFUNCTION("""COMPUTED_VALUE"""),"")</f>
        <v/>
      </c>
    </row>
    <row r="517">
      <c r="A517" s="60"/>
      <c r="B517" s="81"/>
      <c r="E517" s="82"/>
      <c r="G517" s="82"/>
      <c r="I517" s="84"/>
      <c r="K517" s="61"/>
      <c r="N517" s="74" t="str">
        <f>IFERROR(__xludf.DUMMYFUNCTION("""COMPUTED_VALUE"""),"")</f>
        <v/>
      </c>
      <c r="O517" s="74" t="str">
        <f>IFERROR(__xludf.DUMMYFUNCTION("""COMPUTED_VALUE"""),"")</f>
        <v/>
      </c>
      <c r="P517" s="74" t="str">
        <f>IFERROR(__xludf.DUMMYFUNCTION("""COMPUTED_VALUE"""),"")</f>
        <v/>
      </c>
    </row>
    <row r="518">
      <c r="A518" s="60"/>
      <c r="B518" s="81"/>
      <c r="E518" s="82"/>
      <c r="G518" s="82"/>
      <c r="I518" s="84"/>
      <c r="K518" s="61"/>
      <c r="N518" s="74" t="str">
        <f>IFERROR(__xludf.DUMMYFUNCTION("""COMPUTED_VALUE"""),"")</f>
        <v/>
      </c>
      <c r="O518" s="74" t="str">
        <f>IFERROR(__xludf.DUMMYFUNCTION("""COMPUTED_VALUE"""),"")</f>
        <v/>
      </c>
      <c r="P518" s="74" t="str">
        <f>IFERROR(__xludf.DUMMYFUNCTION("""COMPUTED_VALUE"""),"")</f>
        <v/>
      </c>
    </row>
    <row r="519">
      <c r="A519" s="60"/>
      <c r="B519" s="81"/>
      <c r="E519" s="82"/>
      <c r="G519" s="82"/>
      <c r="I519" s="84"/>
      <c r="K519" s="61"/>
      <c r="N519" s="74" t="str">
        <f>IFERROR(__xludf.DUMMYFUNCTION("""COMPUTED_VALUE"""),"")</f>
        <v/>
      </c>
      <c r="O519" s="74" t="str">
        <f>IFERROR(__xludf.DUMMYFUNCTION("""COMPUTED_VALUE"""),"")</f>
        <v/>
      </c>
      <c r="P519" s="74" t="str">
        <f>IFERROR(__xludf.DUMMYFUNCTION("""COMPUTED_VALUE"""),"")</f>
        <v/>
      </c>
    </row>
    <row r="520">
      <c r="A520" s="60"/>
      <c r="B520" s="81"/>
      <c r="E520" s="82"/>
      <c r="G520" s="82"/>
      <c r="I520" s="84"/>
      <c r="K520" s="61"/>
      <c r="N520" s="74" t="str">
        <f>IFERROR(__xludf.DUMMYFUNCTION("""COMPUTED_VALUE"""),"")</f>
        <v/>
      </c>
      <c r="O520" s="74" t="str">
        <f>IFERROR(__xludf.DUMMYFUNCTION("""COMPUTED_VALUE"""),"")</f>
        <v/>
      </c>
      <c r="P520" s="74" t="str">
        <f>IFERROR(__xludf.DUMMYFUNCTION("""COMPUTED_VALUE"""),"")</f>
        <v/>
      </c>
    </row>
    <row r="521">
      <c r="A521" s="60"/>
      <c r="B521" s="81"/>
      <c r="E521" s="82"/>
      <c r="G521" s="82"/>
      <c r="I521" s="84"/>
      <c r="K521" s="61"/>
      <c r="N521" s="74" t="str">
        <f>IFERROR(__xludf.DUMMYFUNCTION("""COMPUTED_VALUE"""),"")</f>
        <v/>
      </c>
      <c r="O521" s="74" t="str">
        <f>IFERROR(__xludf.DUMMYFUNCTION("""COMPUTED_VALUE"""),"")</f>
        <v/>
      </c>
      <c r="P521" s="74" t="str">
        <f>IFERROR(__xludf.DUMMYFUNCTION("""COMPUTED_VALUE"""),"")</f>
        <v/>
      </c>
    </row>
    <row r="522">
      <c r="A522" s="60"/>
      <c r="B522" s="81"/>
      <c r="E522" s="82"/>
      <c r="G522" s="82"/>
      <c r="I522" s="84"/>
      <c r="K522" s="61"/>
      <c r="N522" s="74" t="str">
        <f>IFERROR(__xludf.DUMMYFUNCTION("""COMPUTED_VALUE"""),"")</f>
        <v/>
      </c>
      <c r="O522" s="74" t="str">
        <f>IFERROR(__xludf.DUMMYFUNCTION("""COMPUTED_VALUE"""),"")</f>
        <v/>
      </c>
      <c r="P522" s="74" t="str">
        <f>IFERROR(__xludf.DUMMYFUNCTION("""COMPUTED_VALUE"""),"")</f>
        <v/>
      </c>
    </row>
    <row r="523">
      <c r="A523" s="60"/>
      <c r="B523" s="81"/>
      <c r="E523" s="82"/>
      <c r="G523" s="82"/>
      <c r="I523" s="84"/>
      <c r="K523" s="61"/>
      <c r="N523" s="74" t="str">
        <f>IFERROR(__xludf.DUMMYFUNCTION("""COMPUTED_VALUE"""),"")</f>
        <v/>
      </c>
      <c r="O523" s="74" t="str">
        <f>IFERROR(__xludf.DUMMYFUNCTION("""COMPUTED_VALUE"""),"")</f>
        <v/>
      </c>
      <c r="P523" s="74" t="str">
        <f>IFERROR(__xludf.DUMMYFUNCTION("""COMPUTED_VALUE"""),"")</f>
        <v/>
      </c>
    </row>
    <row r="524">
      <c r="A524" s="60"/>
      <c r="B524" s="81"/>
      <c r="E524" s="82"/>
      <c r="G524" s="82"/>
      <c r="I524" s="84"/>
      <c r="K524" s="61"/>
      <c r="N524" s="74" t="str">
        <f>IFERROR(__xludf.DUMMYFUNCTION("""COMPUTED_VALUE"""),"")</f>
        <v/>
      </c>
      <c r="O524" s="74" t="str">
        <f>IFERROR(__xludf.DUMMYFUNCTION("""COMPUTED_VALUE"""),"")</f>
        <v/>
      </c>
      <c r="P524" s="74" t="str">
        <f>IFERROR(__xludf.DUMMYFUNCTION("""COMPUTED_VALUE"""),"")</f>
        <v/>
      </c>
    </row>
    <row r="525">
      <c r="A525" s="60"/>
      <c r="B525" s="81"/>
      <c r="E525" s="82"/>
      <c r="G525" s="82"/>
      <c r="I525" s="84"/>
      <c r="K525" s="61"/>
      <c r="N525" s="74" t="str">
        <f>IFERROR(__xludf.DUMMYFUNCTION("""COMPUTED_VALUE"""),"")</f>
        <v/>
      </c>
      <c r="O525" s="74" t="str">
        <f>IFERROR(__xludf.DUMMYFUNCTION("""COMPUTED_VALUE"""),"")</f>
        <v/>
      </c>
      <c r="P525" s="74" t="str">
        <f>IFERROR(__xludf.DUMMYFUNCTION("""COMPUTED_VALUE"""),"")</f>
        <v/>
      </c>
    </row>
    <row r="526">
      <c r="A526" s="60"/>
      <c r="B526" s="81"/>
      <c r="E526" s="82"/>
      <c r="G526" s="82"/>
      <c r="I526" s="84"/>
      <c r="K526" s="61"/>
      <c r="N526" s="74" t="str">
        <f>IFERROR(__xludf.DUMMYFUNCTION("""COMPUTED_VALUE"""),"")</f>
        <v/>
      </c>
      <c r="O526" s="74" t="str">
        <f>IFERROR(__xludf.DUMMYFUNCTION("""COMPUTED_VALUE"""),"")</f>
        <v/>
      </c>
      <c r="P526" s="74" t="str">
        <f>IFERROR(__xludf.DUMMYFUNCTION("""COMPUTED_VALUE"""),"")</f>
        <v/>
      </c>
    </row>
    <row r="527">
      <c r="A527" s="60"/>
      <c r="B527" s="81"/>
      <c r="E527" s="82"/>
      <c r="G527" s="82"/>
      <c r="I527" s="84"/>
      <c r="K527" s="61"/>
      <c r="N527" s="74" t="str">
        <f>IFERROR(__xludf.DUMMYFUNCTION("""COMPUTED_VALUE"""),"")</f>
        <v/>
      </c>
      <c r="O527" s="74" t="str">
        <f>IFERROR(__xludf.DUMMYFUNCTION("""COMPUTED_VALUE"""),"")</f>
        <v/>
      </c>
      <c r="P527" s="74" t="str">
        <f>IFERROR(__xludf.DUMMYFUNCTION("""COMPUTED_VALUE"""),"")</f>
        <v/>
      </c>
    </row>
    <row r="528">
      <c r="A528" s="60"/>
      <c r="B528" s="81"/>
      <c r="E528" s="82"/>
      <c r="G528" s="82"/>
      <c r="I528" s="84"/>
      <c r="K528" s="61"/>
      <c r="N528" s="74" t="str">
        <f>IFERROR(__xludf.DUMMYFUNCTION("""COMPUTED_VALUE"""),"")</f>
        <v/>
      </c>
      <c r="O528" s="74" t="str">
        <f>IFERROR(__xludf.DUMMYFUNCTION("""COMPUTED_VALUE"""),"")</f>
        <v/>
      </c>
      <c r="P528" s="74" t="str">
        <f>IFERROR(__xludf.DUMMYFUNCTION("""COMPUTED_VALUE"""),"")</f>
        <v/>
      </c>
    </row>
    <row r="529">
      <c r="A529" s="60"/>
      <c r="B529" s="81"/>
      <c r="E529" s="82"/>
      <c r="G529" s="82"/>
      <c r="I529" s="84"/>
      <c r="K529" s="61"/>
      <c r="N529" s="74" t="str">
        <f>IFERROR(__xludf.DUMMYFUNCTION("""COMPUTED_VALUE"""),"")</f>
        <v/>
      </c>
      <c r="O529" s="74" t="str">
        <f>IFERROR(__xludf.DUMMYFUNCTION("""COMPUTED_VALUE"""),"")</f>
        <v/>
      </c>
      <c r="P529" s="74" t="str">
        <f>IFERROR(__xludf.DUMMYFUNCTION("""COMPUTED_VALUE"""),"")</f>
        <v/>
      </c>
    </row>
    <row r="530">
      <c r="A530" s="60"/>
      <c r="B530" s="81"/>
      <c r="E530" s="82"/>
      <c r="G530" s="82"/>
      <c r="I530" s="84"/>
      <c r="K530" s="61"/>
      <c r="N530" s="74" t="str">
        <f>IFERROR(__xludf.DUMMYFUNCTION("""COMPUTED_VALUE"""),"")</f>
        <v/>
      </c>
      <c r="O530" s="74" t="str">
        <f>IFERROR(__xludf.DUMMYFUNCTION("""COMPUTED_VALUE"""),"")</f>
        <v/>
      </c>
      <c r="P530" s="74" t="str">
        <f>IFERROR(__xludf.DUMMYFUNCTION("""COMPUTED_VALUE"""),"")</f>
        <v/>
      </c>
    </row>
    <row r="531">
      <c r="A531" s="60"/>
      <c r="B531" s="81"/>
      <c r="E531" s="82"/>
      <c r="G531" s="82"/>
      <c r="I531" s="84"/>
      <c r="K531" s="61"/>
      <c r="N531" s="74" t="str">
        <f>IFERROR(__xludf.DUMMYFUNCTION("""COMPUTED_VALUE"""),"")</f>
        <v/>
      </c>
      <c r="O531" s="74" t="str">
        <f>IFERROR(__xludf.DUMMYFUNCTION("""COMPUTED_VALUE"""),"")</f>
        <v/>
      </c>
      <c r="P531" s="74" t="str">
        <f>IFERROR(__xludf.DUMMYFUNCTION("""COMPUTED_VALUE"""),"")</f>
        <v/>
      </c>
    </row>
    <row r="532">
      <c r="A532" s="60"/>
      <c r="B532" s="81"/>
      <c r="E532" s="82"/>
      <c r="G532" s="82"/>
      <c r="I532" s="84"/>
      <c r="K532" s="61"/>
      <c r="N532" s="74" t="str">
        <f>IFERROR(__xludf.DUMMYFUNCTION("""COMPUTED_VALUE"""),"")</f>
        <v/>
      </c>
      <c r="O532" s="74" t="str">
        <f>IFERROR(__xludf.DUMMYFUNCTION("""COMPUTED_VALUE"""),"")</f>
        <v/>
      </c>
      <c r="P532" s="74" t="str">
        <f>IFERROR(__xludf.DUMMYFUNCTION("""COMPUTED_VALUE"""),"")</f>
        <v/>
      </c>
    </row>
    <row r="533">
      <c r="A533" s="60"/>
      <c r="B533" s="81"/>
      <c r="E533" s="82"/>
      <c r="G533" s="82"/>
      <c r="I533" s="84"/>
      <c r="K533" s="61"/>
      <c r="N533" s="74" t="str">
        <f>IFERROR(__xludf.DUMMYFUNCTION("""COMPUTED_VALUE"""),"")</f>
        <v/>
      </c>
      <c r="O533" s="74" t="str">
        <f>IFERROR(__xludf.DUMMYFUNCTION("""COMPUTED_VALUE"""),"")</f>
        <v/>
      </c>
      <c r="P533" s="74" t="str">
        <f>IFERROR(__xludf.DUMMYFUNCTION("""COMPUTED_VALUE"""),"")</f>
        <v/>
      </c>
    </row>
    <row r="534">
      <c r="A534" s="60"/>
      <c r="B534" s="81"/>
      <c r="E534" s="82"/>
      <c r="G534" s="82"/>
      <c r="I534" s="84"/>
      <c r="K534" s="61"/>
      <c r="N534" s="74" t="str">
        <f>IFERROR(__xludf.DUMMYFUNCTION("""COMPUTED_VALUE"""),"")</f>
        <v/>
      </c>
      <c r="O534" s="74" t="str">
        <f>IFERROR(__xludf.DUMMYFUNCTION("""COMPUTED_VALUE"""),"")</f>
        <v/>
      </c>
      <c r="P534" s="74" t="str">
        <f>IFERROR(__xludf.DUMMYFUNCTION("""COMPUTED_VALUE"""),"")</f>
        <v/>
      </c>
    </row>
    <row r="535">
      <c r="A535" s="60"/>
      <c r="B535" s="81"/>
      <c r="E535" s="82"/>
      <c r="G535" s="82"/>
      <c r="I535" s="84"/>
      <c r="K535" s="61"/>
      <c r="N535" s="74" t="str">
        <f>IFERROR(__xludf.DUMMYFUNCTION("""COMPUTED_VALUE"""),"")</f>
        <v/>
      </c>
      <c r="O535" s="74" t="str">
        <f>IFERROR(__xludf.DUMMYFUNCTION("""COMPUTED_VALUE"""),"")</f>
        <v/>
      </c>
      <c r="P535" s="74" t="str">
        <f>IFERROR(__xludf.DUMMYFUNCTION("""COMPUTED_VALUE"""),"")</f>
        <v/>
      </c>
    </row>
    <row r="536">
      <c r="A536" s="60"/>
      <c r="B536" s="81"/>
      <c r="E536" s="82"/>
      <c r="G536" s="82"/>
      <c r="I536" s="84"/>
      <c r="K536" s="61"/>
      <c r="N536" s="74" t="str">
        <f>IFERROR(__xludf.DUMMYFUNCTION("""COMPUTED_VALUE"""),"")</f>
        <v/>
      </c>
      <c r="O536" s="74" t="str">
        <f>IFERROR(__xludf.DUMMYFUNCTION("""COMPUTED_VALUE"""),"")</f>
        <v/>
      </c>
      <c r="P536" s="74" t="str">
        <f>IFERROR(__xludf.DUMMYFUNCTION("""COMPUTED_VALUE"""),"")</f>
        <v/>
      </c>
    </row>
    <row r="537">
      <c r="A537" s="60"/>
      <c r="B537" s="81"/>
      <c r="E537" s="82"/>
      <c r="G537" s="82"/>
      <c r="I537" s="84"/>
      <c r="K537" s="61"/>
      <c r="N537" s="74" t="str">
        <f>IFERROR(__xludf.DUMMYFUNCTION("""COMPUTED_VALUE"""),"")</f>
        <v/>
      </c>
      <c r="O537" s="74" t="str">
        <f>IFERROR(__xludf.DUMMYFUNCTION("""COMPUTED_VALUE"""),"")</f>
        <v/>
      </c>
      <c r="P537" s="74" t="str">
        <f>IFERROR(__xludf.DUMMYFUNCTION("""COMPUTED_VALUE"""),"")</f>
        <v/>
      </c>
    </row>
    <row r="538">
      <c r="A538" s="60"/>
      <c r="B538" s="81"/>
      <c r="E538" s="82"/>
      <c r="G538" s="82"/>
      <c r="I538" s="84"/>
      <c r="K538" s="61"/>
      <c r="N538" s="74" t="str">
        <f>IFERROR(__xludf.DUMMYFUNCTION("""COMPUTED_VALUE"""),"")</f>
        <v/>
      </c>
      <c r="O538" s="74" t="str">
        <f>IFERROR(__xludf.DUMMYFUNCTION("""COMPUTED_VALUE"""),"")</f>
        <v/>
      </c>
      <c r="P538" s="74" t="str">
        <f>IFERROR(__xludf.DUMMYFUNCTION("""COMPUTED_VALUE"""),"")</f>
        <v/>
      </c>
    </row>
    <row r="539">
      <c r="A539" s="60"/>
      <c r="B539" s="81"/>
      <c r="E539" s="82"/>
      <c r="G539" s="82"/>
      <c r="I539" s="84"/>
      <c r="K539" s="61"/>
      <c r="N539" s="74" t="str">
        <f>IFERROR(__xludf.DUMMYFUNCTION("""COMPUTED_VALUE"""),"")</f>
        <v/>
      </c>
      <c r="O539" s="74" t="str">
        <f>IFERROR(__xludf.DUMMYFUNCTION("""COMPUTED_VALUE"""),"")</f>
        <v/>
      </c>
      <c r="P539" s="74" t="str">
        <f>IFERROR(__xludf.DUMMYFUNCTION("""COMPUTED_VALUE"""),"")</f>
        <v/>
      </c>
    </row>
    <row r="540">
      <c r="A540" s="60"/>
      <c r="B540" s="81"/>
      <c r="E540" s="82"/>
      <c r="G540" s="82"/>
      <c r="I540" s="84"/>
      <c r="K540" s="61"/>
      <c r="N540" s="74" t="str">
        <f>IFERROR(__xludf.DUMMYFUNCTION("""COMPUTED_VALUE"""),"")</f>
        <v/>
      </c>
      <c r="O540" s="74" t="str">
        <f>IFERROR(__xludf.DUMMYFUNCTION("""COMPUTED_VALUE"""),"")</f>
        <v/>
      </c>
      <c r="P540" s="74" t="str">
        <f>IFERROR(__xludf.DUMMYFUNCTION("""COMPUTED_VALUE"""),"")</f>
        <v/>
      </c>
    </row>
    <row r="541">
      <c r="A541" s="60"/>
      <c r="B541" s="81"/>
      <c r="E541" s="82"/>
      <c r="G541" s="82"/>
      <c r="I541" s="84"/>
      <c r="K541" s="61"/>
      <c r="N541" s="74" t="str">
        <f>IFERROR(__xludf.DUMMYFUNCTION("""COMPUTED_VALUE"""),"")</f>
        <v/>
      </c>
      <c r="O541" s="74" t="str">
        <f>IFERROR(__xludf.DUMMYFUNCTION("""COMPUTED_VALUE"""),"")</f>
        <v/>
      </c>
      <c r="P541" s="74" t="str">
        <f>IFERROR(__xludf.DUMMYFUNCTION("""COMPUTED_VALUE"""),"")</f>
        <v/>
      </c>
    </row>
    <row r="542">
      <c r="A542" s="60"/>
      <c r="B542" s="81"/>
      <c r="E542" s="82"/>
      <c r="G542" s="82"/>
      <c r="I542" s="84"/>
      <c r="K542" s="61"/>
      <c r="N542" s="74" t="str">
        <f>IFERROR(__xludf.DUMMYFUNCTION("""COMPUTED_VALUE"""),"")</f>
        <v/>
      </c>
      <c r="O542" s="74" t="str">
        <f>IFERROR(__xludf.DUMMYFUNCTION("""COMPUTED_VALUE"""),"")</f>
        <v/>
      </c>
      <c r="P542" s="74" t="str">
        <f>IFERROR(__xludf.DUMMYFUNCTION("""COMPUTED_VALUE"""),"")</f>
        <v/>
      </c>
    </row>
    <row r="543">
      <c r="A543" s="60"/>
      <c r="B543" s="81"/>
      <c r="E543" s="82"/>
      <c r="G543" s="82"/>
      <c r="I543" s="84"/>
      <c r="K543" s="61"/>
      <c r="N543" s="74" t="str">
        <f>IFERROR(__xludf.DUMMYFUNCTION("""COMPUTED_VALUE"""),"")</f>
        <v/>
      </c>
      <c r="O543" s="74" t="str">
        <f>IFERROR(__xludf.DUMMYFUNCTION("""COMPUTED_VALUE"""),"")</f>
        <v/>
      </c>
      <c r="P543" s="74" t="str">
        <f>IFERROR(__xludf.DUMMYFUNCTION("""COMPUTED_VALUE"""),"")</f>
        <v/>
      </c>
    </row>
    <row r="544">
      <c r="A544" s="60"/>
      <c r="B544" s="81"/>
      <c r="E544" s="82"/>
      <c r="G544" s="82"/>
      <c r="I544" s="84"/>
      <c r="K544" s="61"/>
      <c r="N544" s="74" t="str">
        <f>IFERROR(__xludf.DUMMYFUNCTION("""COMPUTED_VALUE"""),"")</f>
        <v/>
      </c>
      <c r="O544" s="74" t="str">
        <f>IFERROR(__xludf.DUMMYFUNCTION("""COMPUTED_VALUE"""),"")</f>
        <v/>
      </c>
      <c r="P544" s="74" t="str">
        <f>IFERROR(__xludf.DUMMYFUNCTION("""COMPUTED_VALUE"""),"")</f>
        <v/>
      </c>
    </row>
    <row r="545">
      <c r="A545" s="60"/>
      <c r="B545" s="81"/>
      <c r="E545" s="82"/>
      <c r="G545" s="82"/>
      <c r="I545" s="84"/>
      <c r="K545" s="61"/>
      <c r="N545" s="74" t="str">
        <f>IFERROR(__xludf.DUMMYFUNCTION("""COMPUTED_VALUE"""),"")</f>
        <v/>
      </c>
      <c r="O545" s="74" t="str">
        <f>IFERROR(__xludf.DUMMYFUNCTION("""COMPUTED_VALUE"""),"")</f>
        <v/>
      </c>
      <c r="P545" s="74" t="str">
        <f>IFERROR(__xludf.DUMMYFUNCTION("""COMPUTED_VALUE"""),"")</f>
        <v/>
      </c>
    </row>
    <row r="546">
      <c r="A546" s="60"/>
      <c r="B546" s="81"/>
      <c r="E546" s="82"/>
      <c r="G546" s="82"/>
      <c r="I546" s="84"/>
      <c r="K546" s="61"/>
      <c r="N546" s="74" t="str">
        <f>IFERROR(__xludf.DUMMYFUNCTION("""COMPUTED_VALUE"""),"")</f>
        <v/>
      </c>
      <c r="O546" s="74" t="str">
        <f>IFERROR(__xludf.DUMMYFUNCTION("""COMPUTED_VALUE"""),"")</f>
        <v/>
      </c>
      <c r="P546" s="74" t="str">
        <f>IFERROR(__xludf.DUMMYFUNCTION("""COMPUTED_VALUE"""),"")</f>
        <v/>
      </c>
    </row>
    <row r="547">
      <c r="A547" s="60"/>
      <c r="B547" s="81"/>
      <c r="E547" s="82"/>
      <c r="G547" s="82"/>
      <c r="I547" s="84"/>
      <c r="K547" s="61"/>
      <c r="N547" s="74" t="str">
        <f>IFERROR(__xludf.DUMMYFUNCTION("""COMPUTED_VALUE"""),"")</f>
        <v/>
      </c>
      <c r="O547" s="74" t="str">
        <f>IFERROR(__xludf.DUMMYFUNCTION("""COMPUTED_VALUE"""),"")</f>
        <v/>
      </c>
      <c r="P547" s="74" t="str">
        <f>IFERROR(__xludf.DUMMYFUNCTION("""COMPUTED_VALUE"""),"")</f>
        <v/>
      </c>
    </row>
    <row r="548">
      <c r="A548" s="60"/>
      <c r="B548" s="81"/>
      <c r="E548" s="82"/>
      <c r="G548" s="82"/>
      <c r="I548" s="84"/>
      <c r="K548" s="61"/>
      <c r="N548" s="74" t="str">
        <f>IFERROR(__xludf.DUMMYFUNCTION("""COMPUTED_VALUE"""),"")</f>
        <v/>
      </c>
      <c r="O548" s="74" t="str">
        <f>IFERROR(__xludf.DUMMYFUNCTION("""COMPUTED_VALUE"""),"")</f>
        <v/>
      </c>
      <c r="P548" s="74" t="str">
        <f>IFERROR(__xludf.DUMMYFUNCTION("""COMPUTED_VALUE"""),"")</f>
        <v/>
      </c>
    </row>
    <row r="549">
      <c r="A549" s="60"/>
      <c r="B549" s="81"/>
      <c r="E549" s="82"/>
      <c r="G549" s="82"/>
      <c r="I549" s="84"/>
      <c r="K549" s="61"/>
      <c r="N549" s="74" t="str">
        <f>IFERROR(__xludf.DUMMYFUNCTION("""COMPUTED_VALUE"""),"")</f>
        <v/>
      </c>
      <c r="O549" s="74" t="str">
        <f>IFERROR(__xludf.DUMMYFUNCTION("""COMPUTED_VALUE"""),"")</f>
        <v/>
      </c>
      <c r="P549" s="74" t="str">
        <f>IFERROR(__xludf.DUMMYFUNCTION("""COMPUTED_VALUE"""),"")</f>
        <v/>
      </c>
    </row>
    <row r="550">
      <c r="A550" s="60"/>
      <c r="B550" s="81"/>
      <c r="E550" s="82"/>
      <c r="G550" s="82"/>
      <c r="I550" s="84"/>
      <c r="K550" s="61"/>
      <c r="N550" s="74" t="str">
        <f>IFERROR(__xludf.DUMMYFUNCTION("""COMPUTED_VALUE"""),"")</f>
        <v/>
      </c>
      <c r="O550" s="74" t="str">
        <f>IFERROR(__xludf.DUMMYFUNCTION("""COMPUTED_VALUE"""),"")</f>
        <v/>
      </c>
      <c r="P550" s="74" t="str">
        <f>IFERROR(__xludf.DUMMYFUNCTION("""COMPUTED_VALUE"""),"")</f>
        <v/>
      </c>
    </row>
    <row r="551">
      <c r="A551" s="60"/>
      <c r="B551" s="81"/>
      <c r="E551" s="82"/>
      <c r="G551" s="82"/>
      <c r="I551" s="84"/>
      <c r="K551" s="61"/>
      <c r="N551" s="74" t="str">
        <f>IFERROR(__xludf.DUMMYFUNCTION("""COMPUTED_VALUE"""),"")</f>
        <v/>
      </c>
      <c r="O551" s="74" t="str">
        <f>IFERROR(__xludf.DUMMYFUNCTION("""COMPUTED_VALUE"""),"")</f>
        <v/>
      </c>
      <c r="P551" s="74" t="str">
        <f>IFERROR(__xludf.DUMMYFUNCTION("""COMPUTED_VALUE"""),"")</f>
        <v/>
      </c>
    </row>
    <row r="552">
      <c r="A552" s="60"/>
      <c r="B552" s="81"/>
      <c r="E552" s="82"/>
      <c r="G552" s="82"/>
      <c r="I552" s="84"/>
      <c r="K552" s="61"/>
      <c r="N552" s="74" t="str">
        <f>IFERROR(__xludf.DUMMYFUNCTION("""COMPUTED_VALUE"""),"")</f>
        <v/>
      </c>
      <c r="O552" s="74" t="str">
        <f>IFERROR(__xludf.DUMMYFUNCTION("""COMPUTED_VALUE"""),"")</f>
        <v/>
      </c>
      <c r="P552" s="74" t="str">
        <f>IFERROR(__xludf.DUMMYFUNCTION("""COMPUTED_VALUE"""),"")</f>
        <v/>
      </c>
    </row>
    <row r="553">
      <c r="A553" s="60"/>
      <c r="B553" s="81"/>
      <c r="E553" s="82"/>
      <c r="G553" s="82"/>
      <c r="I553" s="84"/>
      <c r="K553" s="61"/>
      <c r="N553" s="74" t="str">
        <f>IFERROR(__xludf.DUMMYFUNCTION("""COMPUTED_VALUE"""),"")</f>
        <v/>
      </c>
      <c r="O553" s="74" t="str">
        <f>IFERROR(__xludf.DUMMYFUNCTION("""COMPUTED_VALUE"""),"")</f>
        <v/>
      </c>
      <c r="P553" s="74" t="str">
        <f>IFERROR(__xludf.DUMMYFUNCTION("""COMPUTED_VALUE"""),"")</f>
        <v/>
      </c>
    </row>
    <row r="554">
      <c r="A554" s="60"/>
      <c r="B554" s="81"/>
      <c r="E554" s="82"/>
      <c r="G554" s="82"/>
      <c r="I554" s="84"/>
      <c r="K554" s="61"/>
      <c r="N554" s="74" t="str">
        <f>IFERROR(__xludf.DUMMYFUNCTION("""COMPUTED_VALUE"""),"")</f>
        <v/>
      </c>
      <c r="O554" s="74" t="str">
        <f>IFERROR(__xludf.DUMMYFUNCTION("""COMPUTED_VALUE"""),"")</f>
        <v/>
      </c>
      <c r="P554" s="74" t="str">
        <f>IFERROR(__xludf.DUMMYFUNCTION("""COMPUTED_VALUE"""),"")</f>
        <v/>
      </c>
    </row>
    <row r="555">
      <c r="A555" s="60"/>
      <c r="B555" s="81"/>
      <c r="E555" s="82"/>
      <c r="G555" s="82"/>
      <c r="I555" s="84"/>
      <c r="K555" s="61"/>
      <c r="N555" s="74" t="str">
        <f>IFERROR(__xludf.DUMMYFUNCTION("""COMPUTED_VALUE"""),"")</f>
        <v/>
      </c>
      <c r="O555" s="74" t="str">
        <f>IFERROR(__xludf.DUMMYFUNCTION("""COMPUTED_VALUE"""),"")</f>
        <v/>
      </c>
      <c r="P555" s="74" t="str">
        <f>IFERROR(__xludf.DUMMYFUNCTION("""COMPUTED_VALUE"""),"")</f>
        <v/>
      </c>
    </row>
    <row r="556">
      <c r="A556" s="60"/>
      <c r="B556" s="81"/>
      <c r="E556" s="82"/>
      <c r="G556" s="82"/>
      <c r="I556" s="84"/>
      <c r="K556" s="61"/>
      <c r="N556" s="74" t="str">
        <f>IFERROR(__xludf.DUMMYFUNCTION("""COMPUTED_VALUE"""),"")</f>
        <v/>
      </c>
      <c r="O556" s="74" t="str">
        <f>IFERROR(__xludf.DUMMYFUNCTION("""COMPUTED_VALUE"""),"")</f>
        <v/>
      </c>
      <c r="P556" s="74" t="str">
        <f>IFERROR(__xludf.DUMMYFUNCTION("""COMPUTED_VALUE"""),"")</f>
        <v/>
      </c>
    </row>
    <row r="557">
      <c r="A557" s="60"/>
      <c r="B557" s="81"/>
      <c r="E557" s="82"/>
      <c r="G557" s="82"/>
      <c r="I557" s="84"/>
      <c r="K557" s="61"/>
      <c r="N557" s="74" t="str">
        <f>IFERROR(__xludf.DUMMYFUNCTION("""COMPUTED_VALUE"""),"")</f>
        <v/>
      </c>
      <c r="O557" s="74" t="str">
        <f>IFERROR(__xludf.DUMMYFUNCTION("""COMPUTED_VALUE"""),"")</f>
        <v/>
      </c>
      <c r="P557" s="74" t="str">
        <f>IFERROR(__xludf.DUMMYFUNCTION("""COMPUTED_VALUE"""),"")</f>
        <v/>
      </c>
    </row>
    <row r="558">
      <c r="A558" s="60"/>
      <c r="B558" s="81"/>
      <c r="E558" s="82"/>
      <c r="G558" s="82"/>
      <c r="I558" s="84"/>
      <c r="K558" s="61"/>
      <c r="N558" s="74" t="str">
        <f>IFERROR(__xludf.DUMMYFUNCTION("""COMPUTED_VALUE"""),"")</f>
        <v/>
      </c>
      <c r="O558" s="74" t="str">
        <f>IFERROR(__xludf.DUMMYFUNCTION("""COMPUTED_VALUE"""),"")</f>
        <v/>
      </c>
      <c r="P558" s="74" t="str">
        <f>IFERROR(__xludf.DUMMYFUNCTION("""COMPUTED_VALUE"""),"")</f>
        <v/>
      </c>
    </row>
    <row r="559">
      <c r="A559" s="60"/>
      <c r="B559" s="81"/>
      <c r="E559" s="82"/>
      <c r="G559" s="82"/>
      <c r="I559" s="84"/>
      <c r="K559" s="61"/>
      <c r="N559" s="74" t="str">
        <f>IFERROR(__xludf.DUMMYFUNCTION("""COMPUTED_VALUE"""),"")</f>
        <v/>
      </c>
      <c r="O559" s="74" t="str">
        <f>IFERROR(__xludf.DUMMYFUNCTION("""COMPUTED_VALUE"""),"")</f>
        <v/>
      </c>
      <c r="P559" s="74" t="str">
        <f>IFERROR(__xludf.DUMMYFUNCTION("""COMPUTED_VALUE"""),"")</f>
        <v/>
      </c>
    </row>
    <row r="560">
      <c r="A560" s="60"/>
      <c r="B560" s="81"/>
      <c r="E560" s="82"/>
      <c r="G560" s="82"/>
      <c r="I560" s="84"/>
      <c r="K560" s="61"/>
      <c r="N560" s="74" t="str">
        <f>IFERROR(__xludf.DUMMYFUNCTION("""COMPUTED_VALUE"""),"")</f>
        <v/>
      </c>
      <c r="O560" s="74" t="str">
        <f>IFERROR(__xludf.DUMMYFUNCTION("""COMPUTED_VALUE"""),"")</f>
        <v/>
      </c>
      <c r="P560" s="74" t="str">
        <f>IFERROR(__xludf.DUMMYFUNCTION("""COMPUTED_VALUE"""),"")</f>
        <v/>
      </c>
    </row>
    <row r="561">
      <c r="A561" s="60"/>
      <c r="B561" s="81"/>
      <c r="E561" s="82"/>
      <c r="G561" s="82"/>
      <c r="I561" s="84"/>
      <c r="K561" s="61"/>
      <c r="N561" s="74" t="str">
        <f>IFERROR(__xludf.DUMMYFUNCTION("""COMPUTED_VALUE"""),"")</f>
        <v/>
      </c>
      <c r="O561" s="74" t="str">
        <f>IFERROR(__xludf.DUMMYFUNCTION("""COMPUTED_VALUE"""),"")</f>
        <v/>
      </c>
      <c r="P561" s="74" t="str">
        <f>IFERROR(__xludf.DUMMYFUNCTION("""COMPUTED_VALUE"""),"")</f>
        <v/>
      </c>
    </row>
    <row r="562">
      <c r="A562" s="60"/>
      <c r="B562" s="81"/>
      <c r="E562" s="82"/>
      <c r="G562" s="82"/>
      <c r="I562" s="84"/>
      <c r="K562" s="61"/>
      <c r="N562" s="74" t="str">
        <f>IFERROR(__xludf.DUMMYFUNCTION("""COMPUTED_VALUE"""),"")</f>
        <v/>
      </c>
      <c r="O562" s="74" t="str">
        <f>IFERROR(__xludf.DUMMYFUNCTION("""COMPUTED_VALUE"""),"")</f>
        <v/>
      </c>
      <c r="P562" s="74" t="str">
        <f>IFERROR(__xludf.DUMMYFUNCTION("""COMPUTED_VALUE"""),"")</f>
        <v/>
      </c>
    </row>
    <row r="563">
      <c r="A563" s="60"/>
      <c r="B563" s="81"/>
      <c r="E563" s="82"/>
      <c r="G563" s="82"/>
      <c r="I563" s="84"/>
      <c r="K563" s="61"/>
      <c r="N563" s="74" t="str">
        <f>IFERROR(__xludf.DUMMYFUNCTION("""COMPUTED_VALUE"""),"")</f>
        <v/>
      </c>
      <c r="O563" s="74" t="str">
        <f>IFERROR(__xludf.DUMMYFUNCTION("""COMPUTED_VALUE"""),"")</f>
        <v/>
      </c>
      <c r="P563" s="74" t="str">
        <f>IFERROR(__xludf.DUMMYFUNCTION("""COMPUTED_VALUE"""),"")</f>
        <v/>
      </c>
    </row>
    <row r="564">
      <c r="A564" s="60"/>
      <c r="B564" s="81"/>
      <c r="E564" s="82"/>
      <c r="G564" s="82"/>
      <c r="I564" s="84"/>
      <c r="K564" s="61"/>
      <c r="N564" s="74" t="str">
        <f>IFERROR(__xludf.DUMMYFUNCTION("""COMPUTED_VALUE"""),"")</f>
        <v/>
      </c>
      <c r="O564" s="74" t="str">
        <f>IFERROR(__xludf.DUMMYFUNCTION("""COMPUTED_VALUE"""),"")</f>
        <v/>
      </c>
      <c r="P564" s="74" t="str">
        <f>IFERROR(__xludf.DUMMYFUNCTION("""COMPUTED_VALUE"""),"")</f>
        <v/>
      </c>
    </row>
    <row r="565">
      <c r="A565" s="60"/>
      <c r="B565" s="81"/>
      <c r="E565" s="82"/>
      <c r="G565" s="82"/>
      <c r="I565" s="84"/>
      <c r="K565" s="61"/>
      <c r="N565" s="74" t="str">
        <f>IFERROR(__xludf.DUMMYFUNCTION("""COMPUTED_VALUE"""),"")</f>
        <v/>
      </c>
      <c r="O565" s="74" t="str">
        <f>IFERROR(__xludf.DUMMYFUNCTION("""COMPUTED_VALUE"""),"")</f>
        <v/>
      </c>
      <c r="P565" s="74" t="str">
        <f>IFERROR(__xludf.DUMMYFUNCTION("""COMPUTED_VALUE"""),"")</f>
        <v/>
      </c>
    </row>
    <row r="566">
      <c r="A566" s="60"/>
      <c r="B566" s="81"/>
      <c r="E566" s="82"/>
      <c r="G566" s="82"/>
      <c r="I566" s="84"/>
      <c r="K566" s="61"/>
      <c r="N566" s="74" t="str">
        <f>IFERROR(__xludf.DUMMYFUNCTION("""COMPUTED_VALUE"""),"")</f>
        <v/>
      </c>
      <c r="O566" s="74" t="str">
        <f>IFERROR(__xludf.DUMMYFUNCTION("""COMPUTED_VALUE"""),"")</f>
        <v/>
      </c>
      <c r="P566" s="74" t="str">
        <f>IFERROR(__xludf.DUMMYFUNCTION("""COMPUTED_VALUE"""),"")</f>
        <v/>
      </c>
    </row>
    <row r="567">
      <c r="A567" s="60"/>
      <c r="B567" s="81"/>
      <c r="E567" s="82"/>
      <c r="G567" s="82"/>
      <c r="I567" s="84"/>
      <c r="K567" s="61"/>
      <c r="N567" s="74" t="str">
        <f>IFERROR(__xludf.DUMMYFUNCTION("""COMPUTED_VALUE"""),"")</f>
        <v/>
      </c>
      <c r="O567" s="74" t="str">
        <f>IFERROR(__xludf.DUMMYFUNCTION("""COMPUTED_VALUE"""),"")</f>
        <v/>
      </c>
      <c r="P567" s="74" t="str">
        <f>IFERROR(__xludf.DUMMYFUNCTION("""COMPUTED_VALUE"""),"")</f>
        <v/>
      </c>
    </row>
    <row r="568">
      <c r="A568" s="60"/>
      <c r="B568" s="81"/>
      <c r="E568" s="82"/>
      <c r="G568" s="82"/>
      <c r="I568" s="84"/>
      <c r="K568" s="61"/>
      <c r="N568" s="74" t="str">
        <f>IFERROR(__xludf.DUMMYFUNCTION("""COMPUTED_VALUE"""),"")</f>
        <v/>
      </c>
      <c r="O568" s="74" t="str">
        <f>IFERROR(__xludf.DUMMYFUNCTION("""COMPUTED_VALUE"""),"")</f>
        <v/>
      </c>
      <c r="P568" s="74" t="str">
        <f>IFERROR(__xludf.DUMMYFUNCTION("""COMPUTED_VALUE"""),"")</f>
        <v/>
      </c>
    </row>
    <row r="569">
      <c r="A569" s="60"/>
      <c r="B569" s="81"/>
      <c r="E569" s="82"/>
      <c r="G569" s="82"/>
      <c r="I569" s="84"/>
      <c r="K569" s="61"/>
      <c r="N569" s="74" t="str">
        <f>IFERROR(__xludf.DUMMYFUNCTION("""COMPUTED_VALUE"""),"")</f>
        <v/>
      </c>
      <c r="O569" s="74" t="str">
        <f>IFERROR(__xludf.DUMMYFUNCTION("""COMPUTED_VALUE"""),"")</f>
        <v/>
      </c>
      <c r="P569" s="74" t="str">
        <f>IFERROR(__xludf.DUMMYFUNCTION("""COMPUTED_VALUE"""),"")</f>
        <v/>
      </c>
    </row>
    <row r="570">
      <c r="A570" s="60"/>
      <c r="B570" s="81"/>
      <c r="E570" s="82"/>
      <c r="G570" s="82"/>
      <c r="I570" s="84"/>
      <c r="K570" s="61"/>
      <c r="N570" s="74" t="str">
        <f>IFERROR(__xludf.DUMMYFUNCTION("""COMPUTED_VALUE"""),"")</f>
        <v/>
      </c>
      <c r="O570" s="74" t="str">
        <f>IFERROR(__xludf.DUMMYFUNCTION("""COMPUTED_VALUE"""),"")</f>
        <v/>
      </c>
      <c r="P570" s="74" t="str">
        <f>IFERROR(__xludf.DUMMYFUNCTION("""COMPUTED_VALUE"""),"")</f>
        <v/>
      </c>
    </row>
    <row r="571">
      <c r="A571" s="60"/>
      <c r="B571" s="81"/>
      <c r="E571" s="82"/>
      <c r="G571" s="82"/>
      <c r="I571" s="84"/>
      <c r="K571" s="61"/>
      <c r="N571" s="74" t="str">
        <f>IFERROR(__xludf.DUMMYFUNCTION("""COMPUTED_VALUE"""),"")</f>
        <v/>
      </c>
      <c r="O571" s="74" t="str">
        <f>IFERROR(__xludf.DUMMYFUNCTION("""COMPUTED_VALUE"""),"")</f>
        <v/>
      </c>
      <c r="P571" s="74" t="str">
        <f>IFERROR(__xludf.DUMMYFUNCTION("""COMPUTED_VALUE"""),"")</f>
        <v/>
      </c>
    </row>
    <row r="572">
      <c r="A572" s="60"/>
      <c r="B572" s="81"/>
      <c r="E572" s="82"/>
      <c r="G572" s="82"/>
      <c r="I572" s="84"/>
      <c r="K572" s="61"/>
      <c r="N572" s="74" t="str">
        <f>IFERROR(__xludf.DUMMYFUNCTION("""COMPUTED_VALUE"""),"")</f>
        <v/>
      </c>
      <c r="O572" s="74" t="str">
        <f>IFERROR(__xludf.DUMMYFUNCTION("""COMPUTED_VALUE"""),"")</f>
        <v/>
      </c>
      <c r="P572" s="74" t="str">
        <f>IFERROR(__xludf.DUMMYFUNCTION("""COMPUTED_VALUE"""),"")</f>
        <v/>
      </c>
    </row>
    <row r="573">
      <c r="A573" s="60"/>
      <c r="B573" s="81"/>
      <c r="E573" s="82"/>
      <c r="G573" s="82"/>
      <c r="I573" s="84"/>
      <c r="K573" s="61"/>
      <c r="N573" s="74" t="str">
        <f>IFERROR(__xludf.DUMMYFUNCTION("""COMPUTED_VALUE"""),"")</f>
        <v/>
      </c>
      <c r="O573" s="74" t="str">
        <f>IFERROR(__xludf.DUMMYFUNCTION("""COMPUTED_VALUE"""),"")</f>
        <v/>
      </c>
      <c r="P573" s="74" t="str">
        <f>IFERROR(__xludf.DUMMYFUNCTION("""COMPUTED_VALUE"""),"")</f>
        <v/>
      </c>
    </row>
    <row r="574">
      <c r="A574" s="60"/>
      <c r="B574" s="81"/>
      <c r="E574" s="82"/>
      <c r="G574" s="82"/>
      <c r="I574" s="84"/>
      <c r="K574" s="61"/>
      <c r="N574" s="74" t="str">
        <f>IFERROR(__xludf.DUMMYFUNCTION("""COMPUTED_VALUE"""),"")</f>
        <v/>
      </c>
      <c r="O574" s="74" t="str">
        <f>IFERROR(__xludf.DUMMYFUNCTION("""COMPUTED_VALUE"""),"")</f>
        <v/>
      </c>
      <c r="P574" s="74" t="str">
        <f>IFERROR(__xludf.DUMMYFUNCTION("""COMPUTED_VALUE"""),"")</f>
        <v/>
      </c>
    </row>
    <row r="575">
      <c r="A575" s="60"/>
      <c r="B575" s="81"/>
      <c r="E575" s="82"/>
      <c r="G575" s="82"/>
      <c r="I575" s="84"/>
      <c r="K575" s="61"/>
      <c r="N575" s="74" t="str">
        <f>IFERROR(__xludf.DUMMYFUNCTION("""COMPUTED_VALUE"""),"")</f>
        <v/>
      </c>
      <c r="O575" s="74" t="str">
        <f>IFERROR(__xludf.DUMMYFUNCTION("""COMPUTED_VALUE"""),"")</f>
        <v/>
      </c>
      <c r="P575" s="74" t="str">
        <f>IFERROR(__xludf.DUMMYFUNCTION("""COMPUTED_VALUE"""),"")</f>
        <v/>
      </c>
    </row>
    <row r="576">
      <c r="A576" s="60"/>
      <c r="B576" s="81"/>
      <c r="E576" s="82"/>
      <c r="G576" s="82"/>
      <c r="I576" s="84"/>
      <c r="K576" s="61"/>
      <c r="N576" s="74" t="str">
        <f>IFERROR(__xludf.DUMMYFUNCTION("""COMPUTED_VALUE"""),"")</f>
        <v/>
      </c>
      <c r="O576" s="74" t="str">
        <f>IFERROR(__xludf.DUMMYFUNCTION("""COMPUTED_VALUE"""),"")</f>
        <v/>
      </c>
      <c r="P576" s="74" t="str">
        <f>IFERROR(__xludf.DUMMYFUNCTION("""COMPUTED_VALUE"""),"")</f>
        <v/>
      </c>
    </row>
    <row r="577">
      <c r="A577" s="60"/>
      <c r="B577" s="81"/>
      <c r="E577" s="82"/>
      <c r="G577" s="82"/>
      <c r="I577" s="84"/>
      <c r="K577" s="61"/>
      <c r="N577" s="74" t="str">
        <f>IFERROR(__xludf.DUMMYFUNCTION("""COMPUTED_VALUE"""),"")</f>
        <v/>
      </c>
      <c r="O577" s="74" t="str">
        <f>IFERROR(__xludf.DUMMYFUNCTION("""COMPUTED_VALUE"""),"")</f>
        <v/>
      </c>
      <c r="P577" s="74" t="str">
        <f>IFERROR(__xludf.DUMMYFUNCTION("""COMPUTED_VALUE"""),"")</f>
        <v/>
      </c>
    </row>
    <row r="578">
      <c r="A578" s="60"/>
      <c r="B578" s="81"/>
      <c r="E578" s="82"/>
      <c r="G578" s="82"/>
      <c r="I578" s="84"/>
      <c r="K578" s="61"/>
      <c r="N578" s="74" t="str">
        <f>IFERROR(__xludf.DUMMYFUNCTION("""COMPUTED_VALUE"""),"")</f>
        <v/>
      </c>
      <c r="O578" s="74" t="str">
        <f>IFERROR(__xludf.DUMMYFUNCTION("""COMPUTED_VALUE"""),"")</f>
        <v/>
      </c>
      <c r="P578" s="74" t="str">
        <f>IFERROR(__xludf.DUMMYFUNCTION("""COMPUTED_VALUE"""),"")</f>
        <v/>
      </c>
    </row>
    <row r="579">
      <c r="A579" s="60"/>
      <c r="B579" s="81"/>
      <c r="E579" s="82"/>
      <c r="G579" s="82"/>
      <c r="I579" s="84"/>
      <c r="K579" s="61"/>
      <c r="N579" s="74" t="str">
        <f>IFERROR(__xludf.DUMMYFUNCTION("""COMPUTED_VALUE"""),"")</f>
        <v/>
      </c>
      <c r="O579" s="74" t="str">
        <f>IFERROR(__xludf.DUMMYFUNCTION("""COMPUTED_VALUE"""),"")</f>
        <v/>
      </c>
      <c r="P579" s="74" t="str">
        <f>IFERROR(__xludf.DUMMYFUNCTION("""COMPUTED_VALUE"""),"")</f>
        <v/>
      </c>
    </row>
    <row r="580">
      <c r="A580" s="60"/>
      <c r="B580" s="81"/>
      <c r="E580" s="82"/>
      <c r="G580" s="82"/>
      <c r="I580" s="84"/>
      <c r="K580" s="61"/>
      <c r="N580" s="74" t="str">
        <f>IFERROR(__xludf.DUMMYFUNCTION("""COMPUTED_VALUE"""),"")</f>
        <v/>
      </c>
      <c r="O580" s="74" t="str">
        <f>IFERROR(__xludf.DUMMYFUNCTION("""COMPUTED_VALUE"""),"")</f>
        <v/>
      </c>
      <c r="P580" s="74" t="str">
        <f>IFERROR(__xludf.DUMMYFUNCTION("""COMPUTED_VALUE"""),"")</f>
        <v/>
      </c>
    </row>
    <row r="581">
      <c r="A581" s="60"/>
      <c r="B581" s="81"/>
      <c r="E581" s="82"/>
      <c r="G581" s="82"/>
      <c r="I581" s="84"/>
      <c r="K581" s="61"/>
      <c r="N581" s="74" t="str">
        <f>IFERROR(__xludf.DUMMYFUNCTION("""COMPUTED_VALUE"""),"")</f>
        <v/>
      </c>
      <c r="O581" s="74" t="str">
        <f>IFERROR(__xludf.DUMMYFUNCTION("""COMPUTED_VALUE"""),"")</f>
        <v/>
      </c>
      <c r="P581" s="74" t="str">
        <f>IFERROR(__xludf.DUMMYFUNCTION("""COMPUTED_VALUE"""),"")</f>
        <v/>
      </c>
    </row>
    <row r="582">
      <c r="A582" s="60"/>
      <c r="B582" s="81"/>
      <c r="E582" s="82"/>
      <c r="G582" s="82"/>
      <c r="I582" s="84"/>
      <c r="K582" s="61"/>
      <c r="N582" s="74" t="str">
        <f>IFERROR(__xludf.DUMMYFUNCTION("""COMPUTED_VALUE"""),"")</f>
        <v/>
      </c>
      <c r="O582" s="74" t="str">
        <f>IFERROR(__xludf.DUMMYFUNCTION("""COMPUTED_VALUE"""),"")</f>
        <v/>
      </c>
      <c r="P582" s="74" t="str">
        <f>IFERROR(__xludf.DUMMYFUNCTION("""COMPUTED_VALUE"""),"")</f>
        <v/>
      </c>
    </row>
    <row r="583">
      <c r="A583" s="60"/>
      <c r="B583" s="81"/>
      <c r="E583" s="82"/>
      <c r="G583" s="82"/>
      <c r="I583" s="84"/>
      <c r="K583" s="61"/>
      <c r="N583" s="74" t="str">
        <f>IFERROR(__xludf.DUMMYFUNCTION("""COMPUTED_VALUE"""),"")</f>
        <v/>
      </c>
      <c r="O583" s="74" t="str">
        <f>IFERROR(__xludf.DUMMYFUNCTION("""COMPUTED_VALUE"""),"")</f>
        <v/>
      </c>
      <c r="P583" s="74" t="str">
        <f>IFERROR(__xludf.DUMMYFUNCTION("""COMPUTED_VALUE"""),"")</f>
        <v/>
      </c>
    </row>
    <row r="584">
      <c r="A584" s="60"/>
      <c r="B584" s="81"/>
      <c r="E584" s="82"/>
      <c r="G584" s="82"/>
      <c r="I584" s="84"/>
      <c r="K584" s="61"/>
      <c r="N584" s="74" t="str">
        <f>IFERROR(__xludf.DUMMYFUNCTION("""COMPUTED_VALUE"""),"")</f>
        <v/>
      </c>
      <c r="O584" s="74" t="str">
        <f>IFERROR(__xludf.DUMMYFUNCTION("""COMPUTED_VALUE"""),"")</f>
        <v/>
      </c>
      <c r="P584" s="74" t="str">
        <f>IFERROR(__xludf.DUMMYFUNCTION("""COMPUTED_VALUE"""),"")</f>
        <v/>
      </c>
    </row>
    <row r="585">
      <c r="A585" s="60"/>
      <c r="B585" s="81"/>
      <c r="E585" s="82"/>
      <c r="G585" s="82"/>
      <c r="I585" s="84"/>
      <c r="K585" s="61"/>
      <c r="N585" s="74" t="str">
        <f>IFERROR(__xludf.DUMMYFUNCTION("""COMPUTED_VALUE"""),"")</f>
        <v/>
      </c>
      <c r="O585" s="74" t="str">
        <f>IFERROR(__xludf.DUMMYFUNCTION("""COMPUTED_VALUE"""),"")</f>
        <v/>
      </c>
      <c r="P585" s="74" t="str">
        <f>IFERROR(__xludf.DUMMYFUNCTION("""COMPUTED_VALUE"""),"")</f>
        <v/>
      </c>
    </row>
    <row r="586">
      <c r="A586" s="60"/>
      <c r="B586" s="81"/>
      <c r="E586" s="82"/>
      <c r="G586" s="82"/>
      <c r="I586" s="84"/>
      <c r="K586" s="61"/>
      <c r="N586" s="74" t="str">
        <f>IFERROR(__xludf.DUMMYFUNCTION("""COMPUTED_VALUE"""),"")</f>
        <v/>
      </c>
      <c r="O586" s="74" t="str">
        <f>IFERROR(__xludf.DUMMYFUNCTION("""COMPUTED_VALUE"""),"")</f>
        <v/>
      </c>
      <c r="P586" s="74" t="str">
        <f>IFERROR(__xludf.DUMMYFUNCTION("""COMPUTED_VALUE"""),"")</f>
        <v/>
      </c>
    </row>
    <row r="587">
      <c r="A587" s="60"/>
      <c r="B587" s="81"/>
      <c r="E587" s="82"/>
      <c r="G587" s="82"/>
      <c r="I587" s="84"/>
      <c r="K587" s="61"/>
      <c r="N587" s="74" t="str">
        <f>IFERROR(__xludf.DUMMYFUNCTION("""COMPUTED_VALUE"""),"")</f>
        <v/>
      </c>
      <c r="O587" s="74" t="str">
        <f>IFERROR(__xludf.DUMMYFUNCTION("""COMPUTED_VALUE"""),"")</f>
        <v/>
      </c>
      <c r="P587" s="74" t="str">
        <f>IFERROR(__xludf.DUMMYFUNCTION("""COMPUTED_VALUE"""),"")</f>
        <v/>
      </c>
    </row>
    <row r="588">
      <c r="A588" s="60"/>
      <c r="B588" s="81"/>
      <c r="E588" s="82"/>
      <c r="G588" s="82"/>
      <c r="I588" s="84"/>
      <c r="K588" s="61"/>
      <c r="N588" s="74" t="str">
        <f>IFERROR(__xludf.DUMMYFUNCTION("""COMPUTED_VALUE"""),"")</f>
        <v/>
      </c>
      <c r="O588" s="74" t="str">
        <f>IFERROR(__xludf.DUMMYFUNCTION("""COMPUTED_VALUE"""),"")</f>
        <v/>
      </c>
      <c r="P588" s="74" t="str">
        <f>IFERROR(__xludf.DUMMYFUNCTION("""COMPUTED_VALUE"""),"")</f>
        <v/>
      </c>
    </row>
    <row r="589">
      <c r="A589" s="60"/>
      <c r="B589" s="81"/>
      <c r="E589" s="82"/>
      <c r="G589" s="82"/>
      <c r="I589" s="84"/>
      <c r="K589" s="61"/>
      <c r="N589" s="74" t="str">
        <f>IFERROR(__xludf.DUMMYFUNCTION("""COMPUTED_VALUE"""),"")</f>
        <v/>
      </c>
      <c r="O589" s="74" t="str">
        <f>IFERROR(__xludf.DUMMYFUNCTION("""COMPUTED_VALUE"""),"")</f>
        <v/>
      </c>
      <c r="P589" s="74" t="str">
        <f>IFERROR(__xludf.DUMMYFUNCTION("""COMPUTED_VALUE"""),"")</f>
        <v/>
      </c>
    </row>
    <row r="590">
      <c r="A590" s="60"/>
      <c r="B590" s="81"/>
      <c r="E590" s="82"/>
      <c r="G590" s="82"/>
      <c r="I590" s="84"/>
      <c r="K590" s="61"/>
      <c r="N590" s="74" t="str">
        <f>IFERROR(__xludf.DUMMYFUNCTION("""COMPUTED_VALUE"""),"")</f>
        <v/>
      </c>
      <c r="O590" s="74" t="str">
        <f>IFERROR(__xludf.DUMMYFUNCTION("""COMPUTED_VALUE"""),"")</f>
        <v/>
      </c>
      <c r="P590" s="74" t="str">
        <f>IFERROR(__xludf.DUMMYFUNCTION("""COMPUTED_VALUE"""),"")</f>
        <v/>
      </c>
    </row>
    <row r="591">
      <c r="A591" s="60"/>
      <c r="B591" s="81"/>
      <c r="E591" s="82"/>
      <c r="G591" s="82"/>
      <c r="I591" s="84"/>
      <c r="K591" s="61"/>
      <c r="N591" s="74" t="str">
        <f>IFERROR(__xludf.DUMMYFUNCTION("""COMPUTED_VALUE"""),"")</f>
        <v/>
      </c>
      <c r="O591" s="74" t="str">
        <f>IFERROR(__xludf.DUMMYFUNCTION("""COMPUTED_VALUE"""),"")</f>
        <v/>
      </c>
      <c r="P591" s="74" t="str">
        <f>IFERROR(__xludf.DUMMYFUNCTION("""COMPUTED_VALUE"""),"")</f>
        <v/>
      </c>
    </row>
    <row r="592">
      <c r="A592" s="60"/>
      <c r="B592" s="81"/>
      <c r="E592" s="82"/>
      <c r="G592" s="82"/>
      <c r="I592" s="84"/>
      <c r="K592" s="61"/>
      <c r="N592" s="74" t="str">
        <f>IFERROR(__xludf.DUMMYFUNCTION("""COMPUTED_VALUE"""),"")</f>
        <v/>
      </c>
      <c r="O592" s="74" t="str">
        <f>IFERROR(__xludf.DUMMYFUNCTION("""COMPUTED_VALUE"""),"")</f>
        <v/>
      </c>
      <c r="P592" s="74" t="str">
        <f>IFERROR(__xludf.DUMMYFUNCTION("""COMPUTED_VALUE"""),"")</f>
        <v/>
      </c>
    </row>
    <row r="593">
      <c r="A593" s="60"/>
      <c r="B593" s="81"/>
      <c r="E593" s="82"/>
      <c r="G593" s="82"/>
      <c r="I593" s="84"/>
      <c r="K593" s="61"/>
      <c r="N593" s="74" t="str">
        <f>IFERROR(__xludf.DUMMYFUNCTION("""COMPUTED_VALUE"""),"")</f>
        <v/>
      </c>
      <c r="O593" s="74" t="str">
        <f>IFERROR(__xludf.DUMMYFUNCTION("""COMPUTED_VALUE"""),"")</f>
        <v/>
      </c>
      <c r="P593" s="74" t="str">
        <f>IFERROR(__xludf.DUMMYFUNCTION("""COMPUTED_VALUE"""),"")</f>
        <v/>
      </c>
    </row>
    <row r="594">
      <c r="A594" s="60"/>
      <c r="B594" s="81"/>
      <c r="E594" s="82"/>
      <c r="G594" s="82"/>
      <c r="I594" s="84"/>
      <c r="K594" s="61"/>
      <c r="N594" s="74" t="str">
        <f>IFERROR(__xludf.DUMMYFUNCTION("""COMPUTED_VALUE"""),"")</f>
        <v/>
      </c>
      <c r="O594" s="74" t="str">
        <f>IFERROR(__xludf.DUMMYFUNCTION("""COMPUTED_VALUE"""),"")</f>
        <v/>
      </c>
      <c r="P594" s="74" t="str">
        <f>IFERROR(__xludf.DUMMYFUNCTION("""COMPUTED_VALUE"""),"")</f>
        <v/>
      </c>
    </row>
    <row r="595">
      <c r="A595" s="60"/>
      <c r="B595" s="81"/>
      <c r="E595" s="82"/>
      <c r="G595" s="82"/>
      <c r="I595" s="84"/>
      <c r="K595" s="61"/>
      <c r="N595" s="74" t="str">
        <f>IFERROR(__xludf.DUMMYFUNCTION("""COMPUTED_VALUE"""),"")</f>
        <v/>
      </c>
      <c r="O595" s="74" t="str">
        <f>IFERROR(__xludf.DUMMYFUNCTION("""COMPUTED_VALUE"""),"")</f>
        <v/>
      </c>
      <c r="P595" s="74" t="str">
        <f>IFERROR(__xludf.DUMMYFUNCTION("""COMPUTED_VALUE"""),"")</f>
        <v/>
      </c>
    </row>
    <row r="596">
      <c r="A596" s="60"/>
      <c r="B596" s="81"/>
      <c r="E596" s="82"/>
      <c r="G596" s="82"/>
      <c r="I596" s="84"/>
      <c r="K596" s="61"/>
      <c r="N596" s="74" t="str">
        <f>IFERROR(__xludf.DUMMYFUNCTION("""COMPUTED_VALUE"""),"")</f>
        <v/>
      </c>
      <c r="O596" s="74" t="str">
        <f>IFERROR(__xludf.DUMMYFUNCTION("""COMPUTED_VALUE"""),"")</f>
        <v/>
      </c>
      <c r="P596" s="74" t="str">
        <f>IFERROR(__xludf.DUMMYFUNCTION("""COMPUTED_VALUE"""),"")</f>
        <v/>
      </c>
    </row>
    <row r="597">
      <c r="A597" s="60"/>
      <c r="B597" s="81"/>
      <c r="E597" s="82"/>
      <c r="G597" s="82"/>
      <c r="I597" s="84"/>
      <c r="K597" s="61"/>
      <c r="N597" s="74" t="str">
        <f>IFERROR(__xludf.DUMMYFUNCTION("""COMPUTED_VALUE"""),"")</f>
        <v/>
      </c>
      <c r="O597" s="74" t="str">
        <f>IFERROR(__xludf.DUMMYFUNCTION("""COMPUTED_VALUE"""),"")</f>
        <v/>
      </c>
      <c r="P597" s="74" t="str">
        <f>IFERROR(__xludf.DUMMYFUNCTION("""COMPUTED_VALUE"""),"")</f>
        <v/>
      </c>
    </row>
    <row r="598">
      <c r="A598" s="60"/>
      <c r="B598" s="81"/>
      <c r="E598" s="82"/>
      <c r="G598" s="82"/>
      <c r="I598" s="84"/>
      <c r="K598" s="61"/>
      <c r="N598" s="74" t="str">
        <f>IFERROR(__xludf.DUMMYFUNCTION("""COMPUTED_VALUE"""),"")</f>
        <v/>
      </c>
      <c r="O598" s="74" t="str">
        <f>IFERROR(__xludf.DUMMYFUNCTION("""COMPUTED_VALUE"""),"")</f>
        <v/>
      </c>
      <c r="P598" s="74" t="str">
        <f>IFERROR(__xludf.DUMMYFUNCTION("""COMPUTED_VALUE"""),"")</f>
        <v/>
      </c>
    </row>
    <row r="599">
      <c r="A599" s="60"/>
      <c r="B599" s="81"/>
      <c r="E599" s="82"/>
      <c r="G599" s="82"/>
      <c r="I599" s="84"/>
      <c r="K599" s="61"/>
      <c r="N599" s="74" t="str">
        <f>IFERROR(__xludf.DUMMYFUNCTION("""COMPUTED_VALUE"""),"")</f>
        <v/>
      </c>
      <c r="O599" s="74" t="str">
        <f>IFERROR(__xludf.DUMMYFUNCTION("""COMPUTED_VALUE"""),"")</f>
        <v/>
      </c>
      <c r="P599" s="74" t="str">
        <f>IFERROR(__xludf.DUMMYFUNCTION("""COMPUTED_VALUE"""),"")</f>
        <v/>
      </c>
    </row>
    <row r="600">
      <c r="A600" s="60"/>
      <c r="B600" s="81"/>
      <c r="E600" s="82"/>
      <c r="G600" s="82"/>
      <c r="I600" s="84"/>
      <c r="K600" s="61"/>
      <c r="N600" s="74" t="str">
        <f>IFERROR(__xludf.DUMMYFUNCTION("""COMPUTED_VALUE"""),"")</f>
        <v/>
      </c>
      <c r="O600" s="74" t="str">
        <f>IFERROR(__xludf.DUMMYFUNCTION("""COMPUTED_VALUE"""),"")</f>
        <v/>
      </c>
      <c r="P600" s="74" t="str">
        <f>IFERROR(__xludf.DUMMYFUNCTION("""COMPUTED_VALUE"""),"")</f>
        <v/>
      </c>
    </row>
    <row r="601">
      <c r="A601" s="60"/>
      <c r="B601" s="81"/>
      <c r="E601" s="82"/>
      <c r="G601" s="82"/>
      <c r="I601" s="84"/>
      <c r="K601" s="61"/>
      <c r="N601" s="74" t="str">
        <f>IFERROR(__xludf.DUMMYFUNCTION("""COMPUTED_VALUE"""),"")</f>
        <v/>
      </c>
      <c r="O601" s="74" t="str">
        <f>IFERROR(__xludf.DUMMYFUNCTION("""COMPUTED_VALUE"""),"")</f>
        <v/>
      </c>
      <c r="P601" s="74" t="str">
        <f>IFERROR(__xludf.DUMMYFUNCTION("""COMPUTED_VALUE"""),"")</f>
        <v/>
      </c>
    </row>
    <row r="602">
      <c r="A602" s="60"/>
      <c r="B602" s="81"/>
      <c r="E602" s="82"/>
      <c r="G602" s="82"/>
      <c r="I602" s="84"/>
      <c r="K602" s="61"/>
      <c r="N602" s="74" t="str">
        <f>IFERROR(__xludf.DUMMYFUNCTION("""COMPUTED_VALUE"""),"")</f>
        <v/>
      </c>
      <c r="O602" s="74" t="str">
        <f>IFERROR(__xludf.DUMMYFUNCTION("""COMPUTED_VALUE"""),"")</f>
        <v/>
      </c>
      <c r="P602" s="74" t="str">
        <f>IFERROR(__xludf.DUMMYFUNCTION("""COMPUTED_VALUE"""),"")</f>
        <v/>
      </c>
    </row>
    <row r="603">
      <c r="A603" s="60"/>
      <c r="B603" s="81"/>
      <c r="E603" s="82"/>
      <c r="G603" s="82"/>
      <c r="I603" s="84"/>
      <c r="K603" s="61"/>
      <c r="N603" s="74" t="str">
        <f>IFERROR(__xludf.DUMMYFUNCTION("""COMPUTED_VALUE"""),"")</f>
        <v/>
      </c>
      <c r="O603" s="74" t="str">
        <f>IFERROR(__xludf.DUMMYFUNCTION("""COMPUTED_VALUE"""),"")</f>
        <v/>
      </c>
      <c r="P603" s="74" t="str">
        <f>IFERROR(__xludf.DUMMYFUNCTION("""COMPUTED_VALUE"""),"")</f>
        <v/>
      </c>
    </row>
    <row r="604">
      <c r="A604" s="60"/>
      <c r="B604" s="81"/>
      <c r="E604" s="82"/>
      <c r="G604" s="82"/>
      <c r="I604" s="84"/>
      <c r="K604" s="61"/>
      <c r="N604" s="74" t="str">
        <f>IFERROR(__xludf.DUMMYFUNCTION("""COMPUTED_VALUE"""),"")</f>
        <v/>
      </c>
      <c r="O604" s="74" t="str">
        <f>IFERROR(__xludf.DUMMYFUNCTION("""COMPUTED_VALUE"""),"")</f>
        <v/>
      </c>
      <c r="P604" s="74" t="str">
        <f>IFERROR(__xludf.DUMMYFUNCTION("""COMPUTED_VALUE"""),"")</f>
        <v/>
      </c>
    </row>
    <row r="605">
      <c r="A605" s="60"/>
      <c r="B605" s="81"/>
      <c r="E605" s="82"/>
      <c r="G605" s="82"/>
      <c r="I605" s="84"/>
      <c r="K605" s="61"/>
      <c r="N605" s="74" t="str">
        <f>IFERROR(__xludf.DUMMYFUNCTION("""COMPUTED_VALUE"""),"")</f>
        <v/>
      </c>
      <c r="O605" s="74" t="str">
        <f>IFERROR(__xludf.DUMMYFUNCTION("""COMPUTED_VALUE"""),"")</f>
        <v/>
      </c>
      <c r="P605" s="74" t="str">
        <f>IFERROR(__xludf.DUMMYFUNCTION("""COMPUTED_VALUE"""),"")</f>
        <v/>
      </c>
    </row>
    <row r="606">
      <c r="A606" s="60"/>
      <c r="B606" s="81"/>
      <c r="E606" s="82"/>
      <c r="G606" s="82"/>
      <c r="I606" s="84"/>
      <c r="K606" s="61"/>
      <c r="N606" s="74" t="str">
        <f>IFERROR(__xludf.DUMMYFUNCTION("""COMPUTED_VALUE"""),"")</f>
        <v/>
      </c>
      <c r="O606" s="74" t="str">
        <f>IFERROR(__xludf.DUMMYFUNCTION("""COMPUTED_VALUE"""),"")</f>
        <v/>
      </c>
      <c r="P606" s="74" t="str">
        <f>IFERROR(__xludf.DUMMYFUNCTION("""COMPUTED_VALUE"""),"")</f>
        <v/>
      </c>
    </row>
    <row r="607">
      <c r="A607" s="60"/>
      <c r="B607" s="81"/>
      <c r="E607" s="82"/>
      <c r="G607" s="82"/>
      <c r="I607" s="84"/>
      <c r="K607" s="61"/>
      <c r="N607" s="74" t="str">
        <f>IFERROR(__xludf.DUMMYFUNCTION("""COMPUTED_VALUE"""),"")</f>
        <v/>
      </c>
      <c r="O607" s="74" t="str">
        <f>IFERROR(__xludf.DUMMYFUNCTION("""COMPUTED_VALUE"""),"")</f>
        <v/>
      </c>
      <c r="P607" s="74" t="str">
        <f>IFERROR(__xludf.DUMMYFUNCTION("""COMPUTED_VALUE"""),"")</f>
        <v/>
      </c>
    </row>
    <row r="608">
      <c r="A608" s="60"/>
      <c r="B608" s="81"/>
      <c r="E608" s="82"/>
      <c r="G608" s="82"/>
      <c r="I608" s="84"/>
      <c r="K608" s="61"/>
      <c r="N608" s="74" t="str">
        <f>IFERROR(__xludf.DUMMYFUNCTION("""COMPUTED_VALUE"""),"")</f>
        <v/>
      </c>
      <c r="O608" s="74" t="str">
        <f>IFERROR(__xludf.DUMMYFUNCTION("""COMPUTED_VALUE"""),"")</f>
        <v/>
      </c>
      <c r="P608" s="74" t="str">
        <f>IFERROR(__xludf.DUMMYFUNCTION("""COMPUTED_VALUE"""),"")</f>
        <v/>
      </c>
    </row>
    <row r="609">
      <c r="A609" s="60"/>
      <c r="B609" s="81"/>
      <c r="E609" s="82"/>
      <c r="G609" s="82"/>
      <c r="I609" s="84"/>
      <c r="K609" s="61"/>
      <c r="N609" s="74" t="str">
        <f>IFERROR(__xludf.DUMMYFUNCTION("""COMPUTED_VALUE"""),"")</f>
        <v/>
      </c>
      <c r="O609" s="74" t="str">
        <f>IFERROR(__xludf.DUMMYFUNCTION("""COMPUTED_VALUE"""),"")</f>
        <v/>
      </c>
      <c r="P609" s="74" t="str">
        <f>IFERROR(__xludf.DUMMYFUNCTION("""COMPUTED_VALUE"""),"")</f>
        <v/>
      </c>
    </row>
    <row r="610">
      <c r="A610" s="60"/>
      <c r="B610" s="81"/>
      <c r="E610" s="82"/>
      <c r="G610" s="82"/>
      <c r="I610" s="84"/>
      <c r="K610" s="61"/>
      <c r="N610" s="74" t="str">
        <f>IFERROR(__xludf.DUMMYFUNCTION("""COMPUTED_VALUE"""),"")</f>
        <v/>
      </c>
      <c r="O610" s="74" t="str">
        <f>IFERROR(__xludf.DUMMYFUNCTION("""COMPUTED_VALUE"""),"")</f>
        <v/>
      </c>
      <c r="P610" s="74" t="str">
        <f>IFERROR(__xludf.DUMMYFUNCTION("""COMPUTED_VALUE"""),"")</f>
        <v/>
      </c>
    </row>
    <row r="611">
      <c r="A611" s="60"/>
      <c r="B611" s="81"/>
      <c r="E611" s="82"/>
      <c r="G611" s="82"/>
      <c r="I611" s="84"/>
      <c r="K611" s="61"/>
      <c r="N611" s="74" t="str">
        <f>IFERROR(__xludf.DUMMYFUNCTION("""COMPUTED_VALUE"""),"")</f>
        <v/>
      </c>
      <c r="O611" s="74" t="str">
        <f>IFERROR(__xludf.DUMMYFUNCTION("""COMPUTED_VALUE"""),"")</f>
        <v/>
      </c>
      <c r="P611" s="74" t="str">
        <f>IFERROR(__xludf.DUMMYFUNCTION("""COMPUTED_VALUE"""),"")</f>
        <v/>
      </c>
    </row>
    <row r="612">
      <c r="A612" s="60"/>
      <c r="B612" s="81"/>
      <c r="E612" s="82"/>
      <c r="G612" s="82"/>
      <c r="I612" s="84"/>
      <c r="K612" s="61"/>
      <c r="N612" s="74" t="str">
        <f>IFERROR(__xludf.DUMMYFUNCTION("""COMPUTED_VALUE"""),"")</f>
        <v/>
      </c>
      <c r="O612" s="74" t="str">
        <f>IFERROR(__xludf.DUMMYFUNCTION("""COMPUTED_VALUE"""),"")</f>
        <v/>
      </c>
      <c r="P612" s="74" t="str">
        <f>IFERROR(__xludf.DUMMYFUNCTION("""COMPUTED_VALUE"""),"")</f>
        <v/>
      </c>
    </row>
    <row r="613">
      <c r="A613" s="60"/>
      <c r="B613" s="81"/>
      <c r="E613" s="82"/>
      <c r="G613" s="82"/>
      <c r="I613" s="84"/>
      <c r="K613" s="61"/>
      <c r="N613" s="74" t="str">
        <f>IFERROR(__xludf.DUMMYFUNCTION("""COMPUTED_VALUE"""),"")</f>
        <v/>
      </c>
      <c r="O613" s="74" t="str">
        <f>IFERROR(__xludf.DUMMYFUNCTION("""COMPUTED_VALUE"""),"")</f>
        <v/>
      </c>
      <c r="P613" s="74" t="str">
        <f>IFERROR(__xludf.DUMMYFUNCTION("""COMPUTED_VALUE"""),"")</f>
        <v/>
      </c>
    </row>
    <row r="614">
      <c r="A614" s="60"/>
      <c r="B614" s="81"/>
      <c r="E614" s="82"/>
      <c r="G614" s="82"/>
      <c r="I614" s="84"/>
      <c r="K614" s="61"/>
      <c r="N614" s="74" t="str">
        <f>IFERROR(__xludf.DUMMYFUNCTION("""COMPUTED_VALUE"""),"")</f>
        <v/>
      </c>
      <c r="O614" s="74" t="str">
        <f>IFERROR(__xludf.DUMMYFUNCTION("""COMPUTED_VALUE"""),"")</f>
        <v/>
      </c>
      <c r="P614" s="74" t="str">
        <f>IFERROR(__xludf.DUMMYFUNCTION("""COMPUTED_VALUE"""),"")</f>
        <v/>
      </c>
    </row>
    <row r="615">
      <c r="A615" s="60"/>
      <c r="B615" s="81"/>
      <c r="E615" s="82"/>
      <c r="G615" s="82"/>
      <c r="I615" s="84"/>
      <c r="K615" s="61"/>
      <c r="N615" s="74" t="str">
        <f>IFERROR(__xludf.DUMMYFUNCTION("""COMPUTED_VALUE"""),"")</f>
        <v/>
      </c>
      <c r="O615" s="74" t="str">
        <f>IFERROR(__xludf.DUMMYFUNCTION("""COMPUTED_VALUE"""),"")</f>
        <v/>
      </c>
      <c r="P615" s="74" t="str">
        <f>IFERROR(__xludf.DUMMYFUNCTION("""COMPUTED_VALUE"""),"")</f>
        <v/>
      </c>
    </row>
    <row r="616">
      <c r="A616" s="60"/>
      <c r="B616" s="81"/>
      <c r="E616" s="82"/>
      <c r="G616" s="82"/>
      <c r="I616" s="84"/>
      <c r="K616" s="61"/>
      <c r="N616" s="74" t="str">
        <f>IFERROR(__xludf.DUMMYFUNCTION("""COMPUTED_VALUE"""),"")</f>
        <v/>
      </c>
      <c r="O616" s="74" t="str">
        <f>IFERROR(__xludf.DUMMYFUNCTION("""COMPUTED_VALUE"""),"")</f>
        <v/>
      </c>
      <c r="P616" s="74" t="str">
        <f>IFERROR(__xludf.DUMMYFUNCTION("""COMPUTED_VALUE"""),"")</f>
        <v/>
      </c>
    </row>
    <row r="617">
      <c r="A617" s="60"/>
      <c r="B617" s="81"/>
      <c r="E617" s="82"/>
      <c r="G617" s="82"/>
      <c r="I617" s="84"/>
      <c r="K617" s="61"/>
      <c r="N617" s="74" t="str">
        <f>IFERROR(__xludf.DUMMYFUNCTION("""COMPUTED_VALUE"""),"")</f>
        <v/>
      </c>
      <c r="O617" s="74" t="str">
        <f>IFERROR(__xludf.DUMMYFUNCTION("""COMPUTED_VALUE"""),"")</f>
        <v/>
      </c>
      <c r="P617" s="74" t="str">
        <f>IFERROR(__xludf.DUMMYFUNCTION("""COMPUTED_VALUE"""),"")</f>
        <v/>
      </c>
    </row>
    <row r="618">
      <c r="A618" s="60"/>
      <c r="B618" s="81"/>
      <c r="E618" s="82"/>
      <c r="G618" s="82"/>
      <c r="I618" s="84"/>
      <c r="K618" s="61"/>
      <c r="N618" s="74" t="str">
        <f>IFERROR(__xludf.DUMMYFUNCTION("""COMPUTED_VALUE"""),"")</f>
        <v/>
      </c>
      <c r="O618" s="74" t="str">
        <f>IFERROR(__xludf.DUMMYFUNCTION("""COMPUTED_VALUE"""),"")</f>
        <v/>
      </c>
      <c r="P618" s="74" t="str">
        <f>IFERROR(__xludf.DUMMYFUNCTION("""COMPUTED_VALUE"""),"")</f>
        <v/>
      </c>
    </row>
    <row r="619">
      <c r="A619" s="60"/>
      <c r="B619" s="81"/>
      <c r="E619" s="82"/>
      <c r="G619" s="82"/>
      <c r="I619" s="84"/>
      <c r="K619" s="61"/>
      <c r="N619" s="74" t="str">
        <f>IFERROR(__xludf.DUMMYFUNCTION("""COMPUTED_VALUE"""),"")</f>
        <v/>
      </c>
      <c r="O619" s="74" t="str">
        <f>IFERROR(__xludf.DUMMYFUNCTION("""COMPUTED_VALUE"""),"")</f>
        <v/>
      </c>
      <c r="P619" s="74" t="str">
        <f>IFERROR(__xludf.DUMMYFUNCTION("""COMPUTED_VALUE"""),"")</f>
        <v/>
      </c>
    </row>
    <row r="620">
      <c r="A620" s="60"/>
      <c r="B620" s="81"/>
      <c r="E620" s="82"/>
      <c r="G620" s="82"/>
      <c r="I620" s="84"/>
      <c r="K620" s="61"/>
      <c r="N620" s="74" t="str">
        <f>IFERROR(__xludf.DUMMYFUNCTION("""COMPUTED_VALUE"""),"")</f>
        <v/>
      </c>
      <c r="O620" s="74" t="str">
        <f>IFERROR(__xludf.DUMMYFUNCTION("""COMPUTED_VALUE"""),"")</f>
        <v/>
      </c>
      <c r="P620" s="74" t="str">
        <f>IFERROR(__xludf.DUMMYFUNCTION("""COMPUTED_VALUE"""),"")</f>
        <v/>
      </c>
    </row>
    <row r="621">
      <c r="A621" s="60"/>
      <c r="B621" s="81"/>
      <c r="E621" s="82"/>
      <c r="G621" s="82"/>
      <c r="I621" s="84"/>
      <c r="K621" s="61"/>
      <c r="N621" s="74" t="str">
        <f>IFERROR(__xludf.DUMMYFUNCTION("""COMPUTED_VALUE"""),"")</f>
        <v/>
      </c>
      <c r="O621" s="74" t="str">
        <f>IFERROR(__xludf.DUMMYFUNCTION("""COMPUTED_VALUE"""),"")</f>
        <v/>
      </c>
      <c r="P621" s="74" t="str">
        <f>IFERROR(__xludf.DUMMYFUNCTION("""COMPUTED_VALUE"""),"")</f>
        <v/>
      </c>
    </row>
    <row r="622">
      <c r="A622" s="60"/>
      <c r="B622" s="81"/>
      <c r="E622" s="82"/>
      <c r="G622" s="82"/>
      <c r="I622" s="84"/>
      <c r="K622" s="61"/>
      <c r="N622" s="74" t="str">
        <f>IFERROR(__xludf.DUMMYFUNCTION("""COMPUTED_VALUE"""),"")</f>
        <v/>
      </c>
      <c r="O622" s="74" t="str">
        <f>IFERROR(__xludf.DUMMYFUNCTION("""COMPUTED_VALUE"""),"")</f>
        <v/>
      </c>
      <c r="P622" s="74" t="str">
        <f>IFERROR(__xludf.DUMMYFUNCTION("""COMPUTED_VALUE"""),"")</f>
        <v/>
      </c>
    </row>
    <row r="623">
      <c r="A623" s="60"/>
      <c r="B623" s="81"/>
      <c r="E623" s="82"/>
      <c r="G623" s="82"/>
      <c r="I623" s="84"/>
      <c r="K623" s="61"/>
      <c r="N623" s="74" t="str">
        <f>IFERROR(__xludf.DUMMYFUNCTION("""COMPUTED_VALUE"""),"")</f>
        <v/>
      </c>
      <c r="O623" s="74" t="str">
        <f>IFERROR(__xludf.DUMMYFUNCTION("""COMPUTED_VALUE"""),"")</f>
        <v/>
      </c>
      <c r="P623" s="74" t="str">
        <f>IFERROR(__xludf.DUMMYFUNCTION("""COMPUTED_VALUE"""),"")</f>
        <v/>
      </c>
    </row>
    <row r="624">
      <c r="A624" s="60"/>
      <c r="B624" s="81"/>
      <c r="E624" s="82"/>
      <c r="G624" s="82"/>
      <c r="I624" s="84"/>
      <c r="K624" s="61"/>
      <c r="N624" s="74" t="str">
        <f>IFERROR(__xludf.DUMMYFUNCTION("""COMPUTED_VALUE"""),"")</f>
        <v/>
      </c>
      <c r="O624" s="74" t="str">
        <f>IFERROR(__xludf.DUMMYFUNCTION("""COMPUTED_VALUE"""),"")</f>
        <v/>
      </c>
      <c r="P624" s="74" t="str">
        <f>IFERROR(__xludf.DUMMYFUNCTION("""COMPUTED_VALUE"""),"")</f>
        <v/>
      </c>
    </row>
    <row r="625">
      <c r="A625" s="60"/>
      <c r="B625" s="81"/>
      <c r="E625" s="82"/>
      <c r="G625" s="82"/>
      <c r="I625" s="84"/>
      <c r="K625" s="61"/>
      <c r="N625" s="74" t="str">
        <f>IFERROR(__xludf.DUMMYFUNCTION("""COMPUTED_VALUE"""),"")</f>
        <v/>
      </c>
      <c r="O625" s="74" t="str">
        <f>IFERROR(__xludf.DUMMYFUNCTION("""COMPUTED_VALUE"""),"")</f>
        <v/>
      </c>
      <c r="P625" s="74" t="str">
        <f>IFERROR(__xludf.DUMMYFUNCTION("""COMPUTED_VALUE"""),"")</f>
        <v/>
      </c>
    </row>
    <row r="626">
      <c r="A626" s="60"/>
      <c r="B626" s="81"/>
      <c r="E626" s="82"/>
      <c r="G626" s="82"/>
      <c r="I626" s="84"/>
      <c r="K626" s="61"/>
      <c r="N626" s="74" t="str">
        <f>IFERROR(__xludf.DUMMYFUNCTION("""COMPUTED_VALUE"""),"")</f>
        <v/>
      </c>
      <c r="O626" s="74" t="str">
        <f>IFERROR(__xludf.DUMMYFUNCTION("""COMPUTED_VALUE"""),"")</f>
        <v/>
      </c>
      <c r="P626" s="74" t="str">
        <f>IFERROR(__xludf.DUMMYFUNCTION("""COMPUTED_VALUE"""),"")</f>
        <v/>
      </c>
    </row>
    <row r="627">
      <c r="A627" s="60"/>
      <c r="B627" s="81"/>
      <c r="E627" s="82"/>
      <c r="G627" s="82"/>
      <c r="I627" s="84"/>
      <c r="K627" s="61"/>
      <c r="N627" s="74" t="str">
        <f>IFERROR(__xludf.DUMMYFUNCTION("""COMPUTED_VALUE"""),"")</f>
        <v/>
      </c>
      <c r="O627" s="74" t="str">
        <f>IFERROR(__xludf.DUMMYFUNCTION("""COMPUTED_VALUE"""),"")</f>
        <v/>
      </c>
      <c r="P627" s="74" t="str">
        <f>IFERROR(__xludf.DUMMYFUNCTION("""COMPUTED_VALUE"""),"")</f>
        <v/>
      </c>
    </row>
    <row r="628">
      <c r="A628" s="60"/>
      <c r="B628" s="81"/>
      <c r="E628" s="82"/>
      <c r="G628" s="82"/>
      <c r="I628" s="84"/>
      <c r="K628" s="61"/>
      <c r="N628" s="74" t="str">
        <f>IFERROR(__xludf.DUMMYFUNCTION("""COMPUTED_VALUE"""),"")</f>
        <v/>
      </c>
      <c r="O628" s="74" t="str">
        <f>IFERROR(__xludf.DUMMYFUNCTION("""COMPUTED_VALUE"""),"")</f>
        <v/>
      </c>
      <c r="P628" s="74" t="str">
        <f>IFERROR(__xludf.DUMMYFUNCTION("""COMPUTED_VALUE"""),"")</f>
        <v/>
      </c>
    </row>
    <row r="629">
      <c r="A629" s="60"/>
      <c r="B629" s="81"/>
      <c r="E629" s="82"/>
      <c r="G629" s="82"/>
      <c r="I629" s="84"/>
      <c r="K629" s="61"/>
      <c r="N629" s="74" t="str">
        <f>IFERROR(__xludf.DUMMYFUNCTION("""COMPUTED_VALUE"""),"")</f>
        <v/>
      </c>
      <c r="O629" s="74" t="str">
        <f>IFERROR(__xludf.DUMMYFUNCTION("""COMPUTED_VALUE"""),"")</f>
        <v/>
      </c>
      <c r="P629" s="74" t="str">
        <f>IFERROR(__xludf.DUMMYFUNCTION("""COMPUTED_VALUE"""),"")</f>
        <v/>
      </c>
    </row>
    <row r="630">
      <c r="A630" s="60"/>
      <c r="B630" s="81"/>
      <c r="E630" s="82"/>
      <c r="G630" s="82"/>
      <c r="I630" s="84"/>
      <c r="K630" s="61"/>
      <c r="N630" s="74" t="str">
        <f>IFERROR(__xludf.DUMMYFUNCTION("""COMPUTED_VALUE"""),"")</f>
        <v/>
      </c>
      <c r="O630" s="74" t="str">
        <f>IFERROR(__xludf.DUMMYFUNCTION("""COMPUTED_VALUE"""),"")</f>
        <v/>
      </c>
      <c r="P630" s="74" t="str">
        <f>IFERROR(__xludf.DUMMYFUNCTION("""COMPUTED_VALUE"""),"")</f>
        <v/>
      </c>
    </row>
    <row r="631">
      <c r="A631" s="60"/>
      <c r="B631" s="81"/>
      <c r="E631" s="82"/>
      <c r="G631" s="82"/>
      <c r="I631" s="84"/>
      <c r="K631" s="61"/>
      <c r="N631" s="74" t="str">
        <f>IFERROR(__xludf.DUMMYFUNCTION("""COMPUTED_VALUE"""),"")</f>
        <v/>
      </c>
      <c r="O631" s="74" t="str">
        <f>IFERROR(__xludf.DUMMYFUNCTION("""COMPUTED_VALUE"""),"")</f>
        <v/>
      </c>
      <c r="P631" s="74" t="str">
        <f>IFERROR(__xludf.DUMMYFUNCTION("""COMPUTED_VALUE"""),"")</f>
        <v/>
      </c>
    </row>
    <row r="632">
      <c r="A632" s="60"/>
      <c r="B632" s="81"/>
      <c r="E632" s="82"/>
      <c r="G632" s="82"/>
      <c r="I632" s="84"/>
      <c r="K632" s="61"/>
      <c r="N632" s="74" t="str">
        <f>IFERROR(__xludf.DUMMYFUNCTION("""COMPUTED_VALUE"""),"")</f>
        <v/>
      </c>
      <c r="O632" s="74" t="str">
        <f>IFERROR(__xludf.DUMMYFUNCTION("""COMPUTED_VALUE"""),"")</f>
        <v/>
      </c>
      <c r="P632" s="74" t="str">
        <f>IFERROR(__xludf.DUMMYFUNCTION("""COMPUTED_VALUE"""),"")</f>
        <v/>
      </c>
    </row>
    <row r="633">
      <c r="A633" s="60"/>
      <c r="B633" s="81"/>
      <c r="E633" s="82"/>
      <c r="G633" s="82"/>
      <c r="I633" s="84"/>
      <c r="K633" s="61"/>
      <c r="N633" s="74" t="str">
        <f>IFERROR(__xludf.DUMMYFUNCTION("""COMPUTED_VALUE"""),"")</f>
        <v/>
      </c>
      <c r="O633" s="74" t="str">
        <f>IFERROR(__xludf.DUMMYFUNCTION("""COMPUTED_VALUE"""),"")</f>
        <v/>
      </c>
      <c r="P633" s="74" t="str">
        <f>IFERROR(__xludf.DUMMYFUNCTION("""COMPUTED_VALUE"""),"")</f>
        <v/>
      </c>
    </row>
    <row r="634">
      <c r="A634" s="60"/>
      <c r="B634" s="81"/>
      <c r="E634" s="82"/>
      <c r="G634" s="82"/>
      <c r="I634" s="84"/>
      <c r="K634" s="61"/>
      <c r="N634" s="74" t="str">
        <f>IFERROR(__xludf.DUMMYFUNCTION("""COMPUTED_VALUE"""),"")</f>
        <v/>
      </c>
      <c r="O634" s="74" t="str">
        <f>IFERROR(__xludf.DUMMYFUNCTION("""COMPUTED_VALUE"""),"")</f>
        <v/>
      </c>
      <c r="P634" s="74" t="str">
        <f>IFERROR(__xludf.DUMMYFUNCTION("""COMPUTED_VALUE"""),"")</f>
        <v/>
      </c>
    </row>
    <row r="635">
      <c r="A635" s="60"/>
      <c r="B635" s="81"/>
      <c r="E635" s="82"/>
      <c r="G635" s="82"/>
      <c r="I635" s="84"/>
      <c r="K635" s="61"/>
      <c r="N635" s="74" t="str">
        <f>IFERROR(__xludf.DUMMYFUNCTION("""COMPUTED_VALUE"""),"")</f>
        <v/>
      </c>
      <c r="O635" s="74" t="str">
        <f>IFERROR(__xludf.DUMMYFUNCTION("""COMPUTED_VALUE"""),"")</f>
        <v/>
      </c>
      <c r="P635" s="74" t="str">
        <f>IFERROR(__xludf.DUMMYFUNCTION("""COMPUTED_VALUE"""),"")</f>
        <v/>
      </c>
    </row>
    <row r="636">
      <c r="A636" s="60"/>
      <c r="B636" s="81"/>
      <c r="E636" s="82"/>
      <c r="G636" s="82"/>
      <c r="I636" s="84"/>
      <c r="K636" s="61"/>
      <c r="N636" s="74" t="str">
        <f>IFERROR(__xludf.DUMMYFUNCTION("""COMPUTED_VALUE"""),"")</f>
        <v/>
      </c>
      <c r="O636" s="74" t="str">
        <f>IFERROR(__xludf.DUMMYFUNCTION("""COMPUTED_VALUE"""),"")</f>
        <v/>
      </c>
      <c r="P636" s="74" t="str">
        <f>IFERROR(__xludf.DUMMYFUNCTION("""COMPUTED_VALUE"""),"")</f>
        <v/>
      </c>
    </row>
    <row r="637">
      <c r="A637" s="60"/>
      <c r="B637" s="81"/>
      <c r="E637" s="82"/>
      <c r="G637" s="82"/>
      <c r="I637" s="84"/>
      <c r="K637" s="61"/>
      <c r="N637" s="74" t="str">
        <f>IFERROR(__xludf.DUMMYFUNCTION("""COMPUTED_VALUE"""),"")</f>
        <v/>
      </c>
      <c r="O637" s="74" t="str">
        <f>IFERROR(__xludf.DUMMYFUNCTION("""COMPUTED_VALUE"""),"")</f>
        <v/>
      </c>
      <c r="P637" s="74" t="str">
        <f>IFERROR(__xludf.DUMMYFUNCTION("""COMPUTED_VALUE"""),"")</f>
        <v/>
      </c>
    </row>
    <row r="638">
      <c r="A638" s="60"/>
      <c r="B638" s="81"/>
      <c r="E638" s="82"/>
      <c r="G638" s="82"/>
      <c r="I638" s="84"/>
      <c r="K638" s="61"/>
      <c r="N638" s="74" t="str">
        <f>IFERROR(__xludf.DUMMYFUNCTION("""COMPUTED_VALUE"""),"")</f>
        <v/>
      </c>
      <c r="O638" s="74" t="str">
        <f>IFERROR(__xludf.DUMMYFUNCTION("""COMPUTED_VALUE"""),"")</f>
        <v/>
      </c>
      <c r="P638" s="74" t="str">
        <f>IFERROR(__xludf.DUMMYFUNCTION("""COMPUTED_VALUE"""),"")</f>
        <v/>
      </c>
    </row>
    <row r="639">
      <c r="A639" s="60"/>
      <c r="B639" s="81"/>
      <c r="E639" s="82"/>
      <c r="G639" s="82"/>
      <c r="I639" s="84"/>
      <c r="K639" s="61"/>
      <c r="N639" s="74" t="str">
        <f>IFERROR(__xludf.DUMMYFUNCTION("""COMPUTED_VALUE"""),"")</f>
        <v/>
      </c>
      <c r="O639" s="74" t="str">
        <f>IFERROR(__xludf.DUMMYFUNCTION("""COMPUTED_VALUE"""),"")</f>
        <v/>
      </c>
      <c r="P639" s="74" t="str">
        <f>IFERROR(__xludf.DUMMYFUNCTION("""COMPUTED_VALUE"""),"")</f>
        <v/>
      </c>
    </row>
    <row r="640">
      <c r="A640" s="60"/>
      <c r="B640" s="81"/>
      <c r="E640" s="82"/>
      <c r="G640" s="82"/>
      <c r="I640" s="84"/>
      <c r="K640" s="61"/>
      <c r="N640" s="74" t="str">
        <f>IFERROR(__xludf.DUMMYFUNCTION("""COMPUTED_VALUE"""),"")</f>
        <v/>
      </c>
      <c r="O640" s="74" t="str">
        <f>IFERROR(__xludf.DUMMYFUNCTION("""COMPUTED_VALUE"""),"")</f>
        <v/>
      </c>
      <c r="P640" s="74" t="str">
        <f>IFERROR(__xludf.DUMMYFUNCTION("""COMPUTED_VALUE"""),"")</f>
        <v/>
      </c>
    </row>
    <row r="641">
      <c r="A641" s="60"/>
      <c r="B641" s="81"/>
      <c r="E641" s="82"/>
      <c r="G641" s="82"/>
      <c r="I641" s="84"/>
      <c r="K641" s="61"/>
      <c r="N641" s="74" t="str">
        <f>IFERROR(__xludf.DUMMYFUNCTION("""COMPUTED_VALUE"""),"")</f>
        <v/>
      </c>
      <c r="O641" s="74" t="str">
        <f>IFERROR(__xludf.DUMMYFUNCTION("""COMPUTED_VALUE"""),"")</f>
        <v/>
      </c>
      <c r="P641" s="74" t="str">
        <f>IFERROR(__xludf.DUMMYFUNCTION("""COMPUTED_VALUE"""),"")</f>
        <v/>
      </c>
    </row>
    <row r="642">
      <c r="A642" s="60"/>
      <c r="B642" s="81"/>
      <c r="E642" s="82"/>
      <c r="G642" s="82"/>
      <c r="I642" s="84"/>
      <c r="K642" s="61"/>
      <c r="N642" s="74" t="str">
        <f>IFERROR(__xludf.DUMMYFUNCTION("""COMPUTED_VALUE"""),"")</f>
        <v/>
      </c>
      <c r="O642" s="74" t="str">
        <f>IFERROR(__xludf.DUMMYFUNCTION("""COMPUTED_VALUE"""),"")</f>
        <v/>
      </c>
      <c r="P642" s="74" t="str">
        <f>IFERROR(__xludf.DUMMYFUNCTION("""COMPUTED_VALUE"""),"")</f>
        <v/>
      </c>
    </row>
    <row r="643">
      <c r="A643" s="60"/>
      <c r="B643" s="81"/>
      <c r="E643" s="82"/>
      <c r="G643" s="82"/>
      <c r="I643" s="84"/>
      <c r="K643" s="61"/>
      <c r="N643" s="74" t="str">
        <f>IFERROR(__xludf.DUMMYFUNCTION("""COMPUTED_VALUE"""),"")</f>
        <v/>
      </c>
      <c r="O643" s="74" t="str">
        <f>IFERROR(__xludf.DUMMYFUNCTION("""COMPUTED_VALUE"""),"")</f>
        <v/>
      </c>
      <c r="P643" s="74" t="str">
        <f>IFERROR(__xludf.DUMMYFUNCTION("""COMPUTED_VALUE"""),"")</f>
        <v/>
      </c>
    </row>
    <row r="644">
      <c r="A644" s="60"/>
      <c r="B644" s="81"/>
      <c r="E644" s="82"/>
      <c r="G644" s="82"/>
      <c r="I644" s="84"/>
      <c r="K644" s="61"/>
      <c r="N644" s="74" t="str">
        <f>IFERROR(__xludf.DUMMYFUNCTION("""COMPUTED_VALUE"""),"")</f>
        <v/>
      </c>
      <c r="O644" s="74" t="str">
        <f>IFERROR(__xludf.DUMMYFUNCTION("""COMPUTED_VALUE"""),"")</f>
        <v/>
      </c>
      <c r="P644" s="74" t="str">
        <f>IFERROR(__xludf.DUMMYFUNCTION("""COMPUTED_VALUE"""),"")</f>
        <v/>
      </c>
    </row>
    <row r="645">
      <c r="A645" s="60"/>
      <c r="B645" s="81"/>
      <c r="E645" s="82"/>
      <c r="G645" s="82"/>
      <c r="I645" s="84"/>
      <c r="K645" s="61"/>
      <c r="N645" s="74" t="str">
        <f>IFERROR(__xludf.DUMMYFUNCTION("""COMPUTED_VALUE"""),"")</f>
        <v/>
      </c>
      <c r="O645" s="74" t="str">
        <f>IFERROR(__xludf.DUMMYFUNCTION("""COMPUTED_VALUE"""),"")</f>
        <v/>
      </c>
      <c r="P645" s="74" t="str">
        <f>IFERROR(__xludf.DUMMYFUNCTION("""COMPUTED_VALUE"""),"")</f>
        <v/>
      </c>
    </row>
    <row r="646">
      <c r="A646" s="60"/>
      <c r="B646" s="81"/>
      <c r="E646" s="82"/>
      <c r="G646" s="82"/>
      <c r="I646" s="84"/>
      <c r="K646" s="61"/>
      <c r="N646" s="74" t="str">
        <f>IFERROR(__xludf.DUMMYFUNCTION("""COMPUTED_VALUE"""),"")</f>
        <v/>
      </c>
      <c r="O646" s="74" t="str">
        <f>IFERROR(__xludf.DUMMYFUNCTION("""COMPUTED_VALUE"""),"")</f>
        <v/>
      </c>
      <c r="P646" s="74" t="str">
        <f>IFERROR(__xludf.DUMMYFUNCTION("""COMPUTED_VALUE"""),"")</f>
        <v/>
      </c>
    </row>
    <row r="647">
      <c r="A647" s="60"/>
      <c r="B647" s="81"/>
      <c r="E647" s="82"/>
      <c r="G647" s="82"/>
      <c r="I647" s="84"/>
      <c r="K647" s="61"/>
      <c r="N647" s="74" t="str">
        <f>IFERROR(__xludf.DUMMYFUNCTION("""COMPUTED_VALUE"""),"")</f>
        <v/>
      </c>
      <c r="O647" s="74" t="str">
        <f>IFERROR(__xludf.DUMMYFUNCTION("""COMPUTED_VALUE"""),"")</f>
        <v/>
      </c>
      <c r="P647" s="74" t="str">
        <f>IFERROR(__xludf.DUMMYFUNCTION("""COMPUTED_VALUE"""),"")</f>
        <v/>
      </c>
    </row>
    <row r="648">
      <c r="A648" s="60"/>
      <c r="B648" s="81"/>
      <c r="E648" s="82"/>
      <c r="G648" s="82"/>
      <c r="I648" s="84"/>
      <c r="K648" s="61"/>
      <c r="N648" s="74" t="str">
        <f>IFERROR(__xludf.DUMMYFUNCTION("""COMPUTED_VALUE"""),"")</f>
        <v/>
      </c>
      <c r="O648" s="74" t="str">
        <f>IFERROR(__xludf.DUMMYFUNCTION("""COMPUTED_VALUE"""),"")</f>
        <v/>
      </c>
      <c r="P648" s="74" t="str">
        <f>IFERROR(__xludf.DUMMYFUNCTION("""COMPUTED_VALUE"""),"")</f>
        <v/>
      </c>
    </row>
    <row r="649">
      <c r="A649" s="60"/>
      <c r="B649" s="81"/>
      <c r="E649" s="82"/>
      <c r="G649" s="82"/>
      <c r="I649" s="84"/>
      <c r="K649" s="61"/>
      <c r="N649" s="74" t="str">
        <f>IFERROR(__xludf.DUMMYFUNCTION("""COMPUTED_VALUE"""),"")</f>
        <v/>
      </c>
      <c r="O649" s="74" t="str">
        <f>IFERROR(__xludf.DUMMYFUNCTION("""COMPUTED_VALUE"""),"")</f>
        <v/>
      </c>
      <c r="P649" s="74" t="str">
        <f>IFERROR(__xludf.DUMMYFUNCTION("""COMPUTED_VALUE"""),"")</f>
        <v/>
      </c>
    </row>
    <row r="650">
      <c r="A650" s="60"/>
      <c r="B650" s="81"/>
      <c r="E650" s="82"/>
      <c r="G650" s="82"/>
      <c r="I650" s="84"/>
      <c r="K650" s="61"/>
      <c r="N650" s="74" t="str">
        <f>IFERROR(__xludf.DUMMYFUNCTION("""COMPUTED_VALUE"""),"")</f>
        <v/>
      </c>
      <c r="O650" s="74" t="str">
        <f>IFERROR(__xludf.DUMMYFUNCTION("""COMPUTED_VALUE"""),"")</f>
        <v/>
      </c>
      <c r="P650" s="74" t="str">
        <f>IFERROR(__xludf.DUMMYFUNCTION("""COMPUTED_VALUE"""),"")</f>
        <v/>
      </c>
    </row>
    <row r="651">
      <c r="A651" s="60"/>
      <c r="B651" s="81"/>
      <c r="E651" s="82"/>
      <c r="G651" s="82"/>
      <c r="I651" s="84"/>
      <c r="K651" s="61"/>
      <c r="N651" s="74" t="str">
        <f>IFERROR(__xludf.DUMMYFUNCTION("""COMPUTED_VALUE"""),"")</f>
        <v/>
      </c>
      <c r="O651" s="74" t="str">
        <f>IFERROR(__xludf.DUMMYFUNCTION("""COMPUTED_VALUE"""),"")</f>
        <v/>
      </c>
      <c r="P651" s="74" t="str">
        <f>IFERROR(__xludf.DUMMYFUNCTION("""COMPUTED_VALUE"""),"")</f>
        <v/>
      </c>
    </row>
    <row r="652">
      <c r="A652" s="60"/>
      <c r="B652" s="81"/>
      <c r="E652" s="82"/>
      <c r="G652" s="82"/>
      <c r="I652" s="84"/>
      <c r="K652" s="61"/>
      <c r="N652" s="74" t="str">
        <f>IFERROR(__xludf.DUMMYFUNCTION("""COMPUTED_VALUE"""),"")</f>
        <v/>
      </c>
      <c r="O652" s="74" t="str">
        <f>IFERROR(__xludf.DUMMYFUNCTION("""COMPUTED_VALUE"""),"")</f>
        <v/>
      </c>
      <c r="P652" s="74" t="str">
        <f>IFERROR(__xludf.DUMMYFUNCTION("""COMPUTED_VALUE"""),"")</f>
        <v/>
      </c>
    </row>
    <row r="653">
      <c r="A653" s="60"/>
      <c r="B653" s="81"/>
      <c r="E653" s="82"/>
      <c r="G653" s="82"/>
      <c r="I653" s="84"/>
      <c r="K653" s="61"/>
      <c r="N653" s="74" t="str">
        <f>IFERROR(__xludf.DUMMYFUNCTION("""COMPUTED_VALUE"""),"")</f>
        <v/>
      </c>
      <c r="O653" s="74" t="str">
        <f>IFERROR(__xludf.DUMMYFUNCTION("""COMPUTED_VALUE"""),"")</f>
        <v/>
      </c>
      <c r="P653" s="74" t="str">
        <f>IFERROR(__xludf.DUMMYFUNCTION("""COMPUTED_VALUE"""),"")</f>
        <v/>
      </c>
    </row>
    <row r="654">
      <c r="A654" s="60"/>
      <c r="B654" s="81"/>
      <c r="E654" s="82"/>
      <c r="G654" s="82"/>
      <c r="I654" s="84"/>
      <c r="K654" s="61"/>
      <c r="N654" s="74" t="str">
        <f>IFERROR(__xludf.DUMMYFUNCTION("""COMPUTED_VALUE"""),"")</f>
        <v/>
      </c>
      <c r="O654" s="74" t="str">
        <f>IFERROR(__xludf.DUMMYFUNCTION("""COMPUTED_VALUE"""),"")</f>
        <v/>
      </c>
      <c r="P654" s="74" t="str">
        <f>IFERROR(__xludf.DUMMYFUNCTION("""COMPUTED_VALUE"""),"")</f>
        <v/>
      </c>
    </row>
    <row r="655">
      <c r="A655" s="60"/>
      <c r="B655" s="81"/>
      <c r="E655" s="82"/>
      <c r="G655" s="82"/>
      <c r="I655" s="84"/>
      <c r="K655" s="61"/>
      <c r="N655" s="74" t="str">
        <f>IFERROR(__xludf.DUMMYFUNCTION("""COMPUTED_VALUE"""),"")</f>
        <v/>
      </c>
      <c r="O655" s="74" t="str">
        <f>IFERROR(__xludf.DUMMYFUNCTION("""COMPUTED_VALUE"""),"")</f>
        <v/>
      </c>
      <c r="P655" s="74" t="str">
        <f>IFERROR(__xludf.DUMMYFUNCTION("""COMPUTED_VALUE"""),"")</f>
        <v/>
      </c>
    </row>
    <row r="656">
      <c r="A656" s="60"/>
      <c r="B656" s="81"/>
      <c r="E656" s="82"/>
      <c r="G656" s="82"/>
      <c r="I656" s="84"/>
      <c r="K656" s="61"/>
      <c r="N656" s="74" t="str">
        <f>IFERROR(__xludf.DUMMYFUNCTION("""COMPUTED_VALUE"""),"")</f>
        <v/>
      </c>
      <c r="O656" s="74" t="str">
        <f>IFERROR(__xludf.DUMMYFUNCTION("""COMPUTED_VALUE"""),"")</f>
        <v/>
      </c>
      <c r="P656" s="74" t="str">
        <f>IFERROR(__xludf.DUMMYFUNCTION("""COMPUTED_VALUE"""),"")</f>
        <v/>
      </c>
    </row>
    <row r="657">
      <c r="A657" s="60"/>
      <c r="B657" s="81"/>
      <c r="E657" s="82"/>
      <c r="G657" s="82"/>
      <c r="I657" s="84"/>
      <c r="K657" s="61"/>
      <c r="N657" s="74" t="str">
        <f>IFERROR(__xludf.DUMMYFUNCTION("""COMPUTED_VALUE"""),"")</f>
        <v/>
      </c>
      <c r="O657" s="74" t="str">
        <f>IFERROR(__xludf.DUMMYFUNCTION("""COMPUTED_VALUE"""),"")</f>
        <v/>
      </c>
      <c r="P657" s="74" t="str">
        <f>IFERROR(__xludf.DUMMYFUNCTION("""COMPUTED_VALUE"""),"")</f>
        <v/>
      </c>
    </row>
    <row r="658">
      <c r="A658" s="60"/>
      <c r="B658" s="81"/>
      <c r="E658" s="82"/>
      <c r="G658" s="82"/>
      <c r="I658" s="84"/>
      <c r="K658" s="61"/>
      <c r="N658" s="74" t="str">
        <f>IFERROR(__xludf.DUMMYFUNCTION("""COMPUTED_VALUE"""),"")</f>
        <v/>
      </c>
      <c r="O658" s="74" t="str">
        <f>IFERROR(__xludf.DUMMYFUNCTION("""COMPUTED_VALUE"""),"")</f>
        <v/>
      </c>
      <c r="P658" s="74" t="str">
        <f>IFERROR(__xludf.DUMMYFUNCTION("""COMPUTED_VALUE"""),"")</f>
        <v/>
      </c>
    </row>
    <row r="659">
      <c r="A659" s="60"/>
      <c r="B659" s="81"/>
      <c r="E659" s="82"/>
      <c r="G659" s="82"/>
      <c r="I659" s="84"/>
      <c r="K659" s="61"/>
      <c r="N659" s="74" t="str">
        <f>IFERROR(__xludf.DUMMYFUNCTION("""COMPUTED_VALUE"""),"")</f>
        <v/>
      </c>
      <c r="O659" s="74" t="str">
        <f>IFERROR(__xludf.DUMMYFUNCTION("""COMPUTED_VALUE"""),"")</f>
        <v/>
      </c>
      <c r="P659" s="74" t="str">
        <f>IFERROR(__xludf.DUMMYFUNCTION("""COMPUTED_VALUE"""),"")</f>
        <v/>
      </c>
    </row>
    <row r="660">
      <c r="A660" s="60"/>
      <c r="B660" s="81"/>
      <c r="E660" s="82"/>
      <c r="G660" s="82"/>
      <c r="I660" s="84"/>
      <c r="K660" s="61"/>
      <c r="N660" s="74" t="str">
        <f>IFERROR(__xludf.DUMMYFUNCTION("""COMPUTED_VALUE"""),"")</f>
        <v/>
      </c>
      <c r="O660" s="74" t="str">
        <f>IFERROR(__xludf.DUMMYFUNCTION("""COMPUTED_VALUE"""),"")</f>
        <v/>
      </c>
      <c r="P660" s="74" t="str">
        <f>IFERROR(__xludf.DUMMYFUNCTION("""COMPUTED_VALUE"""),"")</f>
        <v/>
      </c>
    </row>
    <row r="661">
      <c r="A661" s="60"/>
      <c r="B661" s="81"/>
      <c r="E661" s="82"/>
      <c r="G661" s="82"/>
      <c r="I661" s="84"/>
      <c r="K661" s="61"/>
      <c r="N661" s="74" t="str">
        <f>IFERROR(__xludf.DUMMYFUNCTION("""COMPUTED_VALUE"""),"")</f>
        <v/>
      </c>
      <c r="O661" s="74" t="str">
        <f>IFERROR(__xludf.DUMMYFUNCTION("""COMPUTED_VALUE"""),"")</f>
        <v/>
      </c>
      <c r="P661" s="74" t="str">
        <f>IFERROR(__xludf.DUMMYFUNCTION("""COMPUTED_VALUE"""),"")</f>
        <v/>
      </c>
    </row>
    <row r="662">
      <c r="A662" s="60"/>
      <c r="B662" s="81"/>
      <c r="E662" s="82"/>
      <c r="G662" s="82"/>
      <c r="I662" s="84"/>
      <c r="K662" s="61"/>
      <c r="N662" s="74" t="str">
        <f>IFERROR(__xludf.DUMMYFUNCTION("""COMPUTED_VALUE"""),"")</f>
        <v/>
      </c>
      <c r="O662" s="74" t="str">
        <f>IFERROR(__xludf.DUMMYFUNCTION("""COMPUTED_VALUE"""),"")</f>
        <v/>
      </c>
      <c r="P662" s="74" t="str">
        <f>IFERROR(__xludf.DUMMYFUNCTION("""COMPUTED_VALUE"""),"")</f>
        <v/>
      </c>
    </row>
    <row r="663">
      <c r="A663" s="60"/>
      <c r="B663" s="81"/>
      <c r="E663" s="82"/>
      <c r="G663" s="82"/>
      <c r="I663" s="84"/>
      <c r="K663" s="61"/>
      <c r="N663" s="74" t="str">
        <f>IFERROR(__xludf.DUMMYFUNCTION("""COMPUTED_VALUE"""),"")</f>
        <v/>
      </c>
      <c r="O663" s="74" t="str">
        <f>IFERROR(__xludf.DUMMYFUNCTION("""COMPUTED_VALUE"""),"")</f>
        <v/>
      </c>
      <c r="P663" s="74" t="str">
        <f>IFERROR(__xludf.DUMMYFUNCTION("""COMPUTED_VALUE"""),"")</f>
        <v/>
      </c>
    </row>
    <row r="664">
      <c r="A664" s="60"/>
      <c r="B664" s="81"/>
      <c r="E664" s="82"/>
      <c r="G664" s="82"/>
      <c r="I664" s="84"/>
      <c r="K664" s="61"/>
      <c r="N664" s="74" t="str">
        <f>IFERROR(__xludf.DUMMYFUNCTION("""COMPUTED_VALUE"""),"")</f>
        <v/>
      </c>
      <c r="O664" s="74" t="str">
        <f>IFERROR(__xludf.DUMMYFUNCTION("""COMPUTED_VALUE"""),"")</f>
        <v/>
      </c>
      <c r="P664" s="74" t="str">
        <f>IFERROR(__xludf.DUMMYFUNCTION("""COMPUTED_VALUE"""),"")</f>
        <v/>
      </c>
    </row>
    <row r="665">
      <c r="A665" s="60"/>
      <c r="B665" s="81"/>
      <c r="E665" s="82"/>
      <c r="G665" s="82"/>
      <c r="I665" s="84"/>
      <c r="K665" s="61"/>
      <c r="N665" s="74" t="str">
        <f>IFERROR(__xludf.DUMMYFUNCTION("""COMPUTED_VALUE"""),"")</f>
        <v/>
      </c>
      <c r="O665" s="74" t="str">
        <f>IFERROR(__xludf.DUMMYFUNCTION("""COMPUTED_VALUE"""),"")</f>
        <v/>
      </c>
      <c r="P665" s="74" t="str">
        <f>IFERROR(__xludf.DUMMYFUNCTION("""COMPUTED_VALUE"""),"")</f>
        <v/>
      </c>
    </row>
    <row r="666">
      <c r="A666" s="60"/>
      <c r="B666" s="81"/>
      <c r="E666" s="82"/>
      <c r="G666" s="82"/>
      <c r="I666" s="84"/>
      <c r="K666" s="61"/>
      <c r="N666" s="74" t="str">
        <f>IFERROR(__xludf.DUMMYFUNCTION("""COMPUTED_VALUE"""),"")</f>
        <v/>
      </c>
      <c r="O666" s="74" t="str">
        <f>IFERROR(__xludf.DUMMYFUNCTION("""COMPUTED_VALUE"""),"")</f>
        <v/>
      </c>
      <c r="P666" s="74" t="str">
        <f>IFERROR(__xludf.DUMMYFUNCTION("""COMPUTED_VALUE"""),"")</f>
        <v/>
      </c>
    </row>
    <row r="667">
      <c r="A667" s="60"/>
      <c r="B667" s="81"/>
      <c r="E667" s="82"/>
      <c r="G667" s="82"/>
      <c r="I667" s="84"/>
      <c r="K667" s="61"/>
      <c r="N667" s="74" t="str">
        <f>IFERROR(__xludf.DUMMYFUNCTION("""COMPUTED_VALUE"""),"")</f>
        <v/>
      </c>
      <c r="O667" s="74" t="str">
        <f>IFERROR(__xludf.DUMMYFUNCTION("""COMPUTED_VALUE"""),"")</f>
        <v/>
      </c>
      <c r="P667" s="74" t="str">
        <f>IFERROR(__xludf.DUMMYFUNCTION("""COMPUTED_VALUE"""),"")</f>
        <v/>
      </c>
    </row>
    <row r="668">
      <c r="A668" s="60"/>
      <c r="B668" s="81"/>
      <c r="E668" s="82"/>
      <c r="G668" s="82"/>
      <c r="I668" s="84"/>
      <c r="K668" s="61"/>
      <c r="N668" s="74" t="str">
        <f>IFERROR(__xludf.DUMMYFUNCTION("""COMPUTED_VALUE"""),"")</f>
        <v/>
      </c>
      <c r="O668" s="74" t="str">
        <f>IFERROR(__xludf.DUMMYFUNCTION("""COMPUTED_VALUE"""),"")</f>
        <v/>
      </c>
      <c r="P668" s="74" t="str">
        <f>IFERROR(__xludf.DUMMYFUNCTION("""COMPUTED_VALUE"""),"")</f>
        <v/>
      </c>
    </row>
    <row r="669">
      <c r="A669" s="60"/>
      <c r="B669" s="81"/>
      <c r="E669" s="82"/>
      <c r="G669" s="82"/>
      <c r="I669" s="84"/>
      <c r="K669" s="61"/>
      <c r="N669" s="74" t="str">
        <f>IFERROR(__xludf.DUMMYFUNCTION("""COMPUTED_VALUE"""),"")</f>
        <v/>
      </c>
      <c r="O669" s="74" t="str">
        <f>IFERROR(__xludf.DUMMYFUNCTION("""COMPUTED_VALUE"""),"")</f>
        <v/>
      </c>
      <c r="P669" s="74" t="str">
        <f>IFERROR(__xludf.DUMMYFUNCTION("""COMPUTED_VALUE"""),"")</f>
        <v/>
      </c>
    </row>
    <row r="670">
      <c r="A670" s="60"/>
      <c r="B670" s="81"/>
      <c r="E670" s="82"/>
      <c r="G670" s="82"/>
      <c r="I670" s="84"/>
      <c r="K670" s="61"/>
      <c r="N670" s="74" t="str">
        <f>IFERROR(__xludf.DUMMYFUNCTION("""COMPUTED_VALUE"""),"")</f>
        <v/>
      </c>
      <c r="O670" s="74" t="str">
        <f>IFERROR(__xludf.DUMMYFUNCTION("""COMPUTED_VALUE"""),"")</f>
        <v/>
      </c>
      <c r="P670" s="74" t="str">
        <f>IFERROR(__xludf.DUMMYFUNCTION("""COMPUTED_VALUE"""),"")</f>
        <v/>
      </c>
    </row>
    <row r="671">
      <c r="A671" s="60"/>
      <c r="B671" s="81"/>
      <c r="E671" s="82"/>
      <c r="G671" s="82"/>
      <c r="I671" s="84"/>
      <c r="K671" s="61"/>
      <c r="N671" s="74" t="str">
        <f>IFERROR(__xludf.DUMMYFUNCTION("""COMPUTED_VALUE"""),"")</f>
        <v/>
      </c>
      <c r="O671" s="74" t="str">
        <f>IFERROR(__xludf.DUMMYFUNCTION("""COMPUTED_VALUE"""),"")</f>
        <v/>
      </c>
      <c r="P671" s="74" t="str">
        <f>IFERROR(__xludf.DUMMYFUNCTION("""COMPUTED_VALUE"""),"")</f>
        <v/>
      </c>
    </row>
    <row r="672">
      <c r="A672" s="60"/>
      <c r="B672" s="81"/>
      <c r="E672" s="82"/>
      <c r="G672" s="82"/>
      <c r="I672" s="84"/>
      <c r="K672" s="61"/>
      <c r="N672" s="74" t="str">
        <f>IFERROR(__xludf.DUMMYFUNCTION("""COMPUTED_VALUE"""),"")</f>
        <v/>
      </c>
      <c r="O672" s="74" t="str">
        <f>IFERROR(__xludf.DUMMYFUNCTION("""COMPUTED_VALUE"""),"")</f>
        <v/>
      </c>
      <c r="P672" s="74" t="str">
        <f>IFERROR(__xludf.DUMMYFUNCTION("""COMPUTED_VALUE"""),"")</f>
        <v/>
      </c>
    </row>
    <row r="673">
      <c r="A673" s="60"/>
      <c r="B673" s="81"/>
      <c r="E673" s="82"/>
      <c r="G673" s="82"/>
      <c r="I673" s="84"/>
      <c r="K673" s="61"/>
      <c r="N673" s="74" t="str">
        <f>IFERROR(__xludf.DUMMYFUNCTION("""COMPUTED_VALUE"""),"")</f>
        <v/>
      </c>
      <c r="O673" s="74" t="str">
        <f>IFERROR(__xludf.DUMMYFUNCTION("""COMPUTED_VALUE"""),"")</f>
        <v/>
      </c>
      <c r="P673" s="74" t="str">
        <f>IFERROR(__xludf.DUMMYFUNCTION("""COMPUTED_VALUE"""),"")</f>
        <v/>
      </c>
    </row>
    <row r="674">
      <c r="A674" s="60"/>
      <c r="B674" s="81"/>
      <c r="E674" s="82"/>
      <c r="G674" s="82"/>
      <c r="I674" s="84"/>
      <c r="K674" s="61"/>
      <c r="N674" s="74" t="str">
        <f>IFERROR(__xludf.DUMMYFUNCTION("""COMPUTED_VALUE"""),"")</f>
        <v/>
      </c>
      <c r="O674" s="74" t="str">
        <f>IFERROR(__xludf.DUMMYFUNCTION("""COMPUTED_VALUE"""),"")</f>
        <v/>
      </c>
      <c r="P674" s="74" t="str">
        <f>IFERROR(__xludf.DUMMYFUNCTION("""COMPUTED_VALUE"""),"")</f>
        <v/>
      </c>
    </row>
    <row r="675">
      <c r="A675" s="60"/>
      <c r="B675" s="81"/>
      <c r="E675" s="82"/>
      <c r="G675" s="82"/>
      <c r="I675" s="84"/>
      <c r="K675" s="61"/>
      <c r="N675" s="74" t="str">
        <f>IFERROR(__xludf.DUMMYFUNCTION("""COMPUTED_VALUE"""),"")</f>
        <v/>
      </c>
      <c r="O675" s="74" t="str">
        <f>IFERROR(__xludf.DUMMYFUNCTION("""COMPUTED_VALUE"""),"")</f>
        <v/>
      </c>
      <c r="P675" s="74" t="str">
        <f>IFERROR(__xludf.DUMMYFUNCTION("""COMPUTED_VALUE"""),"")</f>
        <v/>
      </c>
    </row>
    <row r="676">
      <c r="A676" s="60"/>
      <c r="B676" s="81"/>
      <c r="E676" s="82"/>
      <c r="G676" s="82"/>
      <c r="I676" s="84"/>
      <c r="K676" s="61"/>
      <c r="N676" s="74" t="str">
        <f>IFERROR(__xludf.DUMMYFUNCTION("""COMPUTED_VALUE"""),"")</f>
        <v/>
      </c>
      <c r="O676" s="74" t="str">
        <f>IFERROR(__xludf.DUMMYFUNCTION("""COMPUTED_VALUE"""),"")</f>
        <v/>
      </c>
      <c r="P676" s="74" t="str">
        <f>IFERROR(__xludf.DUMMYFUNCTION("""COMPUTED_VALUE"""),"")</f>
        <v/>
      </c>
    </row>
    <row r="677">
      <c r="A677" s="60"/>
      <c r="B677" s="81"/>
      <c r="E677" s="82"/>
      <c r="G677" s="82"/>
      <c r="I677" s="84"/>
      <c r="K677" s="61"/>
      <c r="N677" s="74" t="str">
        <f>IFERROR(__xludf.DUMMYFUNCTION("""COMPUTED_VALUE"""),"")</f>
        <v/>
      </c>
      <c r="O677" s="74" t="str">
        <f>IFERROR(__xludf.DUMMYFUNCTION("""COMPUTED_VALUE"""),"")</f>
        <v/>
      </c>
      <c r="P677" s="74" t="str">
        <f>IFERROR(__xludf.DUMMYFUNCTION("""COMPUTED_VALUE"""),"")</f>
        <v/>
      </c>
    </row>
    <row r="678">
      <c r="A678" s="60"/>
      <c r="B678" s="81"/>
      <c r="E678" s="82"/>
      <c r="G678" s="82"/>
      <c r="I678" s="84"/>
      <c r="K678" s="61"/>
      <c r="N678" s="74" t="str">
        <f>IFERROR(__xludf.DUMMYFUNCTION("""COMPUTED_VALUE"""),"")</f>
        <v/>
      </c>
      <c r="O678" s="74" t="str">
        <f>IFERROR(__xludf.DUMMYFUNCTION("""COMPUTED_VALUE"""),"")</f>
        <v/>
      </c>
      <c r="P678" s="74" t="str">
        <f>IFERROR(__xludf.DUMMYFUNCTION("""COMPUTED_VALUE"""),"")</f>
        <v/>
      </c>
    </row>
    <row r="679">
      <c r="A679" s="60"/>
      <c r="B679" s="81"/>
      <c r="E679" s="82"/>
      <c r="G679" s="82"/>
      <c r="I679" s="84"/>
      <c r="K679" s="61"/>
      <c r="N679" s="74" t="str">
        <f>IFERROR(__xludf.DUMMYFUNCTION("""COMPUTED_VALUE"""),"")</f>
        <v/>
      </c>
      <c r="O679" s="74" t="str">
        <f>IFERROR(__xludf.DUMMYFUNCTION("""COMPUTED_VALUE"""),"")</f>
        <v/>
      </c>
      <c r="P679" s="74" t="str">
        <f>IFERROR(__xludf.DUMMYFUNCTION("""COMPUTED_VALUE"""),"")</f>
        <v/>
      </c>
    </row>
    <row r="680">
      <c r="A680" s="60"/>
      <c r="B680" s="81"/>
      <c r="E680" s="82"/>
      <c r="G680" s="82"/>
      <c r="I680" s="84"/>
      <c r="K680" s="61"/>
      <c r="N680" s="74" t="str">
        <f>IFERROR(__xludf.DUMMYFUNCTION("""COMPUTED_VALUE"""),"")</f>
        <v/>
      </c>
      <c r="O680" s="74" t="str">
        <f>IFERROR(__xludf.DUMMYFUNCTION("""COMPUTED_VALUE"""),"")</f>
        <v/>
      </c>
      <c r="P680" s="74" t="str">
        <f>IFERROR(__xludf.DUMMYFUNCTION("""COMPUTED_VALUE"""),"")</f>
        <v/>
      </c>
    </row>
    <row r="681">
      <c r="A681" s="60"/>
      <c r="B681" s="81"/>
      <c r="E681" s="82"/>
      <c r="G681" s="82"/>
      <c r="I681" s="84"/>
      <c r="K681" s="61"/>
      <c r="N681" s="74" t="str">
        <f>IFERROR(__xludf.DUMMYFUNCTION("""COMPUTED_VALUE"""),"")</f>
        <v/>
      </c>
      <c r="O681" s="74" t="str">
        <f>IFERROR(__xludf.DUMMYFUNCTION("""COMPUTED_VALUE"""),"")</f>
        <v/>
      </c>
      <c r="P681" s="74" t="str">
        <f>IFERROR(__xludf.DUMMYFUNCTION("""COMPUTED_VALUE"""),"")</f>
        <v/>
      </c>
    </row>
    <row r="682">
      <c r="A682" s="60"/>
      <c r="B682" s="81"/>
      <c r="E682" s="82"/>
      <c r="G682" s="82"/>
      <c r="I682" s="84"/>
      <c r="K682" s="61"/>
      <c r="N682" s="74" t="str">
        <f>IFERROR(__xludf.DUMMYFUNCTION("""COMPUTED_VALUE"""),"")</f>
        <v/>
      </c>
      <c r="O682" s="74" t="str">
        <f>IFERROR(__xludf.DUMMYFUNCTION("""COMPUTED_VALUE"""),"")</f>
        <v/>
      </c>
      <c r="P682" s="74" t="str">
        <f>IFERROR(__xludf.DUMMYFUNCTION("""COMPUTED_VALUE"""),"")</f>
        <v/>
      </c>
    </row>
    <row r="683">
      <c r="A683" s="60"/>
      <c r="B683" s="81"/>
      <c r="E683" s="82"/>
      <c r="G683" s="82"/>
      <c r="I683" s="84"/>
      <c r="K683" s="61"/>
      <c r="N683" s="74" t="str">
        <f>IFERROR(__xludf.DUMMYFUNCTION("""COMPUTED_VALUE"""),"")</f>
        <v/>
      </c>
      <c r="O683" s="74" t="str">
        <f>IFERROR(__xludf.DUMMYFUNCTION("""COMPUTED_VALUE"""),"")</f>
        <v/>
      </c>
      <c r="P683" s="74" t="str">
        <f>IFERROR(__xludf.DUMMYFUNCTION("""COMPUTED_VALUE"""),"")</f>
        <v/>
      </c>
    </row>
    <row r="684">
      <c r="A684" s="60"/>
      <c r="B684" s="81"/>
      <c r="E684" s="82"/>
      <c r="G684" s="82"/>
      <c r="I684" s="84"/>
      <c r="K684" s="61"/>
      <c r="N684" s="74" t="str">
        <f>IFERROR(__xludf.DUMMYFUNCTION("""COMPUTED_VALUE"""),"")</f>
        <v/>
      </c>
      <c r="O684" s="74" t="str">
        <f>IFERROR(__xludf.DUMMYFUNCTION("""COMPUTED_VALUE"""),"")</f>
        <v/>
      </c>
      <c r="P684" s="74" t="str">
        <f>IFERROR(__xludf.DUMMYFUNCTION("""COMPUTED_VALUE"""),"")</f>
        <v/>
      </c>
    </row>
    <row r="685">
      <c r="A685" s="60"/>
      <c r="B685" s="81"/>
      <c r="E685" s="82"/>
      <c r="G685" s="82"/>
      <c r="I685" s="84"/>
      <c r="K685" s="61"/>
      <c r="N685" s="74" t="str">
        <f>IFERROR(__xludf.DUMMYFUNCTION("""COMPUTED_VALUE"""),"")</f>
        <v/>
      </c>
      <c r="O685" s="74" t="str">
        <f>IFERROR(__xludf.DUMMYFUNCTION("""COMPUTED_VALUE"""),"")</f>
        <v/>
      </c>
      <c r="P685" s="74" t="str">
        <f>IFERROR(__xludf.DUMMYFUNCTION("""COMPUTED_VALUE"""),"")</f>
        <v/>
      </c>
    </row>
    <row r="686">
      <c r="A686" s="60"/>
      <c r="B686" s="81"/>
      <c r="E686" s="82"/>
      <c r="G686" s="82"/>
      <c r="I686" s="84"/>
      <c r="K686" s="61"/>
      <c r="N686" s="74" t="str">
        <f>IFERROR(__xludf.DUMMYFUNCTION("""COMPUTED_VALUE"""),"")</f>
        <v/>
      </c>
      <c r="O686" s="74" t="str">
        <f>IFERROR(__xludf.DUMMYFUNCTION("""COMPUTED_VALUE"""),"")</f>
        <v/>
      </c>
      <c r="P686" s="74" t="str">
        <f>IFERROR(__xludf.DUMMYFUNCTION("""COMPUTED_VALUE"""),"")</f>
        <v/>
      </c>
    </row>
    <row r="687">
      <c r="A687" s="60"/>
      <c r="B687" s="81"/>
      <c r="E687" s="82"/>
      <c r="G687" s="82"/>
      <c r="I687" s="84"/>
      <c r="K687" s="61"/>
      <c r="N687" s="74" t="str">
        <f>IFERROR(__xludf.DUMMYFUNCTION("""COMPUTED_VALUE"""),"")</f>
        <v/>
      </c>
      <c r="O687" s="74" t="str">
        <f>IFERROR(__xludf.DUMMYFUNCTION("""COMPUTED_VALUE"""),"")</f>
        <v/>
      </c>
      <c r="P687" s="74" t="str">
        <f>IFERROR(__xludf.DUMMYFUNCTION("""COMPUTED_VALUE"""),"")</f>
        <v/>
      </c>
    </row>
    <row r="688">
      <c r="A688" s="60"/>
      <c r="B688" s="81"/>
      <c r="E688" s="82"/>
      <c r="G688" s="82"/>
      <c r="I688" s="84"/>
      <c r="K688" s="61"/>
      <c r="N688" s="74" t="str">
        <f>IFERROR(__xludf.DUMMYFUNCTION("""COMPUTED_VALUE"""),"")</f>
        <v/>
      </c>
      <c r="O688" s="74" t="str">
        <f>IFERROR(__xludf.DUMMYFUNCTION("""COMPUTED_VALUE"""),"")</f>
        <v/>
      </c>
      <c r="P688" s="74" t="str">
        <f>IFERROR(__xludf.DUMMYFUNCTION("""COMPUTED_VALUE"""),"")</f>
        <v/>
      </c>
    </row>
    <row r="689">
      <c r="A689" s="60"/>
      <c r="B689" s="81"/>
      <c r="E689" s="82"/>
      <c r="G689" s="82"/>
      <c r="I689" s="84"/>
      <c r="K689" s="61"/>
      <c r="N689" s="74" t="str">
        <f>IFERROR(__xludf.DUMMYFUNCTION("""COMPUTED_VALUE"""),"")</f>
        <v/>
      </c>
      <c r="O689" s="74" t="str">
        <f>IFERROR(__xludf.DUMMYFUNCTION("""COMPUTED_VALUE"""),"")</f>
        <v/>
      </c>
      <c r="P689" s="74" t="str">
        <f>IFERROR(__xludf.DUMMYFUNCTION("""COMPUTED_VALUE"""),"")</f>
        <v/>
      </c>
    </row>
    <row r="690">
      <c r="A690" s="60"/>
      <c r="B690" s="81"/>
      <c r="E690" s="82"/>
      <c r="G690" s="82"/>
      <c r="I690" s="84"/>
      <c r="K690" s="61"/>
      <c r="N690" s="74" t="str">
        <f>IFERROR(__xludf.DUMMYFUNCTION("""COMPUTED_VALUE"""),"")</f>
        <v/>
      </c>
      <c r="O690" s="74" t="str">
        <f>IFERROR(__xludf.DUMMYFUNCTION("""COMPUTED_VALUE"""),"")</f>
        <v/>
      </c>
      <c r="P690" s="74" t="str">
        <f>IFERROR(__xludf.DUMMYFUNCTION("""COMPUTED_VALUE"""),"")</f>
        <v/>
      </c>
    </row>
    <row r="691">
      <c r="A691" s="60"/>
      <c r="B691" s="81"/>
      <c r="E691" s="82"/>
      <c r="G691" s="82"/>
      <c r="I691" s="84"/>
      <c r="K691" s="61"/>
      <c r="N691" s="74" t="str">
        <f>IFERROR(__xludf.DUMMYFUNCTION("""COMPUTED_VALUE"""),"")</f>
        <v/>
      </c>
      <c r="O691" s="74" t="str">
        <f>IFERROR(__xludf.DUMMYFUNCTION("""COMPUTED_VALUE"""),"")</f>
        <v/>
      </c>
      <c r="P691" s="74" t="str">
        <f>IFERROR(__xludf.DUMMYFUNCTION("""COMPUTED_VALUE"""),"")</f>
        <v/>
      </c>
    </row>
    <row r="692">
      <c r="A692" s="60"/>
      <c r="B692" s="81"/>
      <c r="E692" s="82"/>
      <c r="G692" s="82"/>
      <c r="I692" s="84"/>
      <c r="K692" s="61"/>
      <c r="N692" s="74" t="str">
        <f>IFERROR(__xludf.DUMMYFUNCTION("""COMPUTED_VALUE"""),"")</f>
        <v/>
      </c>
      <c r="O692" s="74" t="str">
        <f>IFERROR(__xludf.DUMMYFUNCTION("""COMPUTED_VALUE"""),"")</f>
        <v/>
      </c>
      <c r="P692" s="74" t="str">
        <f>IFERROR(__xludf.DUMMYFUNCTION("""COMPUTED_VALUE"""),"")</f>
        <v/>
      </c>
    </row>
    <row r="693">
      <c r="A693" s="60"/>
      <c r="B693" s="81"/>
      <c r="E693" s="82"/>
      <c r="G693" s="82"/>
      <c r="I693" s="84"/>
      <c r="K693" s="61"/>
      <c r="N693" s="74" t="str">
        <f>IFERROR(__xludf.DUMMYFUNCTION("""COMPUTED_VALUE"""),"")</f>
        <v/>
      </c>
      <c r="O693" s="74" t="str">
        <f>IFERROR(__xludf.DUMMYFUNCTION("""COMPUTED_VALUE"""),"")</f>
        <v/>
      </c>
      <c r="P693" s="74" t="str">
        <f>IFERROR(__xludf.DUMMYFUNCTION("""COMPUTED_VALUE"""),"")</f>
        <v/>
      </c>
    </row>
    <row r="694">
      <c r="A694" s="60"/>
      <c r="B694" s="81"/>
      <c r="E694" s="82"/>
      <c r="G694" s="82"/>
      <c r="I694" s="84"/>
      <c r="K694" s="61"/>
      <c r="N694" s="74" t="str">
        <f>IFERROR(__xludf.DUMMYFUNCTION("""COMPUTED_VALUE"""),"")</f>
        <v/>
      </c>
      <c r="O694" s="74" t="str">
        <f>IFERROR(__xludf.DUMMYFUNCTION("""COMPUTED_VALUE"""),"")</f>
        <v/>
      </c>
      <c r="P694" s="74" t="str">
        <f>IFERROR(__xludf.DUMMYFUNCTION("""COMPUTED_VALUE"""),"")</f>
        <v/>
      </c>
    </row>
    <row r="695">
      <c r="A695" s="60"/>
      <c r="B695" s="81"/>
      <c r="E695" s="82"/>
      <c r="G695" s="82"/>
      <c r="I695" s="84"/>
      <c r="K695" s="61"/>
      <c r="N695" s="74" t="str">
        <f>IFERROR(__xludf.DUMMYFUNCTION("""COMPUTED_VALUE"""),"")</f>
        <v/>
      </c>
      <c r="O695" s="74" t="str">
        <f>IFERROR(__xludf.DUMMYFUNCTION("""COMPUTED_VALUE"""),"")</f>
        <v/>
      </c>
      <c r="P695" s="74" t="str">
        <f>IFERROR(__xludf.DUMMYFUNCTION("""COMPUTED_VALUE"""),"")</f>
        <v/>
      </c>
    </row>
    <row r="696">
      <c r="A696" s="60"/>
      <c r="B696" s="81"/>
      <c r="E696" s="82"/>
      <c r="G696" s="82"/>
      <c r="I696" s="84"/>
      <c r="K696" s="61"/>
      <c r="N696" s="74" t="str">
        <f>IFERROR(__xludf.DUMMYFUNCTION("""COMPUTED_VALUE"""),"")</f>
        <v/>
      </c>
      <c r="O696" s="74" t="str">
        <f>IFERROR(__xludf.DUMMYFUNCTION("""COMPUTED_VALUE"""),"")</f>
        <v/>
      </c>
      <c r="P696" s="74" t="str">
        <f>IFERROR(__xludf.DUMMYFUNCTION("""COMPUTED_VALUE"""),"")</f>
        <v/>
      </c>
    </row>
    <row r="697">
      <c r="A697" s="60"/>
      <c r="B697" s="81"/>
      <c r="E697" s="82"/>
      <c r="G697" s="82"/>
      <c r="I697" s="84"/>
      <c r="K697" s="61"/>
      <c r="N697" s="74" t="str">
        <f>IFERROR(__xludf.DUMMYFUNCTION("""COMPUTED_VALUE"""),"")</f>
        <v/>
      </c>
      <c r="O697" s="74" t="str">
        <f>IFERROR(__xludf.DUMMYFUNCTION("""COMPUTED_VALUE"""),"")</f>
        <v/>
      </c>
      <c r="P697" s="74" t="str">
        <f>IFERROR(__xludf.DUMMYFUNCTION("""COMPUTED_VALUE"""),"")</f>
        <v/>
      </c>
    </row>
    <row r="698">
      <c r="A698" s="60"/>
      <c r="B698" s="81"/>
      <c r="E698" s="82"/>
      <c r="G698" s="82"/>
      <c r="I698" s="84"/>
      <c r="K698" s="61"/>
      <c r="N698" s="74" t="str">
        <f>IFERROR(__xludf.DUMMYFUNCTION("""COMPUTED_VALUE"""),"")</f>
        <v/>
      </c>
      <c r="O698" s="74" t="str">
        <f>IFERROR(__xludf.DUMMYFUNCTION("""COMPUTED_VALUE"""),"")</f>
        <v/>
      </c>
      <c r="P698" s="74" t="str">
        <f>IFERROR(__xludf.DUMMYFUNCTION("""COMPUTED_VALUE"""),"")</f>
        <v/>
      </c>
    </row>
    <row r="699">
      <c r="A699" s="60"/>
      <c r="B699" s="81"/>
      <c r="E699" s="82"/>
      <c r="G699" s="82"/>
      <c r="I699" s="84"/>
      <c r="K699" s="61"/>
      <c r="N699" s="74" t="str">
        <f>IFERROR(__xludf.DUMMYFUNCTION("""COMPUTED_VALUE"""),"")</f>
        <v/>
      </c>
      <c r="O699" s="74" t="str">
        <f>IFERROR(__xludf.DUMMYFUNCTION("""COMPUTED_VALUE"""),"")</f>
        <v/>
      </c>
      <c r="P699" s="74" t="str">
        <f>IFERROR(__xludf.DUMMYFUNCTION("""COMPUTED_VALUE"""),"")</f>
        <v/>
      </c>
    </row>
    <row r="700">
      <c r="A700" s="60"/>
      <c r="B700" s="81"/>
      <c r="E700" s="82"/>
      <c r="G700" s="82"/>
      <c r="I700" s="84"/>
      <c r="K700" s="61"/>
      <c r="N700" s="74" t="str">
        <f>IFERROR(__xludf.DUMMYFUNCTION("""COMPUTED_VALUE"""),"")</f>
        <v/>
      </c>
      <c r="O700" s="74" t="str">
        <f>IFERROR(__xludf.DUMMYFUNCTION("""COMPUTED_VALUE"""),"")</f>
        <v/>
      </c>
      <c r="P700" s="74" t="str">
        <f>IFERROR(__xludf.DUMMYFUNCTION("""COMPUTED_VALUE"""),"")</f>
        <v/>
      </c>
    </row>
    <row r="701">
      <c r="A701" s="60"/>
      <c r="B701" s="81"/>
      <c r="E701" s="82"/>
      <c r="G701" s="82"/>
      <c r="I701" s="84"/>
      <c r="K701" s="61"/>
      <c r="N701" s="74" t="str">
        <f>IFERROR(__xludf.DUMMYFUNCTION("""COMPUTED_VALUE"""),"")</f>
        <v/>
      </c>
      <c r="O701" s="74" t="str">
        <f>IFERROR(__xludf.DUMMYFUNCTION("""COMPUTED_VALUE"""),"")</f>
        <v/>
      </c>
      <c r="P701" s="74" t="str">
        <f>IFERROR(__xludf.DUMMYFUNCTION("""COMPUTED_VALUE"""),"")</f>
        <v/>
      </c>
    </row>
    <row r="702">
      <c r="A702" s="60"/>
      <c r="B702" s="81"/>
      <c r="E702" s="82"/>
      <c r="G702" s="82"/>
      <c r="I702" s="84"/>
      <c r="K702" s="61"/>
      <c r="N702" s="74" t="str">
        <f>IFERROR(__xludf.DUMMYFUNCTION("""COMPUTED_VALUE"""),"")</f>
        <v/>
      </c>
      <c r="O702" s="74" t="str">
        <f>IFERROR(__xludf.DUMMYFUNCTION("""COMPUTED_VALUE"""),"")</f>
        <v/>
      </c>
      <c r="P702" s="74" t="str">
        <f>IFERROR(__xludf.DUMMYFUNCTION("""COMPUTED_VALUE"""),"")</f>
        <v/>
      </c>
    </row>
    <row r="703">
      <c r="A703" s="60"/>
      <c r="B703" s="81"/>
      <c r="E703" s="82"/>
      <c r="G703" s="82"/>
      <c r="I703" s="84"/>
      <c r="K703" s="61"/>
      <c r="N703" s="74" t="str">
        <f>IFERROR(__xludf.DUMMYFUNCTION("""COMPUTED_VALUE"""),"")</f>
        <v/>
      </c>
      <c r="O703" s="74" t="str">
        <f>IFERROR(__xludf.DUMMYFUNCTION("""COMPUTED_VALUE"""),"")</f>
        <v/>
      </c>
      <c r="P703" s="74" t="str">
        <f>IFERROR(__xludf.DUMMYFUNCTION("""COMPUTED_VALUE"""),"")</f>
        <v/>
      </c>
    </row>
    <row r="704">
      <c r="A704" s="60"/>
      <c r="B704" s="81"/>
      <c r="E704" s="82"/>
      <c r="G704" s="82"/>
      <c r="I704" s="84"/>
      <c r="K704" s="61"/>
      <c r="N704" s="74" t="str">
        <f>IFERROR(__xludf.DUMMYFUNCTION("""COMPUTED_VALUE"""),"")</f>
        <v/>
      </c>
      <c r="O704" s="74" t="str">
        <f>IFERROR(__xludf.DUMMYFUNCTION("""COMPUTED_VALUE"""),"")</f>
        <v/>
      </c>
      <c r="P704" s="74" t="str">
        <f>IFERROR(__xludf.DUMMYFUNCTION("""COMPUTED_VALUE"""),"")</f>
        <v/>
      </c>
    </row>
    <row r="705">
      <c r="A705" s="60"/>
      <c r="B705" s="81"/>
      <c r="E705" s="82"/>
      <c r="G705" s="82"/>
      <c r="I705" s="84"/>
      <c r="K705" s="61"/>
      <c r="N705" s="74" t="str">
        <f>IFERROR(__xludf.DUMMYFUNCTION("""COMPUTED_VALUE"""),"")</f>
        <v/>
      </c>
      <c r="O705" s="74" t="str">
        <f>IFERROR(__xludf.DUMMYFUNCTION("""COMPUTED_VALUE"""),"")</f>
        <v/>
      </c>
      <c r="P705" s="74" t="str">
        <f>IFERROR(__xludf.DUMMYFUNCTION("""COMPUTED_VALUE"""),"")</f>
        <v/>
      </c>
    </row>
    <row r="706">
      <c r="A706" s="60"/>
      <c r="B706" s="81"/>
      <c r="E706" s="82"/>
      <c r="G706" s="82"/>
      <c r="I706" s="84"/>
      <c r="K706" s="61"/>
      <c r="N706" s="74" t="str">
        <f>IFERROR(__xludf.DUMMYFUNCTION("""COMPUTED_VALUE"""),"")</f>
        <v/>
      </c>
      <c r="O706" s="74" t="str">
        <f>IFERROR(__xludf.DUMMYFUNCTION("""COMPUTED_VALUE"""),"")</f>
        <v/>
      </c>
      <c r="P706" s="74" t="str">
        <f>IFERROR(__xludf.DUMMYFUNCTION("""COMPUTED_VALUE"""),"")</f>
        <v/>
      </c>
    </row>
    <row r="707">
      <c r="A707" s="60"/>
      <c r="B707" s="81"/>
      <c r="E707" s="82"/>
      <c r="G707" s="82"/>
      <c r="I707" s="84"/>
      <c r="K707" s="61"/>
      <c r="N707" s="74" t="str">
        <f>IFERROR(__xludf.DUMMYFUNCTION("""COMPUTED_VALUE"""),"")</f>
        <v/>
      </c>
      <c r="O707" s="74" t="str">
        <f>IFERROR(__xludf.DUMMYFUNCTION("""COMPUTED_VALUE"""),"")</f>
        <v/>
      </c>
      <c r="P707" s="74" t="str">
        <f>IFERROR(__xludf.DUMMYFUNCTION("""COMPUTED_VALUE"""),"")</f>
        <v/>
      </c>
    </row>
    <row r="708">
      <c r="A708" s="60"/>
      <c r="B708" s="81"/>
      <c r="E708" s="82"/>
      <c r="G708" s="82"/>
      <c r="I708" s="84"/>
      <c r="K708" s="61"/>
      <c r="N708" s="74" t="str">
        <f>IFERROR(__xludf.DUMMYFUNCTION("""COMPUTED_VALUE"""),"")</f>
        <v/>
      </c>
      <c r="O708" s="74" t="str">
        <f>IFERROR(__xludf.DUMMYFUNCTION("""COMPUTED_VALUE"""),"")</f>
        <v/>
      </c>
      <c r="P708" s="74" t="str">
        <f>IFERROR(__xludf.DUMMYFUNCTION("""COMPUTED_VALUE"""),"")</f>
        <v/>
      </c>
    </row>
    <row r="709">
      <c r="A709" s="60"/>
      <c r="B709" s="81"/>
      <c r="E709" s="82"/>
      <c r="G709" s="82"/>
      <c r="I709" s="84"/>
      <c r="K709" s="61"/>
      <c r="N709" s="74" t="str">
        <f>IFERROR(__xludf.DUMMYFUNCTION("""COMPUTED_VALUE"""),"")</f>
        <v/>
      </c>
      <c r="O709" s="74" t="str">
        <f>IFERROR(__xludf.DUMMYFUNCTION("""COMPUTED_VALUE"""),"")</f>
        <v/>
      </c>
      <c r="P709" s="74" t="str">
        <f>IFERROR(__xludf.DUMMYFUNCTION("""COMPUTED_VALUE"""),"")</f>
        <v/>
      </c>
    </row>
    <row r="710">
      <c r="A710" s="60"/>
      <c r="B710" s="81"/>
      <c r="E710" s="82"/>
      <c r="G710" s="82"/>
      <c r="I710" s="84"/>
      <c r="K710" s="61"/>
      <c r="N710" s="74" t="str">
        <f>IFERROR(__xludf.DUMMYFUNCTION("""COMPUTED_VALUE"""),"")</f>
        <v/>
      </c>
      <c r="O710" s="74" t="str">
        <f>IFERROR(__xludf.DUMMYFUNCTION("""COMPUTED_VALUE"""),"")</f>
        <v/>
      </c>
      <c r="P710" s="74" t="str">
        <f>IFERROR(__xludf.DUMMYFUNCTION("""COMPUTED_VALUE"""),"")</f>
        <v/>
      </c>
    </row>
    <row r="711">
      <c r="A711" s="60"/>
      <c r="B711" s="81"/>
      <c r="E711" s="82"/>
      <c r="G711" s="82"/>
      <c r="I711" s="84"/>
      <c r="K711" s="61"/>
      <c r="N711" s="74" t="str">
        <f>IFERROR(__xludf.DUMMYFUNCTION("""COMPUTED_VALUE"""),"")</f>
        <v/>
      </c>
      <c r="O711" s="74" t="str">
        <f>IFERROR(__xludf.DUMMYFUNCTION("""COMPUTED_VALUE"""),"")</f>
        <v/>
      </c>
      <c r="P711" s="74" t="str">
        <f>IFERROR(__xludf.DUMMYFUNCTION("""COMPUTED_VALUE"""),"")</f>
        <v/>
      </c>
    </row>
    <row r="712">
      <c r="A712" s="60"/>
      <c r="B712" s="81"/>
      <c r="E712" s="82"/>
      <c r="G712" s="82"/>
      <c r="I712" s="84"/>
      <c r="K712" s="61"/>
      <c r="N712" s="74" t="str">
        <f>IFERROR(__xludf.DUMMYFUNCTION("""COMPUTED_VALUE"""),"")</f>
        <v/>
      </c>
      <c r="O712" s="74" t="str">
        <f>IFERROR(__xludf.DUMMYFUNCTION("""COMPUTED_VALUE"""),"")</f>
        <v/>
      </c>
      <c r="P712" s="74" t="str">
        <f>IFERROR(__xludf.DUMMYFUNCTION("""COMPUTED_VALUE"""),"")</f>
        <v/>
      </c>
    </row>
    <row r="713">
      <c r="A713" s="60"/>
      <c r="B713" s="81"/>
      <c r="E713" s="82"/>
      <c r="G713" s="82"/>
      <c r="I713" s="84"/>
      <c r="K713" s="61"/>
      <c r="N713" s="74" t="str">
        <f>IFERROR(__xludf.DUMMYFUNCTION("""COMPUTED_VALUE"""),"")</f>
        <v/>
      </c>
      <c r="O713" s="74" t="str">
        <f>IFERROR(__xludf.DUMMYFUNCTION("""COMPUTED_VALUE"""),"")</f>
        <v/>
      </c>
      <c r="P713" s="74" t="str">
        <f>IFERROR(__xludf.DUMMYFUNCTION("""COMPUTED_VALUE"""),"")</f>
        <v/>
      </c>
    </row>
    <row r="714">
      <c r="A714" s="60"/>
      <c r="B714" s="81"/>
      <c r="E714" s="82"/>
      <c r="G714" s="82"/>
      <c r="I714" s="84"/>
      <c r="K714" s="61"/>
      <c r="N714" s="74" t="str">
        <f>IFERROR(__xludf.DUMMYFUNCTION("""COMPUTED_VALUE"""),"")</f>
        <v/>
      </c>
      <c r="O714" s="74" t="str">
        <f>IFERROR(__xludf.DUMMYFUNCTION("""COMPUTED_VALUE"""),"")</f>
        <v/>
      </c>
      <c r="P714" s="74" t="str">
        <f>IFERROR(__xludf.DUMMYFUNCTION("""COMPUTED_VALUE"""),"")</f>
        <v/>
      </c>
    </row>
    <row r="715">
      <c r="A715" s="60"/>
      <c r="B715" s="81"/>
      <c r="E715" s="82"/>
      <c r="G715" s="82"/>
      <c r="I715" s="84"/>
      <c r="K715" s="61"/>
      <c r="N715" s="74" t="str">
        <f>IFERROR(__xludf.DUMMYFUNCTION("""COMPUTED_VALUE"""),"")</f>
        <v/>
      </c>
      <c r="O715" s="74" t="str">
        <f>IFERROR(__xludf.DUMMYFUNCTION("""COMPUTED_VALUE"""),"")</f>
        <v/>
      </c>
      <c r="P715" s="74" t="str">
        <f>IFERROR(__xludf.DUMMYFUNCTION("""COMPUTED_VALUE"""),"")</f>
        <v/>
      </c>
    </row>
    <row r="716">
      <c r="A716" s="60"/>
      <c r="B716" s="81"/>
      <c r="E716" s="82"/>
      <c r="G716" s="82"/>
      <c r="I716" s="84"/>
      <c r="K716" s="61"/>
      <c r="N716" s="74" t="str">
        <f>IFERROR(__xludf.DUMMYFUNCTION("""COMPUTED_VALUE"""),"")</f>
        <v/>
      </c>
      <c r="O716" s="74" t="str">
        <f>IFERROR(__xludf.DUMMYFUNCTION("""COMPUTED_VALUE"""),"")</f>
        <v/>
      </c>
      <c r="P716" s="74" t="str">
        <f>IFERROR(__xludf.DUMMYFUNCTION("""COMPUTED_VALUE"""),"")</f>
        <v/>
      </c>
    </row>
    <row r="717">
      <c r="A717" s="60"/>
      <c r="B717" s="81"/>
      <c r="E717" s="82"/>
      <c r="G717" s="82"/>
      <c r="I717" s="84"/>
      <c r="K717" s="61"/>
      <c r="N717" s="74" t="str">
        <f>IFERROR(__xludf.DUMMYFUNCTION("""COMPUTED_VALUE"""),"")</f>
        <v/>
      </c>
      <c r="O717" s="74" t="str">
        <f>IFERROR(__xludf.DUMMYFUNCTION("""COMPUTED_VALUE"""),"")</f>
        <v/>
      </c>
      <c r="P717" s="74" t="str">
        <f>IFERROR(__xludf.DUMMYFUNCTION("""COMPUTED_VALUE"""),"")</f>
        <v/>
      </c>
    </row>
    <row r="718">
      <c r="A718" s="60"/>
      <c r="B718" s="81"/>
      <c r="E718" s="82"/>
      <c r="G718" s="82"/>
      <c r="I718" s="84"/>
      <c r="K718" s="61"/>
      <c r="N718" s="74" t="str">
        <f>IFERROR(__xludf.DUMMYFUNCTION("""COMPUTED_VALUE"""),"")</f>
        <v/>
      </c>
      <c r="O718" s="74" t="str">
        <f>IFERROR(__xludf.DUMMYFUNCTION("""COMPUTED_VALUE"""),"")</f>
        <v/>
      </c>
      <c r="P718" s="74" t="str">
        <f>IFERROR(__xludf.DUMMYFUNCTION("""COMPUTED_VALUE"""),"")</f>
        <v/>
      </c>
    </row>
    <row r="719">
      <c r="A719" s="60"/>
      <c r="B719" s="81"/>
      <c r="E719" s="82"/>
      <c r="G719" s="82"/>
      <c r="I719" s="84"/>
      <c r="K719" s="61"/>
      <c r="N719" s="74" t="str">
        <f>IFERROR(__xludf.DUMMYFUNCTION("""COMPUTED_VALUE"""),"")</f>
        <v/>
      </c>
      <c r="O719" s="74" t="str">
        <f>IFERROR(__xludf.DUMMYFUNCTION("""COMPUTED_VALUE"""),"")</f>
        <v/>
      </c>
      <c r="P719" s="74" t="str">
        <f>IFERROR(__xludf.DUMMYFUNCTION("""COMPUTED_VALUE"""),"")</f>
        <v/>
      </c>
    </row>
    <row r="720">
      <c r="A720" s="60"/>
      <c r="B720" s="81"/>
      <c r="E720" s="82"/>
      <c r="G720" s="82"/>
      <c r="I720" s="84"/>
      <c r="K720" s="61"/>
      <c r="N720" s="74" t="str">
        <f>IFERROR(__xludf.DUMMYFUNCTION("""COMPUTED_VALUE"""),"")</f>
        <v/>
      </c>
      <c r="O720" s="74" t="str">
        <f>IFERROR(__xludf.DUMMYFUNCTION("""COMPUTED_VALUE"""),"")</f>
        <v/>
      </c>
      <c r="P720" s="74" t="str">
        <f>IFERROR(__xludf.DUMMYFUNCTION("""COMPUTED_VALUE"""),"")</f>
        <v/>
      </c>
    </row>
    <row r="721">
      <c r="A721" s="60"/>
      <c r="B721" s="81"/>
      <c r="E721" s="82"/>
      <c r="G721" s="82"/>
      <c r="I721" s="84"/>
      <c r="K721" s="61"/>
      <c r="N721" s="74" t="str">
        <f>IFERROR(__xludf.DUMMYFUNCTION("""COMPUTED_VALUE"""),"")</f>
        <v/>
      </c>
      <c r="O721" s="74" t="str">
        <f>IFERROR(__xludf.DUMMYFUNCTION("""COMPUTED_VALUE"""),"")</f>
        <v/>
      </c>
      <c r="P721" s="74" t="str">
        <f>IFERROR(__xludf.DUMMYFUNCTION("""COMPUTED_VALUE"""),"")</f>
        <v/>
      </c>
    </row>
    <row r="722">
      <c r="A722" s="60"/>
      <c r="B722" s="81"/>
      <c r="E722" s="82"/>
      <c r="G722" s="82"/>
      <c r="I722" s="84"/>
      <c r="K722" s="61"/>
      <c r="N722" s="74" t="str">
        <f>IFERROR(__xludf.DUMMYFUNCTION("""COMPUTED_VALUE"""),"")</f>
        <v/>
      </c>
      <c r="O722" s="74" t="str">
        <f>IFERROR(__xludf.DUMMYFUNCTION("""COMPUTED_VALUE"""),"")</f>
        <v/>
      </c>
      <c r="P722" s="74" t="str">
        <f>IFERROR(__xludf.DUMMYFUNCTION("""COMPUTED_VALUE"""),"")</f>
        <v/>
      </c>
    </row>
    <row r="723">
      <c r="A723" s="60"/>
      <c r="B723" s="81"/>
      <c r="E723" s="82"/>
      <c r="G723" s="82"/>
      <c r="I723" s="84"/>
      <c r="K723" s="61"/>
      <c r="N723" s="74" t="str">
        <f>IFERROR(__xludf.DUMMYFUNCTION("""COMPUTED_VALUE"""),"")</f>
        <v/>
      </c>
      <c r="O723" s="74" t="str">
        <f>IFERROR(__xludf.DUMMYFUNCTION("""COMPUTED_VALUE"""),"")</f>
        <v/>
      </c>
      <c r="P723" s="74" t="str">
        <f>IFERROR(__xludf.DUMMYFUNCTION("""COMPUTED_VALUE"""),"")</f>
        <v/>
      </c>
    </row>
    <row r="724">
      <c r="A724" s="60"/>
      <c r="B724" s="81"/>
      <c r="E724" s="82"/>
      <c r="G724" s="82"/>
      <c r="I724" s="84"/>
      <c r="K724" s="61"/>
      <c r="N724" s="74" t="str">
        <f>IFERROR(__xludf.DUMMYFUNCTION("""COMPUTED_VALUE"""),"")</f>
        <v/>
      </c>
      <c r="O724" s="74" t="str">
        <f>IFERROR(__xludf.DUMMYFUNCTION("""COMPUTED_VALUE"""),"")</f>
        <v/>
      </c>
      <c r="P724" s="74" t="str">
        <f>IFERROR(__xludf.DUMMYFUNCTION("""COMPUTED_VALUE"""),"")</f>
        <v/>
      </c>
    </row>
    <row r="725">
      <c r="A725" s="60"/>
      <c r="B725" s="81"/>
      <c r="E725" s="82"/>
      <c r="G725" s="82"/>
      <c r="I725" s="84"/>
      <c r="K725" s="61"/>
      <c r="N725" s="74" t="str">
        <f>IFERROR(__xludf.DUMMYFUNCTION("""COMPUTED_VALUE"""),"")</f>
        <v/>
      </c>
      <c r="O725" s="74" t="str">
        <f>IFERROR(__xludf.DUMMYFUNCTION("""COMPUTED_VALUE"""),"")</f>
        <v/>
      </c>
      <c r="P725" s="74" t="str">
        <f>IFERROR(__xludf.DUMMYFUNCTION("""COMPUTED_VALUE"""),"")</f>
        <v/>
      </c>
    </row>
    <row r="726">
      <c r="A726" s="60"/>
      <c r="B726" s="81"/>
      <c r="E726" s="82"/>
      <c r="G726" s="82"/>
      <c r="I726" s="84"/>
      <c r="K726" s="61"/>
      <c r="N726" s="74" t="str">
        <f>IFERROR(__xludf.DUMMYFUNCTION("""COMPUTED_VALUE"""),"")</f>
        <v/>
      </c>
      <c r="O726" s="74" t="str">
        <f>IFERROR(__xludf.DUMMYFUNCTION("""COMPUTED_VALUE"""),"")</f>
        <v/>
      </c>
      <c r="P726" s="74" t="str">
        <f>IFERROR(__xludf.DUMMYFUNCTION("""COMPUTED_VALUE"""),"")</f>
        <v/>
      </c>
    </row>
    <row r="727">
      <c r="A727" s="60"/>
      <c r="B727" s="81"/>
      <c r="E727" s="82"/>
      <c r="G727" s="82"/>
      <c r="I727" s="84"/>
      <c r="K727" s="61"/>
      <c r="N727" s="74" t="str">
        <f>IFERROR(__xludf.DUMMYFUNCTION("""COMPUTED_VALUE"""),"")</f>
        <v/>
      </c>
      <c r="O727" s="74" t="str">
        <f>IFERROR(__xludf.DUMMYFUNCTION("""COMPUTED_VALUE"""),"")</f>
        <v/>
      </c>
      <c r="P727" s="74" t="str">
        <f>IFERROR(__xludf.DUMMYFUNCTION("""COMPUTED_VALUE"""),"")</f>
        <v/>
      </c>
    </row>
    <row r="728">
      <c r="A728" s="60"/>
      <c r="B728" s="81"/>
      <c r="E728" s="82"/>
      <c r="G728" s="82"/>
      <c r="I728" s="84"/>
      <c r="K728" s="61"/>
      <c r="N728" s="74" t="str">
        <f>IFERROR(__xludf.DUMMYFUNCTION("""COMPUTED_VALUE"""),"")</f>
        <v/>
      </c>
      <c r="O728" s="74" t="str">
        <f>IFERROR(__xludf.DUMMYFUNCTION("""COMPUTED_VALUE"""),"")</f>
        <v/>
      </c>
      <c r="P728" s="74" t="str">
        <f>IFERROR(__xludf.DUMMYFUNCTION("""COMPUTED_VALUE"""),"")</f>
        <v/>
      </c>
    </row>
    <row r="729">
      <c r="A729" s="60"/>
      <c r="B729" s="81"/>
      <c r="E729" s="82"/>
      <c r="G729" s="82"/>
      <c r="I729" s="84"/>
      <c r="K729" s="61"/>
      <c r="N729" s="74" t="str">
        <f>IFERROR(__xludf.DUMMYFUNCTION("""COMPUTED_VALUE"""),"")</f>
        <v/>
      </c>
      <c r="O729" s="74" t="str">
        <f>IFERROR(__xludf.DUMMYFUNCTION("""COMPUTED_VALUE"""),"")</f>
        <v/>
      </c>
      <c r="P729" s="74" t="str">
        <f>IFERROR(__xludf.DUMMYFUNCTION("""COMPUTED_VALUE"""),"")</f>
        <v/>
      </c>
    </row>
    <row r="730">
      <c r="A730" s="60"/>
      <c r="B730" s="81"/>
      <c r="E730" s="82"/>
      <c r="G730" s="82"/>
      <c r="I730" s="84"/>
      <c r="K730" s="61"/>
      <c r="N730" s="74" t="str">
        <f>IFERROR(__xludf.DUMMYFUNCTION("""COMPUTED_VALUE"""),"")</f>
        <v/>
      </c>
      <c r="O730" s="74" t="str">
        <f>IFERROR(__xludf.DUMMYFUNCTION("""COMPUTED_VALUE"""),"")</f>
        <v/>
      </c>
      <c r="P730" s="74" t="str">
        <f>IFERROR(__xludf.DUMMYFUNCTION("""COMPUTED_VALUE"""),"")</f>
        <v/>
      </c>
    </row>
    <row r="731">
      <c r="A731" s="60"/>
      <c r="B731" s="81"/>
      <c r="E731" s="82"/>
      <c r="G731" s="82"/>
      <c r="I731" s="84"/>
      <c r="K731" s="61"/>
      <c r="N731" s="74" t="str">
        <f>IFERROR(__xludf.DUMMYFUNCTION("""COMPUTED_VALUE"""),"")</f>
        <v/>
      </c>
      <c r="O731" s="74" t="str">
        <f>IFERROR(__xludf.DUMMYFUNCTION("""COMPUTED_VALUE"""),"")</f>
        <v/>
      </c>
      <c r="P731" s="74" t="str">
        <f>IFERROR(__xludf.DUMMYFUNCTION("""COMPUTED_VALUE"""),"")</f>
        <v/>
      </c>
    </row>
    <row r="732">
      <c r="A732" s="60"/>
      <c r="B732" s="81"/>
      <c r="E732" s="82"/>
      <c r="G732" s="82"/>
      <c r="I732" s="84"/>
      <c r="K732" s="61"/>
      <c r="N732" s="74" t="str">
        <f>IFERROR(__xludf.DUMMYFUNCTION("""COMPUTED_VALUE"""),"")</f>
        <v/>
      </c>
      <c r="O732" s="74" t="str">
        <f>IFERROR(__xludf.DUMMYFUNCTION("""COMPUTED_VALUE"""),"")</f>
        <v/>
      </c>
      <c r="P732" s="74" t="str">
        <f>IFERROR(__xludf.DUMMYFUNCTION("""COMPUTED_VALUE"""),"")</f>
        <v/>
      </c>
    </row>
    <row r="733">
      <c r="A733" s="60"/>
      <c r="B733" s="81"/>
      <c r="E733" s="82"/>
      <c r="G733" s="82"/>
      <c r="I733" s="84"/>
      <c r="K733" s="61"/>
      <c r="N733" s="74" t="str">
        <f>IFERROR(__xludf.DUMMYFUNCTION("""COMPUTED_VALUE"""),"")</f>
        <v/>
      </c>
      <c r="O733" s="74" t="str">
        <f>IFERROR(__xludf.DUMMYFUNCTION("""COMPUTED_VALUE"""),"")</f>
        <v/>
      </c>
      <c r="P733" s="74" t="str">
        <f>IFERROR(__xludf.DUMMYFUNCTION("""COMPUTED_VALUE"""),"")</f>
        <v/>
      </c>
    </row>
    <row r="734">
      <c r="A734" s="60"/>
      <c r="B734" s="81"/>
      <c r="E734" s="82"/>
      <c r="G734" s="82"/>
      <c r="I734" s="84"/>
      <c r="K734" s="61"/>
      <c r="N734" s="74" t="str">
        <f>IFERROR(__xludf.DUMMYFUNCTION("""COMPUTED_VALUE"""),"")</f>
        <v/>
      </c>
      <c r="O734" s="74" t="str">
        <f>IFERROR(__xludf.DUMMYFUNCTION("""COMPUTED_VALUE"""),"")</f>
        <v/>
      </c>
      <c r="P734" s="74" t="str">
        <f>IFERROR(__xludf.DUMMYFUNCTION("""COMPUTED_VALUE"""),"")</f>
        <v/>
      </c>
    </row>
    <row r="735">
      <c r="A735" s="60"/>
      <c r="B735" s="81"/>
      <c r="E735" s="82"/>
      <c r="G735" s="82"/>
      <c r="I735" s="84"/>
      <c r="K735" s="61"/>
      <c r="N735" s="74" t="str">
        <f>IFERROR(__xludf.DUMMYFUNCTION("""COMPUTED_VALUE"""),"")</f>
        <v/>
      </c>
      <c r="O735" s="74" t="str">
        <f>IFERROR(__xludf.DUMMYFUNCTION("""COMPUTED_VALUE"""),"")</f>
        <v/>
      </c>
      <c r="P735" s="74" t="str">
        <f>IFERROR(__xludf.DUMMYFUNCTION("""COMPUTED_VALUE"""),"")</f>
        <v/>
      </c>
    </row>
    <row r="736">
      <c r="A736" s="60"/>
      <c r="B736" s="81"/>
      <c r="E736" s="82"/>
      <c r="G736" s="82"/>
      <c r="I736" s="84"/>
      <c r="K736" s="61"/>
      <c r="N736" s="74" t="str">
        <f>IFERROR(__xludf.DUMMYFUNCTION("""COMPUTED_VALUE"""),"")</f>
        <v/>
      </c>
      <c r="O736" s="74" t="str">
        <f>IFERROR(__xludf.DUMMYFUNCTION("""COMPUTED_VALUE"""),"")</f>
        <v/>
      </c>
      <c r="P736" s="74" t="str">
        <f>IFERROR(__xludf.DUMMYFUNCTION("""COMPUTED_VALUE"""),"")</f>
        <v/>
      </c>
    </row>
    <row r="737">
      <c r="A737" s="60"/>
      <c r="B737" s="81"/>
      <c r="E737" s="82"/>
      <c r="G737" s="82"/>
      <c r="I737" s="84"/>
      <c r="K737" s="61"/>
      <c r="N737" s="74" t="str">
        <f>IFERROR(__xludf.DUMMYFUNCTION("""COMPUTED_VALUE"""),"")</f>
        <v/>
      </c>
      <c r="O737" s="74" t="str">
        <f>IFERROR(__xludf.DUMMYFUNCTION("""COMPUTED_VALUE"""),"")</f>
        <v/>
      </c>
      <c r="P737" s="74" t="str">
        <f>IFERROR(__xludf.DUMMYFUNCTION("""COMPUTED_VALUE"""),"")</f>
        <v/>
      </c>
    </row>
    <row r="738">
      <c r="A738" s="60"/>
      <c r="B738" s="81"/>
      <c r="E738" s="82"/>
      <c r="G738" s="82"/>
      <c r="I738" s="84"/>
      <c r="K738" s="61"/>
      <c r="N738" s="74" t="str">
        <f>IFERROR(__xludf.DUMMYFUNCTION("""COMPUTED_VALUE"""),"")</f>
        <v/>
      </c>
      <c r="O738" s="74" t="str">
        <f>IFERROR(__xludf.DUMMYFUNCTION("""COMPUTED_VALUE"""),"")</f>
        <v/>
      </c>
      <c r="P738" s="74" t="str">
        <f>IFERROR(__xludf.DUMMYFUNCTION("""COMPUTED_VALUE"""),"")</f>
        <v/>
      </c>
    </row>
    <row r="739">
      <c r="A739" s="60"/>
      <c r="B739" s="81"/>
      <c r="E739" s="82"/>
      <c r="G739" s="82"/>
      <c r="I739" s="84"/>
      <c r="K739" s="61"/>
      <c r="N739" s="74" t="str">
        <f>IFERROR(__xludf.DUMMYFUNCTION("""COMPUTED_VALUE"""),"")</f>
        <v/>
      </c>
      <c r="O739" s="74" t="str">
        <f>IFERROR(__xludf.DUMMYFUNCTION("""COMPUTED_VALUE"""),"")</f>
        <v/>
      </c>
      <c r="P739" s="74" t="str">
        <f>IFERROR(__xludf.DUMMYFUNCTION("""COMPUTED_VALUE"""),"")</f>
        <v/>
      </c>
    </row>
    <row r="740">
      <c r="A740" s="60"/>
      <c r="B740" s="81"/>
      <c r="E740" s="82"/>
      <c r="G740" s="82"/>
      <c r="I740" s="84"/>
      <c r="K740" s="61"/>
      <c r="N740" s="74" t="str">
        <f>IFERROR(__xludf.DUMMYFUNCTION("""COMPUTED_VALUE"""),"")</f>
        <v/>
      </c>
      <c r="O740" s="74" t="str">
        <f>IFERROR(__xludf.DUMMYFUNCTION("""COMPUTED_VALUE"""),"")</f>
        <v/>
      </c>
      <c r="P740" s="74" t="str">
        <f>IFERROR(__xludf.DUMMYFUNCTION("""COMPUTED_VALUE"""),"")</f>
        <v/>
      </c>
    </row>
    <row r="741">
      <c r="A741" s="60"/>
      <c r="B741" s="81"/>
      <c r="E741" s="82"/>
      <c r="G741" s="82"/>
      <c r="I741" s="84"/>
      <c r="K741" s="61"/>
      <c r="N741" s="74" t="str">
        <f>IFERROR(__xludf.DUMMYFUNCTION("""COMPUTED_VALUE"""),"")</f>
        <v/>
      </c>
      <c r="O741" s="74" t="str">
        <f>IFERROR(__xludf.DUMMYFUNCTION("""COMPUTED_VALUE"""),"")</f>
        <v/>
      </c>
      <c r="P741" s="74" t="str">
        <f>IFERROR(__xludf.DUMMYFUNCTION("""COMPUTED_VALUE"""),"")</f>
        <v/>
      </c>
    </row>
    <row r="742">
      <c r="A742" s="60"/>
      <c r="B742" s="81"/>
      <c r="E742" s="82"/>
      <c r="G742" s="82"/>
      <c r="I742" s="84"/>
      <c r="K742" s="61"/>
      <c r="N742" s="74" t="str">
        <f>IFERROR(__xludf.DUMMYFUNCTION("""COMPUTED_VALUE"""),"")</f>
        <v/>
      </c>
      <c r="O742" s="74" t="str">
        <f>IFERROR(__xludf.DUMMYFUNCTION("""COMPUTED_VALUE"""),"")</f>
        <v/>
      </c>
      <c r="P742" s="74" t="str">
        <f>IFERROR(__xludf.DUMMYFUNCTION("""COMPUTED_VALUE"""),"")</f>
        <v/>
      </c>
    </row>
    <row r="743">
      <c r="A743" s="60"/>
      <c r="B743" s="81"/>
      <c r="E743" s="82"/>
      <c r="G743" s="82"/>
      <c r="I743" s="84"/>
      <c r="K743" s="61"/>
      <c r="N743" s="74" t="str">
        <f>IFERROR(__xludf.DUMMYFUNCTION("""COMPUTED_VALUE"""),"")</f>
        <v/>
      </c>
      <c r="O743" s="74" t="str">
        <f>IFERROR(__xludf.DUMMYFUNCTION("""COMPUTED_VALUE"""),"")</f>
        <v/>
      </c>
      <c r="P743" s="74" t="str">
        <f>IFERROR(__xludf.DUMMYFUNCTION("""COMPUTED_VALUE"""),"")</f>
        <v/>
      </c>
    </row>
    <row r="744">
      <c r="A744" s="60"/>
      <c r="B744" s="81"/>
      <c r="E744" s="82"/>
      <c r="G744" s="82"/>
      <c r="I744" s="84"/>
      <c r="K744" s="61"/>
      <c r="N744" s="74" t="str">
        <f>IFERROR(__xludf.DUMMYFUNCTION("""COMPUTED_VALUE"""),"")</f>
        <v/>
      </c>
      <c r="O744" s="74" t="str">
        <f>IFERROR(__xludf.DUMMYFUNCTION("""COMPUTED_VALUE"""),"")</f>
        <v/>
      </c>
      <c r="P744" s="74" t="str">
        <f>IFERROR(__xludf.DUMMYFUNCTION("""COMPUTED_VALUE"""),"")</f>
        <v/>
      </c>
    </row>
    <row r="745">
      <c r="A745" s="60"/>
      <c r="B745" s="81"/>
      <c r="E745" s="82"/>
      <c r="G745" s="82"/>
      <c r="I745" s="84"/>
      <c r="K745" s="61"/>
      <c r="N745" s="74" t="str">
        <f>IFERROR(__xludf.DUMMYFUNCTION("""COMPUTED_VALUE"""),"")</f>
        <v/>
      </c>
      <c r="O745" s="74" t="str">
        <f>IFERROR(__xludf.DUMMYFUNCTION("""COMPUTED_VALUE"""),"")</f>
        <v/>
      </c>
      <c r="P745" s="74" t="str">
        <f>IFERROR(__xludf.DUMMYFUNCTION("""COMPUTED_VALUE"""),"")</f>
        <v/>
      </c>
    </row>
    <row r="746">
      <c r="A746" s="60"/>
      <c r="B746" s="81"/>
      <c r="E746" s="82"/>
      <c r="G746" s="82"/>
      <c r="I746" s="84"/>
      <c r="K746" s="61"/>
      <c r="N746" s="74" t="str">
        <f>IFERROR(__xludf.DUMMYFUNCTION("""COMPUTED_VALUE"""),"")</f>
        <v/>
      </c>
      <c r="O746" s="74" t="str">
        <f>IFERROR(__xludf.DUMMYFUNCTION("""COMPUTED_VALUE"""),"")</f>
        <v/>
      </c>
      <c r="P746" s="74" t="str">
        <f>IFERROR(__xludf.DUMMYFUNCTION("""COMPUTED_VALUE"""),"")</f>
        <v/>
      </c>
    </row>
    <row r="747">
      <c r="A747" s="60"/>
      <c r="B747" s="81"/>
      <c r="E747" s="82"/>
      <c r="G747" s="82"/>
      <c r="I747" s="84"/>
      <c r="K747" s="61"/>
      <c r="N747" s="74" t="str">
        <f>IFERROR(__xludf.DUMMYFUNCTION("""COMPUTED_VALUE"""),"")</f>
        <v/>
      </c>
      <c r="O747" s="74" t="str">
        <f>IFERROR(__xludf.DUMMYFUNCTION("""COMPUTED_VALUE"""),"")</f>
        <v/>
      </c>
      <c r="P747" s="74" t="str">
        <f>IFERROR(__xludf.DUMMYFUNCTION("""COMPUTED_VALUE"""),"")</f>
        <v/>
      </c>
    </row>
    <row r="748">
      <c r="A748" s="60"/>
      <c r="B748" s="81"/>
      <c r="E748" s="82"/>
      <c r="G748" s="82"/>
      <c r="I748" s="84"/>
      <c r="K748" s="61"/>
      <c r="N748" s="74" t="str">
        <f>IFERROR(__xludf.DUMMYFUNCTION("""COMPUTED_VALUE"""),"")</f>
        <v/>
      </c>
      <c r="O748" s="74" t="str">
        <f>IFERROR(__xludf.DUMMYFUNCTION("""COMPUTED_VALUE"""),"")</f>
        <v/>
      </c>
      <c r="P748" s="74" t="str">
        <f>IFERROR(__xludf.DUMMYFUNCTION("""COMPUTED_VALUE"""),"")</f>
        <v/>
      </c>
    </row>
    <row r="749">
      <c r="A749" s="60"/>
      <c r="B749" s="81"/>
      <c r="E749" s="82"/>
      <c r="G749" s="82"/>
      <c r="I749" s="84"/>
      <c r="K749" s="61"/>
      <c r="N749" s="74" t="str">
        <f>IFERROR(__xludf.DUMMYFUNCTION("""COMPUTED_VALUE"""),"")</f>
        <v/>
      </c>
      <c r="O749" s="74" t="str">
        <f>IFERROR(__xludf.DUMMYFUNCTION("""COMPUTED_VALUE"""),"")</f>
        <v/>
      </c>
      <c r="P749" s="74" t="str">
        <f>IFERROR(__xludf.DUMMYFUNCTION("""COMPUTED_VALUE"""),"")</f>
        <v/>
      </c>
    </row>
    <row r="750">
      <c r="A750" s="60"/>
      <c r="B750" s="81"/>
      <c r="E750" s="82"/>
      <c r="G750" s="82"/>
      <c r="I750" s="84"/>
      <c r="K750" s="61"/>
      <c r="N750" s="74" t="str">
        <f>IFERROR(__xludf.DUMMYFUNCTION("""COMPUTED_VALUE"""),"")</f>
        <v/>
      </c>
      <c r="O750" s="74" t="str">
        <f>IFERROR(__xludf.DUMMYFUNCTION("""COMPUTED_VALUE"""),"")</f>
        <v/>
      </c>
      <c r="P750" s="74" t="str">
        <f>IFERROR(__xludf.DUMMYFUNCTION("""COMPUTED_VALUE"""),"")</f>
        <v/>
      </c>
    </row>
    <row r="751">
      <c r="A751" s="60"/>
      <c r="B751" s="81"/>
      <c r="E751" s="82"/>
      <c r="G751" s="82"/>
      <c r="I751" s="84"/>
      <c r="K751" s="61"/>
      <c r="N751" s="74" t="str">
        <f>IFERROR(__xludf.DUMMYFUNCTION("""COMPUTED_VALUE"""),"")</f>
        <v/>
      </c>
      <c r="O751" s="74" t="str">
        <f>IFERROR(__xludf.DUMMYFUNCTION("""COMPUTED_VALUE"""),"")</f>
        <v/>
      </c>
      <c r="P751" s="74" t="str">
        <f>IFERROR(__xludf.DUMMYFUNCTION("""COMPUTED_VALUE"""),"")</f>
        <v/>
      </c>
    </row>
    <row r="752">
      <c r="A752" s="60"/>
      <c r="B752" s="81"/>
      <c r="E752" s="82"/>
      <c r="G752" s="82"/>
      <c r="I752" s="84"/>
      <c r="K752" s="61"/>
      <c r="N752" s="74" t="str">
        <f>IFERROR(__xludf.DUMMYFUNCTION("""COMPUTED_VALUE"""),"")</f>
        <v/>
      </c>
      <c r="O752" s="74" t="str">
        <f>IFERROR(__xludf.DUMMYFUNCTION("""COMPUTED_VALUE"""),"")</f>
        <v/>
      </c>
      <c r="P752" s="74" t="str">
        <f>IFERROR(__xludf.DUMMYFUNCTION("""COMPUTED_VALUE"""),"")</f>
        <v/>
      </c>
    </row>
    <row r="753">
      <c r="A753" s="60"/>
      <c r="B753" s="81"/>
      <c r="E753" s="82"/>
      <c r="G753" s="82"/>
      <c r="I753" s="84"/>
      <c r="K753" s="61"/>
      <c r="N753" s="74" t="str">
        <f>IFERROR(__xludf.DUMMYFUNCTION("""COMPUTED_VALUE"""),"")</f>
        <v/>
      </c>
      <c r="O753" s="74" t="str">
        <f>IFERROR(__xludf.DUMMYFUNCTION("""COMPUTED_VALUE"""),"")</f>
        <v/>
      </c>
      <c r="P753" s="74" t="str">
        <f>IFERROR(__xludf.DUMMYFUNCTION("""COMPUTED_VALUE"""),"")</f>
        <v/>
      </c>
    </row>
    <row r="754">
      <c r="A754" s="60"/>
      <c r="B754" s="81"/>
      <c r="E754" s="82"/>
      <c r="G754" s="82"/>
      <c r="I754" s="84"/>
      <c r="K754" s="61"/>
      <c r="N754" s="74" t="str">
        <f>IFERROR(__xludf.DUMMYFUNCTION("""COMPUTED_VALUE"""),"")</f>
        <v/>
      </c>
      <c r="O754" s="74" t="str">
        <f>IFERROR(__xludf.DUMMYFUNCTION("""COMPUTED_VALUE"""),"")</f>
        <v/>
      </c>
      <c r="P754" s="74" t="str">
        <f>IFERROR(__xludf.DUMMYFUNCTION("""COMPUTED_VALUE"""),"")</f>
        <v/>
      </c>
    </row>
    <row r="755">
      <c r="A755" s="60"/>
      <c r="B755" s="81"/>
      <c r="E755" s="82"/>
      <c r="G755" s="82"/>
      <c r="I755" s="84"/>
      <c r="K755" s="61"/>
      <c r="N755" s="74" t="str">
        <f>IFERROR(__xludf.DUMMYFUNCTION("""COMPUTED_VALUE"""),"")</f>
        <v/>
      </c>
      <c r="O755" s="74" t="str">
        <f>IFERROR(__xludf.DUMMYFUNCTION("""COMPUTED_VALUE"""),"")</f>
        <v/>
      </c>
      <c r="P755" s="74" t="str">
        <f>IFERROR(__xludf.DUMMYFUNCTION("""COMPUTED_VALUE"""),"")</f>
        <v/>
      </c>
    </row>
    <row r="756">
      <c r="A756" s="60"/>
      <c r="B756" s="81"/>
      <c r="E756" s="82"/>
      <c r="G756" s="82"/>
      <c r="I756" s="84"/>
      <c r="K756" s="61"/>
      <c r="N756" s="74" t="str">
        <f>IFERROR(__xludf.DUMMYFUNCTION("""COMPUTED_VALUE"""),"")</f>
        <v/>
      </c>
      <c r="O756" s="74" t="str">
        <f>IFERROR(__xludf.DUMMYFUNCTION("""COMPUTED_VALUE"""),"")</f>
        <v/>
      </c>
      <c r="P756" s="74" t="str">
        <f>IFERROR(__xludf.DUMMYFUNCTION("""COMPUTED_VALUE"""),"")</f>
        <v/>
      </c>
    </row>
    <row r="757">
      <c r="A757" s="60"/>
      <c r="B757" s="81"/>
      <c r="E757" s="82"/>
      <c r="G757" s="82"/>
      <c r="I757" s="84"/>
      <c r="K757" s="61"/>
      <c r="N757" s="74" t="str">
        <f>IFERROR(__xludf.DUMMYFUNCTION("""COMPUTED_VALUE"""),"")</f>
        <v/>
      </c>
      <c r="O757" s="74" t="str">
        <f>IFERROR(__xludf.DUMMYFUNCTION("""COMPUTED_VALUE"""),"")</f>
        <v/>
      </c>
      <c r="P757" s="74" t="str">
        <f>IFERROR(__xludf.DUMMYFUNCTION("""COMPUTED_VALUE"""),"")</f>
        <v/>
      </c>
    </row>
    <row r="758">
      <c r="A758" s="60"/>
      <c r="B758" s="81"/>
      <c r="E758" s="82"/>
      <c r="G758" s="82"/>
      <c r="I758" s="84"/>
      <c r="K758" s="61"/>
      <c r="N758" s="74" t="str">
        <f>IFERROR(__xludf.DUMMYFUNCTION("""COMPUTED_VALUE"""),"")</f>
        <v/>
      </c>
      <c r="O758" s="74" t="str">
        <f>IFERROR(__xludf.DUMMYFUNCTION("""COMPUTED_VALUE"""),"")</f>
        <v/>
      </c>
      <c r="P758" s="74" t="str">
        <f>IFERROR(__xludf.DUMMYFUNCTION("""COMPUTED_VALUE"""),"")</f>
        <v/>
      </c>
    </row>
    <row r="759">
      <c r="A759" s="60"/>
      <c r="B759" s="81"/>
      <c r="E759" s="82"/>
      <c r="G759" s="82"/>
      <c r="I759" s="84"/>
      <c r="K759" s="61"/>
      <c r="N759" s="74" t="str">
        <f>IFERROR(__xludf.DUMMYFUNCTION("""COMPUTED_VALUE"""),"")</f>
        <v/>
      </c>
      <c r="O759" s="74" t="str">
        <f>IFERROR(__xludf.DUMMYFUNCTION("""COMPUTED_VALUE"""),"")</f>
        <v/>
      </c>
      <c r="P759" s="74" t="str">
        <f>IFERROR(__xludf.DUMMYFUNCTION("""COMPUTED_VALUE"""),"")</f>
        <v/>
      </c>
    </row>
    <row r="760">
      <c r="A760" s="60"/>
      <c r="B760" s="81"/>
      <c r="E760" s="82"/>
      <c r="G760" s="82"/>
      <c r="I760" s="84"/>
      <c r="K760" s="61"/>
      <c r="N760" s="74" t="str">
        <f>IFERROR(__xludf.DUMMYFUNCTION("""COMPUTED_VALUE"""),"")</f>
        <v/>
      </c>
      <c r="O760" s="74" t="str">
        <f>IFERROR(__xludf.DUMMYFUNCTION("""COMPUTED_VALUE"""),"")</f>
        <v/>
      </c>
      <c r="P760" s="74" t="str">
        <f>IFERROR(__xludf.DUMMYFUNCTION("""COMPUTED_VALUE"""),"")</f>
        <v/>
      </c>
    </row>
    <row r="761">
      <c r="A761" s="60"/>
      <c r="B761" s="81"/>
      <c r="E761" s="82"/>
      <c r="G761" s="82"/>
      <c r="I761" s="84"/>
      <c r="K761" s="61"/>
      <c r="N761" s="74" t="str">
        <f>IFERROR(__xludf.DUMMYFUNCTION("""COMPUTED_VALUE"""),"")</f>
        <v/>
      </c>
      <c r="O761" s="74" t="str">
        <f>IFERROR(__xludf.DUMMYFUNCTION("""COMPUTED_VALUE"""),"")</f>
        <v/>
      </c>
      <c r="P761" s="74" t="str">
        <f>IFERROR(__xludf.DUMMYFUNCTION("""COMPUTED_VALUE"""),"")</f>
        <v/>
      </c>
    </row>
    <row r="762">
      <c r="A762" s="60"/>
      <c r="B762" s="81"/>
      <c r="E762" s="82"/>
      <c r="G762" s="82"/>
      <c r="I762" s="84"/>
      <c r="K762" s="61"/>
      <c r="N762" s="74" t="str">
        <f>IFERROR(__xludf.DUMMYFUNCTION("""COMPUTED_VALUE"""),"")</f>
        <v/>
      </c>
      <c r="O762" s="74" t="str">
        <f>IFERROR(__xludf.DUMMYFUNCTION("""COMPUTED_VALUE"""),"")</f>
        <v/>
      </c>
      <c r="P762" s="74" t="str">
        <f>IFERROR(__xludf.DUMMYFUNCTION("""COMPUTED_VALUE"""),"")</f>
        <v/>
      </c>
    </row>
    <row r="763">
      <c r="A763" s="60"/>
      <c r="B763" s="81"/>
      <c r="E763" s="82"/>
      <c r="G763" s="82"/>
      <c r="I763" s="84"/>
      <c r="K763" s="61"/>
      <c r="N763" s="74" t="str">
        <f>IFERROR(__xludf.DUMMYFUNCTION("""COMPUTED_VALUE"""),"")</f>
        <v/>
      </c>
      <c r="O763" s="74" t="str">
        <f>IFERROR(__xludf.DUMMYFUNCTION("""COMPUTED_VALUE"""),"")</f>
        <v/>
      </c>
      <c r="P763" s="74" t="str">
        <f>IFERROR(__xludf.DUMMYFUNCTION("""COMPUTED_VALUE"""),"")</f>
        <v/>
      </c>
    </row>
    <row r="764">
      <c r="A764" s="60"/>
      <c r="B764" s="81"/>
      <c r="E764" s="82"/>
      <c r="G764" s="82"/>
      <c r="I764" s="84"/>
      <c r="K764" s="61"/>
      <c r="N764" s="74" t="str">
        <f>IFERROR(__xludf.DUMMYFUNCTION("""COMPUTED_VALUE"""),"")</f>
        <v/>
      </c>
      <c r="O764" s="74" t="str">
        <f>IFERROR(__xludf.DUMMYFUNCTION("""COMPUTED_VALUE"""),"")</f>
        <v/>
      </c>
      <c r="P764" s="74" t="str">
        <f>IFERROR(__xludf.DUMMYFUNCTION("""COMPUTED_VALUE"""),"")</f>
        <v/>
      </c>
    </row>
    <row r="765">
      <c r="A765" s="60"/>
      <c r="B765" s="81"/>
      <c r="E765" s="82"/>
      <c r="G765" s="82"/>
      <c r="I765" s="84"/>
      <c r="K765" s="61"/>
      <c r="N765" s="74" t="str">
        <f>IFERROR(__xludf.DUMMYFUNCTION("""COMPUTED_VALUE"""),"")</f>
        <v/>
      </c>
      <c r="O765" s="74" t="str">
        <f>IFERROR(__xludf.DUMMYFUNCTION("""COMPUTED_VALUE"""),"")</f>
        <v/>
      </c>
      <c r="P765" s="74" t="str">
        <f>IFERROR(__xludf.DUMMYFUNCTION("""COMPUTED_VALUE"""),"")</f>
        <v/>
      </c>
    </row>
    <row r="766">
      <c r="A766" s="60"/>
      <c r="B766" s="81"/>
      <c r="E766" s="82"/>
      <c r="G766" s="82"/>
      <c r="I766" s="84"/>
      <c r="K766" s="61"/>
      <c r="N766" s="74" t="str">
        <f>IFERROR(__xludf.DUMMYFUNCTION("""COMPUTED_VALUE"""),"")</f>
        <v/>
      </c>
      <c r="O766" s="74" t="str">
        <f>IFERROR(__xludf.DUMMYFUNCTION("""COMPUTED_VALUE"""),"")</f>
        <v/>
      </c>
      <c r="P766" s="74" t="str">
        <f>IFERROR(__xludf.DUMMYFUNCTION("""COMPUTED_VALUE"""),"")</f>
        <v/>
      </c>
    </row>
    <row r="767">
      <c r="A767" s="60"/>
      <c r="B767" s="81"/>
      <c r="E767" s="82"/>
      <c r="G767" s="82"/>
      <c r="I767" s="84"/>
      <c r="K767" s="61"/>
      <c r="N767" s="74" t="str">
        <f>IFERROR(__xludf.DUMMYFUNCTION("""COMPUTED_VALUE"""),"")</f>
        <v/>
      </c>
      <c r="O767" s="74" t="str">
        <f>IFERROR(__xludf.DUMMYFUNCTION("""COMPUTED_VALUE"""),"")</f>
        <v/>
      </c>
      <c r="P767" s="74" t="str">
        <f>IFERROR(__xludf.DUMMYFUNCTION("""COMPUTED_VALUE"""),"")</f>
        <v/>
      </c>
    </row>
    <row r="768">
      <c r="A768" s="60"/>
      <c r="B768" s="81"/>
      <c r="E768" s="82"/>
      <c r="G768" s="82"/>
      <c r="I768" s="84"/>
      <c r="K768" s="61"/>
      <c r="N768" s="74" t="str">
        <f>IFERROR(__xludf.DUMMYFUNCTION("""COMPUTED_VALUE"""),"")</f>
        <v/>
      </c>
      <c r="O768" s="74" t="str">
        <f>IFERROR(__xludf.DUMMYFUNCTION("""COMPUTED_VALUE"""),"")</f>
        <v/>
      </c>
      <c r="P768" s="74" t="str">
        <f>IFERROR(__xludf.DUMMYFUNCTION("""COMPUTED_VALUE"""),"")</f>
        <v/>
      </c>
    </row>
    <row r="769">
      <c r="A769" s="60"/>
      <c r="B769" s="81"/>
      <c r="E769" s="82"/>
      <c r="G769" s="82"/>
      <c r="I769" s="84"/>
      <c r="K769" s="61"/>
      <c r="N769" s="74" t="str">
        <f>IFERROR(__xludf.DUMMYFUNCTION("""COMPUTED_VALUE"""),"")</f>
        <v/>
      </c>
      <c r="O769" s="74" t="str">
        <f>IFERROR(__xludf.DUMMYFUNCTION("""COMPUTED_VALUE"""),"")</f>
        <v/>
      </c>
      <c r="P769" s="74" t="str">
        <f>IFERROR(__xludf.DUMMYFUNCTION("""COMPUTED_VALUE"""),"")</f>
        <v/>
      </c>
    </row>
    <row r="770">
      <c r="A770" s="60"/>
      <c r="B770" s="81"/>
      <c r="E770" s="82"/>
      <c r="G770" s="82"/>
      <c r="I770" s="84"/>
      <c r="K770" s="61"/>
      <c r="N770" s="74" t="str">
        <f>IFERROR(__xludf.DUMMYFUNCTION("""COMPUTED_VALUE"""),"")</f>
        <v/>
      </c>
      <c r="O770" s="74" t="str">
        <f>IFERROR(__xludf.DUMMYFUNCTION("""COMPUTED_VALUE"""),"")</f>
        <v/>
      </c>
      <c r="P770" s="74" t="str">
        <f>IFERROR(__xludf.DUMMYFUNCTION("""COMPUTED_VALUE"""),"")</f>
        <v/>
      </c>
    </row>
    <row r="771">
      <c r="A771" s="60"/>
      <c r="B771" s="81"/>
      <c r="E771" s="82"/>
      <c r="G771" s="82"/>
      <c r="I771" s="84"/>
      <c r="K771" s="61"/>
      <c r="N771" s="74" t="str">
        <f>IFERROR(__xludf.DUMMYFUNCTION("""COMPUTED_VALUE"""),"")</f>
        <v/>
      </c>
      <c r="O771" s="74" t="str">
        <f>IFERROR(__xludf.DUMMYFUNCTION("""COMPUTED_VALUE"""),"")</f>
        <v/>
      </c>
      <c r="P771" s="74" t="str">
        <f>IFERROR(__xludf.DUMMYFUNCTION("""COMPUTED_VALUE"""),"")</f>
        <v/>
      </c>
    </row>
    <row r="772">
      <c r="A772" s="60"/>
      <c r="B772" s="81"/>
      <c r="E772" s="82"/>
      <c r="G772" s="82"/>
      <c r="I772" s="84"/>
      <c r="K772" s="61"/>
      <c r="N772" s="74" t="str">
        <f>IFERROR(__xludf.DUMMYFUNCTION("""COMPUTED_VALUE"""),"")</f>
        <v/>
      </c>
      <c r="O772" s="74" t="str">
        <f>IFERROR(__xludf.DUMMYFUNCTION("""COMPUTED_VALUE"""),"")</f>
        <v/>
      </c>
      <c r="P772" s="74" t="str">
        <f>IFERROR(__xludf.DUMMYFUNCTION("""COMPUTED_VALUE"""),"")</f>
        <v/>
      </c>
    </row>
    <row r="773">
      <c r="A773" s="60"/>
      <c r="B773" s="81"/>
      <c r="E773" s="82"/>
      <c r="G773" s="82"/>
      <c r="I773" s="84"/>
      <c r="K773" s="61"/>
      <c r="N773" s="74" t="str">
        <f>IFERROR(__xludf.DUMMYFUNCTION("""COMPUTED_VALUE"""),"")</f>
        <v/>
      </c>
      <c r="O773" s="74" t="str">
        <f>IFERROR(__xludf.DUMMYFUNCTION("""COMPUTED_VALUE"""),"")</f>
        <v/>
      </c>
      <c r="P773" s="74" t="str">
        <f>IFERROR(__xludf.DUMMYFUNCTION("""COMPUTED_VALUE"""),"")</f>
        <v/>
      </c>
    </row>
    <row r="774">
      <c r="A774" s="60"/>
      <c r="B774" s="81"/>
      <c r="E774" s="82"/>
      <c r="G774" s="82"/>
      <c r="I774" s="84"/>
      <c r="K774" s="61"/>
      <c r="N774" s="74" t="str">
        <f>IFERROR(__xludf.DUMMYFUNCTION("""COMPUTED_VALUE"""),"")</f>
        <v/>
      </c>
      <c r="O774" s="74" t="str">
        <f>IFERROR(__xludf.DUMMYFUNCTION("""COMPUTED_VALUE"""),"")</f>
        <v/>
      </c>
      <c r="P774" s="74" t="str">
        <f>IFERROR(__xludf.DUMMYFUNCTION("""COMPUTED_VALUE"""),"")</f>
        <v/>
      </c>
    </row>
    <row r="775">
      <c r="A775" s="60"/>
      <c r="B775" s="81"/>
      <c r="E775" s="82"/>
      <c r="G775" s="82"/>
      <c r="I775" s="84"/>
      <c r="K775" s="61"/>
      <c r="N775" s="74" t="str">
        <f>IFERROR(__xludf.DUMMYFUNCTION("""COMPUTED_VALUE"""),"")</f>
        <v/>
      </c>
      <c r="O775" s="74" t="str">
        <f>IFERROR(__xludf.DUMMYFUNCTION("""COMPUTED_VALUE"""),"")</f>
        <v/>
      </c>
      <c r="P775" s="74" t="str">
        <f>IFERROR(__xludf.DUMMYFUNCTION("""COMPUTED_VALUE"""),"")</f>
        <v/>
      </c>
    </row>
    <row r="776">
      <c r="A776" s="60"/>
      <c r="B776" s="81"/>
      <c r="E776" s="82"/>
      <c r="G776" s="82"/>
      <c r="I776" s="84"/>
      <c r="K776" s="61"/>
      <c r="N776" s="74" t="str">
        <f>IFERROR(__xludf.DUMMYFUNCTION("""COMPUTED_VALUE"""),"")</f>
        <v/>
      </c>
      <c r="O776" s="74" t="str">
        <f>IFERROR(__xludf.DUMMYFUNCTION("""COMPUTED_VALUE"""),"")</f>
        <v/>
      </c>
      <c r="P776" s="74" t="str">
        <f>IFERROR(__xludf.DUMMYFUNCTION("""COMPUTED_VALUE"""),"")</f>
        <v/>
      </c>
    </row>
    <row r="777">
      <c r="A777" s="60"/>
      <c r="B777" s="81"/>
      <c r="E777" s="82"/>
      <c r="G777" s="82"/>
      <c r="I777" s="84"/>
      <c r="K777" s="61"/>
      <c r="N777" s="74" t="str">
        <f>IFERROR(__xludf.DUMMYFUNCTION("""COMPUTED_VALUE"""),"")</f>
        <v/>
      </c>
      <c r="O777" s="74" t="str">
        <f>IFERROR(__xludf.DUMMYFUNCTION("""COMPUTED_VALUE"""),"")</f>
        <v/>
      </c>
      <c r="P777" s="74" t="str">
        <f>IFERROR(__xludf.DUMMYFUNCTION("""COMPUTED_VALUE"""),"")</f>
        <v/>
      </c>
    </row>
    <row r="778">
      <c r="A778" s="60"/>
      <c r="B778" s="81"/>
      <c r="E778" s="82"/>
      <c r="G778" s="82"/>
      <c r="I778" s="84"/>
      <c r="K778" s="61"/>
      <c r="N778" s="74" t="str">
        <f>IFERROR(__xludf.DUMMYFUNCTION("""COMPUTED_VALUE"""),"")</f>
        <v/>
      </c>
      <c r="O778" s="74" t="str">
        <f>IFERROR(__xludf.DUMMYFUNCTION("""COMPUTED_VALUE"""),"")</f>
        <v/>
      </c>
      <c r="P778" s="74" t="str">
        <f>IFERROR(__xludf.DUMMYFUNCTION("""COMPUTED_VALUE"""),"")</f>
        <v/>
      </c>
    </row>
    <row r="779">
      <c r="A779" s="60"/>
      <c r="B779" s="81"/>
      <c r="E779" s="82"/>
      <c r="G779" s="82"/>
      <c r="I779" s="84"/>
      <c r="K779" s="61"/>
      <c r="N779" s="74" t="str">
        <f>IFERROR(__xludf.DUMMYFUNCTION("""COMPUTED_VALUE"""),"")</f>
        <v/>
      </c>
      <c r="O779" s="74" t="str">
        <f>IFERROR(__xludf.DUMMYFUNCTION("""COMPUTED_VALUE"""),"")</f>
        <v/>
      </c>
      <c r="P779" s="74" t="str">
        <f>IFERROR(__xludf.DUMMYFUNCTION("""COMPUTED_VALUE"""),"")</f>
        <v/>
      </c>
    </row>
    <row r="780">
      <c r="A780" s="60"/>
      <c r="B780" s="81"/>
      <c r="E780" s="82"/>
      <c r="G780" s="82"/>
      <c r="I780" s="84"/>
      <c r="K780" s="61"/>
      <c r="N780" s="74" t="str">
        <f>IFERROR(__xludf.DUMMYFUNCTION("""COMPUTED_VALUE"""),"")</f>
        <v/>
      </c>
      <c r="O780" s="74" t="str">
        <f>IFERROR(__xludf.DUMMYFUNCTION("""COMPUTED_VALUE"""),"")</f>
        <v/>
      </c>
      <c r="P780" s="74" t="str">
        <f>IFERROR(__xludf.DUMMYFUNCTION("""COMPUTED_VALUE"""),"")</f>
        <v/>
      </c>
    </row>
    <row r="781">
      <c r="A781" s="60"/>
      <c r="B781" s="81"/>
      <c r="E781" s="82"/>
      <c r="G781" s="82"/>
      <c r="I781" s="84"/>
      <c r="K781" s="61"/>
      <c r="N781" s="74" t="str">
        <f>IFERROR(__xludf.DUMMYFUNCTION("""COMPUTED_VALUE"""),"")</f>
        <v/>
      </c>
      <c r="O781" s="74" t="str">
        <f>IFERROR(__xludf.DUMMYFUNCTION("""COMPUTED_VALUE"""),"")</f>
        <v/>
      </c>
      <c r="P781" s="74" t="str">
        <f>IFERROR(__xludf.DUMMYFUNCTION("""COMPUTED_VALUE"""),"")</f>
        <v/>
      </c>
    </row>
    <row r="782">
      <c r="A782" s="60"/>
      <c r="B782" s="81"/>
      <c r="E782" s="82"/>
      <c r="G782" s="82"/>
      <c r="I782" s="84"/>
      <c r="K782" s="61"/>
      <c r="N782" s="74" t="str">
        <f>IFERROR(__xludf.DUMMYFUNCTION("""COMPUTED_VALUE"""),"")</f>
        <v/>
      </c>
      <c r="O782" s="74" t="str">
        <f>IFERROR(__xludf.DUMMYFUNCTION("""COMPUTED_VALUE"""),"")</f>
        <v/>
      </c>
      <c r="P782" s="74" t="str">
        <f>IFERROR(__xludf.DUMMYFUNCTION("""COMPUTED_VALUE"""),"")</f>
        <v/>
      </c>
    </row>
    <row r="783">
      <c r="A783" s="60"/>
      <c r="B783" s="81"/>
      <c r="E783" s="82"/>
      <c r="G783" s="82"/>
      <c r="I783" s="84"/>
      <c r="K783" s="61"/>
      <c r="N783" s="74" t="str">
        <f>IFERROR(__xludf.DUMMYFUNCTION("""COMPUTED_VALUE"""),"")</f>
        <v/>
      </c>
      <c r="O783" s="74" t="str">
        <f>IFERROR(__xludf.DUMMYFUNCTION("""COMPUTED_VALUE"""),"")</f>
        <v/>
      </c>
      <c r="P783" s="74" t="str">
        <f>IFERROR(__xludf.DUMMYFUNCTION("""COMPUTED_VALUE"""),"")</f>
        <v/>
      </c>
    </row>
    <row r="784">
      <c r="A784" s="60"/>
      <c r="B784" s="81"/>
      <c r="E784" s="82"/>
      <c r="G784" s="82"/>
      <c r="I784" s="84"/>
      <c r="K784" s="61"/>
      <c r="N784" s="74" t="str">
        <f>IFERROR(__xludf.DUMMYFUNCTION("""COMPUTED_VALUE"""),"")</f>
        <v/>
      </c>
      <c r="O784" s="74" t="str">
        <f>IFERROR(__xludf.DUMMYFUNCTION("""COMPUTED_VALUE"""),"")</f>
        <v/>
      </c>
      <c r="P784" s="74" t="str">
        <f>IFERROR(__xludf.DUMMYFUNCTION("""COMPUTED_VALUE"""),"")</f>
        <v/>
      </c>
    </row>
  </sheetData>
  <conditionalFormatting sqref="C2:C3">
    <cfRule type="cellIs" dxfId="0" priority="1" operator="equal">
      <formula>"TRUE"</formula>
    </cfRule>
  </conditionalFormatting>
  <conditionalFormatting sqref="J2:J3">
    <cfRule type="cellIs" dxfId="9" priority="2" operator="equal">
      <formula>"Lunch/Dinner"</formula>
    </cfRule>
  </conditionalFormatting>
  <conditionalFormatting sqref="J2:J3">
    <cfRule type="cellIs" dxfId="10" priority="3" operator="equal">
      <formula>"Dinner"</formula>
    </cfRule>
  </conditionalFormatting>
  <conditionalFormatting sqref="N1:P1 L2:M3">
    <cfRule type="cellIs" dxfId="15" priority="4" operator="equal">
      <formula>"Friday"</formula>
    </cfRule>
  </conditionalFormatting>
  <conditionalFormatting sqref="C1:C784">
    <cfRule type="cellIs" dxfId="0" priority="5" operator="equal">
      <formula>"True"</formula>
    </cfRule>
  </conditionalFormatting>
  <conditionalFormatting sqref="J1:J784">
    <cfRule type="cellIs" dxfId="6" priority="6" operator="equal">
      <formula>"Breakfast"</formula>
    </cfRule>
  </conditionalFormatting>
  <conditionalFormatting sqref="J1:J784">
    <cfRule type="cellIs" dxfId="7" priority="7" operator="equal">
      <formula>"Breakfast/Lunch"</formula>
    </cfRule>
  </conditionalFormatting>
  <conditionalFormatting sqref="J1:J784">
    <cfRule type="cellIs" dxfId="8" priority="8" operator="equal">
      <formula>"Lunch"</formula>
    </cfRule>
  </conditionalFormatting>
  <conditionalFormatting sqref="J1:J784">
    <cfRule type="cellIs" dxfId="19" priority="9" operator="equal">
      <formula>"Lunch/Dinner"</formula>
    </cfRule>
  </conditionalFormatting>
  <conditionalFormatting sqref="J1:J784">
    <cfRule type="cellIs" dxfId="20" priority="10" operator="equal">
      <formula>"Dinner"</formula>
    </cfRule>
  </conditionalFormatting>
  <conditionalFormatting sqref="L1:L784 N1:P1 M2:M3">
    <cfRule type="cellIs" dxfId="11" priority="11" operator="equal">
      <formula>"Monday"</formula>
    </cfRule>
  </conditionalFormatting>
  <conditionalFormatting sqref="L1:L784 N1:P1 M2:M3">
    <cfRule type="cellIs" dxfId="12" priority="12" operator="equal">
      <formula>"Tuesday"</formula>
    </cfRule>
  </conditionalFormatting>
  <conditionalFormatting sqref="L1:L784 N1:P1 M2:M3">
    <cfRule type="cellIs" dxfId="13" priority="13" operator="equal">
      <formula>"Wednesday"</formula>
    </cfRule>
  </conditionalFormatting>
  <conditionalFormatting sqref="L1:L784 N1:P1 M2:M3">
    <cfRule type="cellIs" dxfId="14" priority="14" operator="equal">
      <formula>"Thursday"</formula>
    </cfRule>
  </conditionalFormatting>
  <conditionalFormatting sqref="L1:L784">
    <cfRule type="cellIs" dxfId="21" priority="15" operator="equal">
      <formula>"Friday"</formula>
    </cfRule>
  </conditionalFormatting>
  <conditionalFormatting sqref="M1:S784">
    <cfRule type="cellIs" dxfId="17" priority="16" operator="equal">
      <formula>"MF"</formula>
    </cfRule>
  </conditionalFormatting>
  <conditionalFormatting sqref="M1:S784">
    <cfRule type="cellIs" dxfId="18" priority="17" operator="equal">
      <formula>"BF"</formula>
    </cfRule>
  </conditionalFormatting>
  <conditionalFormatting sqref="I1:I784">
    <cfRule type="cellIs" dxfId="1" priority="18" operator="greaterThanOrEqual">
      <formula>100</formula>
    </cfRule>
  </conditionalFormatting>
  <conditionalFormatting sqref="I1:I784">
    <cfRule type="cellIs" dxfId="2" priority="19" operator="greaterThanOrEqual">
      <formula>70</formula>
    </cfRule>
  </conditionalFormatting>
  <conditionalFormatting sqref="I1:I784">
    <cfRule type="cellIs" dxfId="3" priority="20" operator="lessThanOrEqual">
      <formula>25</formula>
    </cfRule>
  </conditionalFormatting>
  <conditionalFormatting sqref="I1:I784">
    <cfRule type="cellIs" dxfId="4" priority="21" operator="lessThanOrEqual">
      <formula>30</formula>
    </cfRule>
  </conditionalFormatting>
  <conditionalFormatting sqref="I1:I784">
    <cfRule type="cellIs" dxfId="5" priority="22" operator="lessThanOrEqual">
      <formula>40</formula>
    </cfRule>
  </conditionalFormatting>
  <conditionalFormatting sqref="K5:K784">
    <cfRule type="expression" dxfId="16" priority="23">
      <formula>AND(K5&lt;&gt;"", ISEVEN(SUMPRODUCT((K$5:K5&lt;&gt;OFFSET(K$5:K5,-1,0))*(K$5:K5&lt;&gt;""))))</formula>
    </cfRule>
  </conditionalFormatting>
  <conditionalFormatting sqref="G5:G784">
    <cfRule type="cellIs" dxfId="22" priority="24" operator="lessThan">
      <formula>0</formula>
    </cfRule>
  </conditionalFormatting>
  <conditionalFormatting sqref="G5:G784">
    <cfRule type="cellIs" dxfId="22" priority="25" operator="greaterThan">
      <formula>0.25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8" width="7.88"/>
    <col customWidth="1" min="12" max="12" width="9.75"/>
    <col customWidth="1" min="13" max="13" width="7.0"/>
    <col customWidth="1" min="15" max="16" width="8.0"/>
    <col customWidth="1" min="17" max="20" width="8.38"/>
    <col customWidth="1" min="21" max="21" width="9.25"/>
    <col customWidth="1" min="22" max="22" width="8.25"/>
    <col customWidth="1" min="23" max="23" width="9.25"/>
    <col customWidth="1" min="29" max="31" width="19.5"/>
  </cols>
  <sheetData>
    <row r="1">
      <c r="A1" s="85" t="str">
        <f>IFERROR(__xludf.DUMMYFUNCTION("IMPORTRANGE(""https://docs.google.com/spreadsheets/d/1FVkv22394ssci35RmN8kGDBHtj7A6Fh_Ev7bb_YthHw/edit?gid=1085129964#gid=1085129964"",""'Bulk Data'!A:AB"")"),"auto")</f>
        <v>auto</v>
      </c>
      <c r="B1" s="55" t="str">
        <f>IFERROR(__xludf.DUMMYFUNCTION("""COMPUTED_VALUE"""),"auto")</f>
        <v>auto</v>
      </c>
      <c r="C1" s="85" t="str">
        <f>IFERROR(__xludf.DUMMYFUNCTION("""COMPUTED_VALUE"""),"&lt;=")</f>
        <v>&lt;=</v>
      </c>
      <c r="D1" s="85" t="str">
        <f>IFERROR(__xludf.DUMMYFUNCTION("""COMPUTED_VALUE"""),"auto")</f>
        <v>auto</v>
      </c>
      <c r="E1" s="85" t="str">
        <f>IFERROR(__xludf.DUMMYFUNCTION("""COMPUTED_VALUE"""),"auto")</f>
        <v>auto</v>
      </c>
      <c r="F1" s="85" t="str">
        <f>IFERROR(__xludf.DUMMYFUNCTION("""COMPUTED_VALUE"""),"auto")</f>
        <v>auto</v>
      </c>
      <c r="G1" s="85" t="str">
        <f>IFERROR(__xludf.DUMMYFUNCTION("""COMPUTED_VALUE"""),"&lt;=")</f>
        <v>&lt;=</v>
      </c>
      <c r="H1" s="86" t="str">
        <f>IFERROR(__xludf.DUMMYFUNCTION("""COMPUTED_VALUE"""),"auto")</f>
        <v>auto</v>
      </c>
      <c r="I1" s="87" t="str">
        <f>IFERROR(__xludf.DUMMYFUNCTION("""COMPUTED_VALUE"""),"&lt;=")</f>
        <v>&lt;=</v>
      </c>
      <c r="J1" s="85" t="str">
        <f>IFERROR(__xludf.DUMMYFUNCTION("""COMPUTED_VALUE"""),"array&lt;=")</f>
        <v>array&lt;=</v>
      </c>
      <c r="K1" s="85" t="str">
        <f>IFERROR(__xludf.DUMMYFUNCTION("""COMPUTED_VALUE"""),"auto")</f>
        <v>auto</v>
      </c>
      <c r="L1" s="85" t="str">
        <f>IFERROR(__xludf.DUMMYFUNCTION("""COMPUTED_VALUE"""),"&lt;=")</f>
        <v>&lt;=</v>
      </c>
      <c r="M1" s="85" t="str">
        <f>IFERROR(__xludf.DUMMYFUNCTION("""COMPUTED_VALUE"""),"auto")</f>
        <v>auto</v>
      </c>
      <c r="N1" s="88" t="str">
        <f>IFERROR(__xludf.DUMMYFUNCTION("""COMPUTED_VALUE"""),"array&lt;=")</f>
        <v>array&lt;=</v>
      </c>
      <c r="O1" s="85" t="str">
        <f>IFERROR(__xludf.DUMMYFUNCTION("""COMPUTED_VALUE"""),"array&lt;=")</f>
        <v>array&lt;=</v>
      </c>
      <c r="P1" s="85" t="str">
        <f>IFERROR(__xludf.DUMMYFUNCTION("""COMPUTED_VALUE"""),"array&lt;=")</f>
        <v>array&lt;=</v>
      </c>
      <c r="Q1" s="89" t="str">
        <f>IFERROR(__xludf.DUMMYFUNCTION("""COMPUTED_VALUE"""),"array&lt;=")</f>
        <v>array&lt;=</v>
      </c>
      <c r="R1" s="89" t="str">
        <f>IFERROR(__xludf.DUMMYFUNCTION("""COMPUTED_VALUE"""),"array&lt;=")</f>
        <v>array&lt;=</v>
      </c>
      <c r="S1" s="90" t="str">
        <f>IFERROR(__xludf.DUMMYFUNCTION("""COMPUTED_VALUE"""),"&lt;=")</f>
        <v>&lt;=</v>
      </c>
      <c r="T1" s="90" t="str">
        <f>IFERROR(__xludf.DUMMYFUNCTION("""COMPUTED_VALUE"""),"&lt;=")</f>
        <v>&lt;=</v>
      </c>
      <c r="U1" s="85" t="str">
        <f>IFERROR(__xludf.DUMMYFUNCTION("""COMPUTED_VALUE"""),"array&lt;=")</f>
        <v>array&lt;=</v>
      </c>
      <c r="V1" s="89" t="str">
        <f>IFERROR(__xludf.DUMMYFUNCTION("""COMPUTED_VALUE"""),"array&lt;=")</f>
        <v>array&lt;=</v>
      </c>
      <c r="W1" s="85" t="str">
        <f>IFERROR(__xludf.DUMMYFUNCTION("""COMPUTED_VALUE"""),"&lt;=")</f>
        <v>&lt;=</v>
      </c>
      <c r="X1" s="89" t="str">
        <f>IFERROR(__xludf.DUMMYFUNCTION("""COMPUTED_VALUE"""),"array&lt;=")</f>
        <v>array&lt;=</v>
      </c>
      <c r="Y1" s="85" t="str">
        <f>IFERROR(__xludf.DUMMYFUNCTION("""COMPUTED_VALUE"""),"array&lt;=")</f>
        <v>array&lt;=</v>
      </c>
      <c r="Z1" s="91" t="str">
        <f>IFERROR(__xludf.DUMMYFUNCTION("""COMPUTED_VALUE"""),"auto")</f>
        <v>auto</v>
      </c>
      <c r="AA1" s="91" t="str">
        <f>IFERROR(__xludf.DUMMYFUNCTION("""COMPUTED_VALUE"""),"auto")</f>
        <v>auto</v>
      </c>
      <c r="AB1" s="90" t="str">
        <f>IFERROR(__xludf.DUMMYFUNCTION("""COMPUTED_VALUE"""),"&lt;=")</f>
        <v>&lt;=</v>
      </c>
    </row>
    <row r="2">
      <c r="A2" s="74" t="str">
        <f>IFERROR(__xludf.DUMMYFUNCTION("""COMPUTED_VALUE"""),"Timestamp")</f>
        <v>Timestamp</v>
      </c>
      <c r="B2" s="81" t="str">
        <f>IFERROR(__xludf.DUMMYFUNCTION("""COMPUTED_VALUE"""),"Name")</f>
        <v>Name</v>
      </c>
      <c r="C2" s="74" t="str">
        <f>IFERROR(__xludf.DUMMYFUNCTION("""COMPUTED_VALUE"""),"double name")</f>
        <v>double name</v>
      </c>
      <c r="D2" s="74" t="str">
        <f>IFERROR(__xludf.DUMMYFUNCTION("""COMPUTED_VALUE"""),"start hour")</f>
        <v>start hour</v>
      </c>
      <c r="E2" s="92" t="str">
        <f>IFERROR(__xludf.DUMMYFUNCTION("""COMPUTED_VALUE"""),"hours worked")</f>
        <v>hours worked</v>
      </c>
      <c r="F2" s="74" t="str">
        <f>IFERROR(__xludf.DUMMYFUNCTION("""COMPUTED_VALUE"""),"end hour")</f>
        <v>end hour</v>
      </c>
      <c r="G2" s="74" t="str">
        <f>IFERROR(__xludf.DUMMYFUNCTION("""COMPUTED_VALUE"""),"hours pp")</f>
        <v>hours pp</v>
      </c>
      <c r="H2" s="93" t="str">
        <f>IFERROR(__xludf.DUMMYFUNCTION("""COMPUTED_VALUE"""),"Derived Weight")</f>
        <v>Derived Weight</v>
      </c>
      <c r="I2" s="94" t="str">
        <f>IFERROR(__xludf.DUMMYFUNCTION("""COMPUTED_VALUE"""),"lb/hr per shift")</f>
        <v>lb/hr per shift</v>
      </c>
      <c r="J2" s="95" t="str">
        <f>IFERROR(__xludf.DUMMYFUNCTION("""COMPUTED_VALUE"""),"period")</f>
        <v>period</v>
      </c>
      <c r="K2" s="74" t="str">
        <f>IFERROR(__xludf.DUMMYFUNCTION("""COMPUTED_VALUE"""),"Date")</f>
        <v>Date</v>
      </c>
      <c r="L2" s="74" t="str">
        <f>IFERROR(__xludf.DUMMYFUNCTION("""COMPUTED_VALUE"""),"Weekday")</f>
        <v>Weekday</v>
      </c>
      <c r="M2" s="74" t="str">
        <f>IFERROR(__xludf.DUMMYFUNCTION("""COMPUTED_VALUE"""),"dining hall")</f>
        <v>dining hall</v>
      </c>
      <c r="N2" s="96" t="str">
        <f>IFERROR(__xludf.DUMMYFUNCTION("""COMPUTED_VALUE"""),"effeciency score")</f>
        <v>effeciency score</v>
      </c>
      <c r="O2" s="97" t="str">
        <f>IFERROR(__xludf.DUMMYFUNCTION("""COMPUTED_VALUE"""),"MF lbs td")</f>
        <v>MF lbs td</v>
      </c>
      <c r="P2" s="98" t="str">
        <f>IFERROR(__xludf.DUMMYFUNCTION("""COMPUTED_VALUE"""),"BF lbs td")</f>
        <v>BF lbs td</v>
      </c>
      <c r="Q2" s="99" t="str">
        <f>IFERROR(__xludf.DUMMYFUNCTION("""COMPUTED_VALUE"""),"MF hrs td")</f>
        <v>MF hrs td</v>
      </c>
      <c r="R2" s="100" t="str">
        <f>IFERROR(__xludf.DUMMYFUNCTION("""COMPUTED_VALUE"""),"BF hrs td")</f>
        <v>BF hrs td</v>
      </c>
      <c r="S2" s="101" t="str">
        <f>IFERROR(__xludf.DUMMYFUNCTION("""COMPUTED_VALUE"""),"MF lbs/hr td")</f>
        <v>MF lbs/hr td</v>
      </c>
      <c r="T2" s="102" t="str">
        <f>IFERROR(__xludf.DUMMYFUNCTION("""COMPUTED_VALUE"""),"BF lbs/hr td")</f>
        <v>BF lbs/hr td</v>
      </c>
      <c r="U2" s="103" t="str">
        <f>IFERROR(__xludf.DUMMYFUNCTION("""COMPUTED_VALUE"""),"lbs td")</f>
        <v>lbs td</v>
      </c>
      <c r="V2" s="104" t="str">
        <f>IFERROR(__xludf.DUMMYFUNCTION("""COMPUTED_VALUE"""),"hours td")</f>
        <v>hours td</v>
      </c>
      <c r="W2" s="103" t="str">
        <f>IFERROR(__xludf.DUMMYFUNCTION("""COMPUTED_VALUE"""),"lbs/hr td")</f>
        <v>lbs/hr td</v>
      </c>
      <c r="X2" s="103" t="str">
        <f>IFERROR(__xludf.DUMMYFUNCTION("""COMPUTED_VALUE"""),"avg ambassador lbs/hr")</f>
        <v>avg ambassador lbs/hr</v>
      </c>
      <c r="Y2" s="74" t="str">
        <f>IFERROR(__xludf.DUMMYFUNCTION("""COMPUTED_VALUE"""),"effeciency score td")</f>
        <v>effeciency score td</v>
      </c>
      <c r="Z2" s="105" t="str">
        <f>IFERROR(__xludf.DUMMYFUNCTION("""COMPUTED_VALUE"""),"MF diners td")</f>
        <v>MF diners td</v>
      </c>
      <c r="AA2" s="106" t="str">
        <f>IFERROR(__xludf.DUMMYFUNCTION("""COMPUTED_VALUE"""),"BF diners td")</f>
        <v>BF diners td</v>
      </c>
      <c r="AB2" s="107" t="str">
        <f>IFERROR(__xludf.DUMMYFUNCTION("""COMPUTED_VALUE"""),"Diners Today")</f>
        <v>Diners Today</v>
      </c>
      <c r="AC2" s="108"/>
      <c r="AD2" s="108"/>
      <c r="AE2" s="108"/>
    </row>
    <row r="3">
      <c r="A3" s="109">
        <f>IFERROR(__xludf.DUMMYFUNCTION("""COMPUTED_VALUE"""),45908.59112728009)</f>
        <v>45908.59113</v>
      </c>
      <c r="B3" s="110" t="str">
        <f>IFERROR(__xludf.DUMMYFUNCTION("""COMPUTED_VALUE"""),"Orpheus Wilson")</f>
        <v>Orpheus Wilson</v>
      </c>
      <c r="C3" s="74" t="b">
        <f>IFERROR(__xludf.DUMMYFUNCTION("""COMPUTED_VALUE"""),FALSE)</f>
        <v>0</v>
      </c>
      <c r="D3" s="74"/>
      <c r="E3" s="82"/>
      <c r="F3" s="74"/>
      <c r="G3" s="82"/>
      <c r="H3" s="111">
        <f>IFERROR(__xludf.DUMMYFUNCTION("""COMPUTED_VALUE"""),101.0)</f>
        <v>101</v>
      </c>
      <c r="I3" s="112"/>
      <c r="J3" s="113" t="str">
        <f>IFERROR(__xludf.DUMMYFUNCTION("""COMPUTED_VALUE"""),"Lunch")</f>
        <v>Lunch</v>
      </c>
      <c r="K3" s="113">
        <f>IFERROR(__xludf.DUMMYFUNCTION("""COMPUTED_VALUE"""),45908.0)</f>
        <v>45908</v>
      </c>
      <c r="L3" s="74" t="str">
        <f>IFERROR(__xludf.DUMMYFUNCTION("""COMPUTED_VALUE"""),"Monday")</f>
        <v>Monday</v>
      </c>
      <c r="M3" s="74" t="str">
        <f>IFERROR(__xludf.DUMMYFUNCTION("""COMPUTED_VALUE"""),"MF")</f>
        <v>MF</v>
      </c>
      <c r="N3" s="114"/>
      <c r="O3" s="115" t="str">
        <f>IFERROR(__xludf.DUMMYFUNCTION("""COMPUTED_VALUE"""),"")</f>
        <v/>
      </c>
      <c r="P3" s="74" t="str">
        <f>IFERROR(__xludf.DUMMYFUNCTION("""COMPUTED_VALUE"""),"")</f>
        <v/>
      </c>
      <c r="Q3" s="92"/>
      <c r="R3" s="92"/>
      <c r="S3" s="63"/>
      <c r="T3" s="63"/>
      <c r="U3" s="116" t="str">
        <f>IFERROR(__xludf.DUMMYFUNCTION("""COMPUTED_VALUE"""),"")</f>
        <v/>
      </c>
      <c r="V3" s="92"/>
      <c r="W3" s="64"/>
      <c r="X3" s="117"/>
      <c r="Y3" s="96"/>
      <c r="Z3" s="118" t="str">
        <f>IFERROR(__xludf.DUMMYFUNCTION("""COMPUTED_VALUE"""),"")</f>
        <v/>
      </c>
      <c r="AA3" s="118" t="str">
        <f>IFERROR(__xludf.DUMMYFUNCTION("""COMPUTED_VALUE"""),"")</f>
        <v/>
      </c>
      <c r="AB3" s="74" t="str">
        <f>IFERROR(__xludf.DUMMYFUNCTION("""COMPUTED_VALUE"""),"")</f>
        <v/>
      </c>
      <c r="AC3" s="56"/>
      <c r="AD3" s="56"/>
      <c r="AE3" s="56"/>
    </row>
    <row r="4">
      <c r="A4" s="109">
        <f>IFERROR(__xludf.DUMMYFUNCTION("""COMPUTED_VALUE"""),45908.632124525466)</f>
        <v>45908.63212</v>
      </c>
      <c r="B4" s="110" t="str">
        <f>IFERROR(__xludf.DUMMYFUNCTION("""COMPUTED_VALUE"""),"Greta Traynor")</f>
        <v>Greta Traynor</v>
      </c>
      <c r="C4" s="74" t="b">
        <f>IFERROR(__xludf.DUMMYFUNCTION("""COMPUTED_VALUE"""),FALSE)</f>
        <v>0</v>
      </c>
      <c r="D4" s="74"/>
      <c r="E4" s="82"/>
      <c r="F4" s="74"/>
      <c r="G4" s="82"/>
      <c r="H4" s="111">
        <f>IFERROR(__xludf.DUMMYFUNCTION("""COMPUTED_VALUE"""),34.0)</f>
        <v>34</v>
      </c>
      <c r="I4" s="112"/>
      <c r="J4" s="113" t="str">
        <f>IFERROR(__xludf.DUMMYFUNCTION("""COMPUTED_VALUE"""),"Lunch")</f>
        <v>Lunch</v>
      </c>
      <c r="K4" s="113">
        <f>IFERROR(__xludf.DUMMYFUNCTION("""COMPUTED_VALUE"""),45908.0)</f>
        <v>45908</v>
      </c>
      <c r="L4" s="74" t="str">
        <f>IFERROR(__xludf.DUMMYFUNCTION("""COMPUTED_VALUE"""),"Monday")</f>
        <v>Monday</v>
      </c>
      <c r="M4" s="74" t="str">
        <f>IFERROR(__xludf.DUMMYFUNCTION("""COMPUTED_VALUE"""),"MF")</f>
        <v>MF</v>
      </c>
      <c r="N4" s="114"/>
      <c r="O4" s="115" t="str">
        <f>IFERROR(__xludf.DUMMYFUNCTION("""COMPUTED_VALUE"""),"")</f>
        <v/>
      </c>
      <c r="P4" s="74" t="str">
        <f>IFERROR(__xludf.DUMMYFUNCTION("""COMPUTED_VALUE"""),"")</f>
        <v/>
      </c>
      <c r="Q4" s="92"/>
      <c r="R4" s="92"/>
      <c r="S4" s="63"/>
      <c r="T4" s="63"/>
      <c r="U4" s="116" t="str">
        <f>IFERROR(__xludf.DUMMYFUNCTION("""COMPUTED_VALUE"""),"")</f>
        <v/>
      </c>
      <c r="V4" s="92"/>
      <c r="W4" s="116"/>
      <c r="X4" s="117"/>
      <c r="Y4" s="96"/>
      <c r="Z4" s="119" t="str">
        <f>IFERROR(__xludf.DUMMYFUNCTION("""COMPUTED_VALUE"""),"")</f>
        <v/>
      </c>
      <c r="AA4" s="119" t="str">
        <f>IFERROR(__xludf.DUMMYFUNCTION("""COMPUTED_VALUE"""),"")</f>
        <v/>
      </c>
      <c r="AB4" s="74" t="str">
        <f>IFERROR(__xludf.DUMMYFUNCTION("""COMPUTED_VALUE"""),"")</f>
        <v/>
      </c>
      <c r="AC4" s="120"/>
      <c r="AD4" s="120"/>
      <c r="AE4" s="120"/>
    </row>
    <row r="5">
      <c r="A5" s="109">
        <f>IFERROR(__xludf.DUMMYFUNCTION("""COMPUTED_VALUE"""),45908.66001197917)</f>
        <v>45908.66001</v>
      </c>
      <c r="B5" s="110" t="str">
        <f>IFERROR(__xludf.DUMMYFUNCTION("""COMPUTED_VALUE"""),"Emma Korsu")</f>
        <v>Emma Korsu</v>
      </c>
      <c r="C5" s="74" t="b">
        <f>IFERROR(__xludf.DUMMYFUNCTION("""COMPUTED_VALUE"""),FALSE)</f>
        <v>0</v>
      </c>
      <c r="D5" s="74"/>
      <c r="E5" s="82"/>
      <c r="F5" s="74"/>
      <c r="G5" s="82"/>
      <c r="H5" s="111">
        <f>IFERROR(__xludf.DUMMYFUNCTION("""COMPUTED_VALUE"""),158.0)</f>
        <v>158</v>
      </c>
      <c r="I5" s="112"/>
      <c r="J5" s="113" t="str">
        <f>IFERROR(__xludf.DUMMYFUNCTION("""COMPUTED_VALUE"""),"Lunch")</f>
        <v>Lunch</v>
      </c>
      <c r="K5" s="113">
        <f>IFERROR(__xludf.DUMMYFUNCTION("""COMPUTED_VALUE"""),45908.0)</f>
        <v>45908</v>
      </c>
      <c r="L5" s="74" t="str">
        <f>IFERROR(__xludf.DUMMYFUNCTION("""COMPUTED_VALUE"""),"Monday")</f>
        <v>Monday</v>
      </c>
      <c r="M5" s="74" t="str">
        <f>IFERROR(__xludf.DUMMYFUNCTION("""COMPUTED_VALUE"""),"BF")</f>
        <v>BF</v>
      </c>
      <c r="N5" s="114"/>
      <c r="O5" s="115" t="str">
        <f>IFERROR(__xludf.DUMMYFUNCTION("""COMPUTED_VALUE"""),"")</f>
        <v/>
      </c>
      <c r="P5" s="74" t="str">
        <f>IFERROR(__xludf.DUMMYFUNCTION("""COMPUTED_VALUE"""),"")</f>
        <v/>
      </c>
      <c r="Q5" s="92"/>
      <c r="R5" s="92"/>
      <c r="S5" s="63"/>
      <c r="T5" s="63"/>
      <c r="U5" s="116" t="str">
        <f>IFERROR(__xludf.DUMMYFUNCTION("""COMPUTED_VALUE"""),"")</f>
        <v/>
      </c>
      <c r="V5" s="92"/>
      <c r="W5" s="116"/>
      <c r="X5" s="117"/>
      <c r="Y5" s="96"/>
      <c r="Z5" s="119" t="str">
        <f>IFERROR(__xludf.DUMMYFUNCTION("""COMPUTED_VALUE"""),"")</f>
        <v/>
      </c>
      <c r="AA5" s="119" t="str">
        <f>IFERROR(__xludf.DUMMYFUNCTION("""COMPUTED_VALUE"""),"")</f>
        <v/>
      </c>
      <c r="AB5" s="74" t="str">
        <f>IFERROR(__xludf.DUMMYFUNCTION("""COMPUTED_VALUE"""),"")</f>
        <v/>
      </c>
      <c r="AC5" s="120"/>
      <c r="AD5" s="120"/>
      <c r="AE5" s="120"/>
    </row>
    <row r="6">
      <c r="A6" s="109">
        <f>IFERROR(__xludf.DUMMYFUNCTION("""COMPUTED_VALUE"""),45908.77573083334)</f>
        <v>45908.77573</v>
      </c>
      <c r="B6" s="110" t="str">
        <f>IFERROR(__xludf.DUMMYFUNCTION("""COMPUTED_VALUE"""),"Emmett Khan")</f>
        <v>Emmett Khan</v>
      </c>
      <c r="C6" s="74" t="b">
        <f>IFERROR(__xludf.DUMMYFUNCTION("""COMPUTED_VALUE"""),FALSE)</f>
        <v>0</v>
      </c>
      <c r="D6" s="74"/>
      <c r="E6" s="82"/>
      <c r="F6" s="74"/>
      <c r="G6" s="82"/>
      <c r="H6" s="111">
        <f>IFERROR(__xludf.DUMMYFUNCTION("""COMPUTED_VALUE"""),123.0)</f>
        <v>123</v>
      </c>
      <c r="I6" s="112"/>
      <c r="J6" s="113" t="str">
        <f>IFERROR(__xludf.DUMMYFUNCTION("""COMPUTED_VALUE"""),"Dinner")</f>
        <v>Dinner</v>
      </c>
      <c r="K6" s="113">
        <f>IFERROR(__xludf.DUMMYFUNCTION("""COMPUTED_VALUE"""),45908.0)</f>
        <v>45908</v>
      </c>
      <c r="L6" s="74" t="str">
        <f>IFERROR(__xludf.DUMMYFUNCTION("""COMPUTED_VALUE"""),"Monday")</f>
        <v>Monday</v>
      </c>
      <c r="M6" s="74" t="str">
        <f>IFERROR(__xludf.DUMMYFUNCTION("""COMPUTED_VALUE"""),"MF")</f>
        <v>MF</v>
      </c>
      <c r="N6" s="114"/>
      <c r="O6" s="115" t="str">
        <f>IFERROR(__xludf.DUMMYFUNCTION("""COMPUTED_VALUE"""),"")</f>
        <v/>
      </c>
      <c r="P6" s="74" t="str">
        <f>IFERROR(__xludf.DUMMYFUNCTION("""COMPUTED_VALUE"""),"")</f>
        <v/>
      </c>
      <c r="Q6" s="92"/>
      <c r="R6" s="92"/>
      <c r="S6" s="63"/>
      <c r="T6" s="63"/>
      <c r="U6" s="116" t="str">
        <f>IFERROR(__xludf.DUMMYFUNCTION("""COMPUTED_VALUE"""),"")</f>
        <v/>
      </c>
      <c r="V6" s="92"/>
      <c r="W6" s="116"/>
      <c r="X6" s="117"/>
      <c r="Y6" s="96"/>
      <c r="Z6" s="119" t="str">
        <f>IFERROR(__xludf.DUMMYFUNCTION("""COMPUTED_VALUE"""),"")</f>
        <v/>
      </c>
      <c r="AA6" s="119" t="str">
        <f>IFERROR(__xludf.DUMMYFUNCTION("""COMPUTED_VALUE"""),"")</f>
        <v/>
      </c>
      <c r="AB6" s="74" t="str">
        <f>IFERROR(__xludf.DUMMYFUNCTION("""COMPUTED_VALUE"""),"")</f>
        <v/>
      </c>
      <c r="AC6" s="120"/>
      <c r="AD6" s="120"/>
      <c r="AE6" s="120"/>
    </row>
    <row r="7">
      <c r="A7" s="109">
        <f>IFERROR(__xludf.DUMMYFUNCTION("""COMPUTED_VALUE"""),45908.86813994213)</f>
        <v>45908.86814</v>
      </c>
      <c r="B7" s="110" t="str">
        <f>IFERROR(__xludf.DUMMYFUNCTION("""COMPUTED_VALUE"""),"Sarah Wilme")</f>
        <v>Sarah Wilme</v>
      </c>
      <c r="C7" s="74" t="b">
        <f>IFERROR(__xludf.DUMMYFUNCTION("""COMPUTED_VALUE"""),FALSE)</f>
        <v>0</v>
      </c>
      <c r="D7" s="74"/>
      <c r="E7" s="82"/>
      <c r="F7" s="74"/>
      <c r="G7" s="82"/>
      <c r="H7" s="111">
        <f>IFERROR(__xludf.DUMMYFUNCTION("""COMPUTED_VALUE"""),38.0)</f>
        <v>38</v>
      </c>
      <c r="I7" s="112"/>
      <c r="J7" s="113" t="str">
        <f>IFERROR(__xludf.DUMMYFUNCTION("""COMPUTED_VALUE"""),"Dinner")</f>
        <v>Dinner</v>
      </c>
      <c r="K7" s="113">
        <f>IFERROR(__xludf.DUMMYFUNCTION("""COMPUTED_VALUE"""),45908.0)</f>
        <v>45908</v>
      </c>
      <c r="L7" s="74" t="str">
        <f>IFERROR(__xludf.DUMMYFUNCTION("""COMPUTED_VALUE"""),"Monday")</f>
        <v>Monday</v>
      </c>
      <c r="M7" s="74" t="str">
        <f>IFERROR(__xludf.DUMMYFUNCTION("""COMPUTED_VALUE"""),"MF")</f>
        <v>MF</v>
      </c>
      <c r="N7" s="114"/>
      <c r="O7" s="115" t="str">
        <f>IFERROR(__xludf.DUMMYFUNCTION("""COMPUTED_VALUE"""),"")</f>
        <v/>
      </c>
      <c r="P7" s="74" t="str">
        <f>IFERROR(__xludf.DUMMYFUNCTION("""COMPUTED_VALUE"""),"")</f>
        <v/>
      </c>
      <c r="Q7" s="92"/>
      <c r="R7" s="92"/>
      <c r="S7" s="63"/>
      <c r="T7" s="63"/>
      <c r="U7" s="116" t="str">
        <f>IFERROR(__xludf.DUMMYFUNCTION("""COMPUTED_VALUE"""),"")</f>
        <v/>
      </c>
      <c r="V7" s="92"/>
      <c r="W7" s="116"/>
      <c r="X7" s="64"/>
      <c r="Y7" s="114"/>
      <c r="Z7" s="118" t="str">
        <f>IFERROR(__xludf.DUMMYFUNCTION("""COMPUTED_VALUE"""),"")</f>
        <v/>
      </c>
      <c r="AA7" s="118" t="str">
        <f>IFERROR(__xludf.DUMMYFUNCTION("""COMPUTED_VALUE"""),"")</f>
        <v/>
      </c>
      <c r="AB7" s="74" t="str">
        <f>IFERROR(__xludf.DUMMYFUNCTION("""COMPUTED_VALUE"""),"")</f>
        <v/>
      </c>
    </row>
    <row r="8">
      <c r="A8" s="109">
        <f>IFERROR(__xludf.DUMMYFUNCTION("""COMPUTED_VALUE"""),45908.86855119213)</f>
        <v>45908.86855</v>
      </c>
      <c r="B8" s="110" t="str">
        <f>IFERROR(__xludf.DUMMYFUNCTION("""COMPUTED_VALUE"""),"Sarah Wilme")</f>
        <v>Sarah Wilme</v>
      </c>
      <c r="C8" s="74" t="b">
        <f>IFERROR(__xludf.DUMMYFUNCTION("""COMPUTED_VALUE"""),TRUE)</f>
        <v>1</v>
      </c>
      <c r="D8" s="74"/>
      <c r="E8" s="82"/>
      <c r="F8" s="74"/>
      <c r="G8" s="82"/>
      <c r="H8" s="111">
        <f>IFERROR(__xludf.DUMMYFUNCTION("""COMPUTED_VALUE"""),105.0)</f>
        <v>105</v>
      </c>
      <c r="I8" s="112"/>
      <c r="J8" s="113" t="str">
        <f>IFERROR(__xludf.DUMMYFUNCTION("""COMPUTED_VALUE"""),"Dinner")</f>
        <v>Dinner</v>
      </c>
      <c r="K8" s="113">
        <f>IFERROR(__xludf.DUMMYFUNCTION("""COMPUTED_VALUE"""),45908.0)</f>
        <v>45908</v>
      </c>
      <c r="L8" s="74" t="str">
        <f>IFERROR(__xludf.DUMMYFUNCTION("""COMPUTED_VALUE"""),"Monday")</f>
        <v>Monday</v>
      </c>
      <c r="M8" s="74" t="str">
        <f>IFERROR(__xludf.DUMMYFUNCTION("""COMPUTED_VALUE"""),"MF")</f>
        <v>MF</v>
      </c>
      <c r="N8" s="114"/>
      <c r="O8" s="115">
        <f>IFERROR(__xludf.DUMMYFUNCTION("""COMPUTED_VALUE"""),401.0)</f>
        <v>401</v>
      </c>
      <c r="P8" s="74">
        <f>IFERROR(__xludf.DUMMYFUNCTION("""COMPUTED_VALUE"""),158.0)</f>
        <v>158</v>
      </c>
      <c r="Q8" s="92"/>
      <c r="R8" s="92"/>
      <c r="S8" s="63"/>
      <c r="T8" s="63"/>
      <c r="U8" s="116">
        <f>IFERROR(__xludf.DUMMYFUNCTION("""COMPUTED_VALUE"""),559.0)</f>
        <v>559</v>
      </c>
      <c r="V8" s="92"/>
      <c r="W8" s="116"/>
      <c r="X8" s="64"/>
      <c r="Y8" s="114"/>
      <c r="Z8" s="118">
        <f>IFERROR(__xludf.DUMMYFUNCTION("""COMPUTED_VALUE"""),4559.0)</f>
        <v>4559</v>
      </c>
      <c r="AA8" s="118">
        <f>IFERROR(__xludf.DUMMYFUNCTION("""COMPUTED_VALUE"""),5024.0)</f>
        <v>5024</v>
      </c>
      <c r="AB8" s="118">
        <f>IFERROR(__xludf.DUMMYFUNCTION("""COMPUTED_VALUE"""),9583.0)</f>
        <v>9583</v>
      </c>
    </row>
    <row r="9">
      <c r="A9" s="109">
        <f>IFERROR(__xludf.DUMMYFUNCTION("""COMPUTED_VALUE"""),45909.63024474537)</f>
        <v>45909.63024</v>
      </c>
      <c r="B9" s="110" t="str">
        <f>IFERROR(__xludf.DUMMYFUNCTION("""COMPUTED_VALUE"""),"Maureen Surgot")</f>
        <v>Maureen Surgot</v>
      </c>
      <c r="C9" s="74" t="b">
        <f>IFERROR(__xludf.DUMMYFUNCTION("""COMPUTED_VALUE"""),FALSE)</f>
        <v>0</v>
      </c>
      <c r="D9" s="74"/>
      <c r="E9" s="82"/>
      <c r="F9" s="74"/>
      <c r="G9" s="82"/>
      <c r="H9" s="111">
        <f>IFERROR(__xludf.DUMMYFUNCTION("""COMPUTED_VALUE"""),142.0)</f>
        <v>142</v>
      </c>
      <c r="I9" s="112"/>
      <c r="J9" s="113" t="str">
        <f>IFERROR(__xludf.DUMMYFUNCTION("""COMPUTED_VALUE"""),"Lunch")</f>
        <v>Lunch</v>
      </c>
      <c r="K9" s="113">
        <f>IFERROR(__xludf.DUMMYFUNCTION("""COMPUTED_VALUE"""),45909.0)</f>
        <v>45909</v>
      </c>
      <c r="L9" s="74" t="str">
        <f>IFERROR(__xludf.DUMMYFUNCTION("""COMPUTED_VALUE"""),"Tuesday")</f>
        <v>Tuesday</v>
      </c>
      <c r="M9" s="74" t="str">
        <f>IFERROR(__xludf.DUMMYFUNCTION("""COMPUTED_VALUE"""),"MF")</f>
        <v>MF</v>
      </c>
      <c r="N9" s="114"/>
      <c r="O9" s="115" t="str">
        <f>IFERROR(__xludf.DUMMYFUNCTION("""COMPUTED_VALUE"""),"")</f>
        <v/>
      </c>
      <c r="P9" s="74" t="str">
        <f>IFERROR(__xludf.DUMMYFUNCTION("""COMPUTED_VALUE"""),"")</f>
        <v/>
      </c>
      <c r="Q9" s="92"/>
      <c r="R9" s="92"/>
      <c r="S9" s="63"/>
      <c r="T9" s="63"/>
      <c r="U9" s="116" t="str">
        <f>IFERROR(__xludf.DUMMYFUNCTION("""COMPUTED_VALUE"""),"")</f>
        <v/>
      </c>
      <c r="V9" s="92"/>
      <c r="W9" s="116"/>
      <c r="X9" s="59"/>
      <c r="Z9" s="121" t="str">
        <f>IFERROR(__xludf.DUMMYFUNCTION("""COMPUTED_VALUE"""),"")</f>
        <v/>
      </c>
      <c r="AA9" s="121" t="str">
        <f>IFERROR(__xludf.DUMMYFUNCTION("""COMPUTED_VALUE"""),"")</f>
        <v/>
      </c>
      <c r="AB9" s="74" t="str">
        <f>IFERROR(__xludf.DUMMYFUNCTION("""COMPUTED_VALUE"""),"")</f>
        <v/>
      </c>
      <c r="AC9" s="108"/>
      <c r="AD9" s="108"/>
      <c r="AE9" s="108"/>
    </row>
    <row r="10">
      <c r="A10" s="109">
        <f>IFERROR(__xludf.DUMMYFUNCTION("""COMPUTED_VALUE"""),45909.660384166666)</f>
        <v>45909.66038</v>
      </c>
      <c r="B10" s="110" t="str">
        <f>IFERROR(__xludf.DUMMYFUNCTION("""COMPUTED_VALUE"""),"Brynn Hornig")</f>
        <v>Brynn Hornig</v>
      </c>
      <c r="C10" s="74" t="b">
        <f>IFERROR(__xludf.DUMMYFUNCTION("""COMPUTED_VALUE"""),FALSE)</f>
        <v>0</v>
      </c>
      <c r="D10" s="74"/>
      <c r="E10" s="82"/>
      <c r="F10" s="74"/>
      <c r="G10" s="82"/>
      <c r="H10" s="111">
        <f>IFERROR(__xludf.DUMMYFUNCTION("""COMPUTED_VALUE"""),128.0)</f>
        <v>128</v>
      </c>
      <c r="I10" s="112"/>
      <c r="J10" s="113" t="str">
        <f>IFERROR(__xludf.DUMMYFUNCTION("""COMPUTED_VALUE"""),"Lunch")</f>
        <v>Lunch</v>
      </c>
      <c r="K10" s="113">
        <f>IFERROR(__xludf.DUMMYFUNCTION("""COMPUTED_VALUE"""),45909.0)</f>
        <v>45909</v>
      </c>
      <c r="L10" s="74" t="str">
        <f>IFERROR(__xludf.DUMMYFUNCTION("""COMPUTED_VALUE"""),"Tuesday")</f>
        <v>Tuesday</v>
      </c>
      <c r="M10" s="74" t="str">
        <f>IFERROR(__xludf.DUMMYFUNCTION("""COMPUTED_VALUE"""),"BF")</f>
        <v>BF</v>
      </c>
      <c r="N10" s="114"/>
      <c r="O10" s="115" t="str">
        <f>IFERROR(__xludf.DUMMYFUNCTION("""COMPUTED_VALUE"""),"")</f>
        <v/>
      </c>
      <c r="P10" s="74" t="str">
        <f>IFERROR(__xludf.DUMMYFUNCTION("""COMPUTED_VALUE"""),"")</f>
        <v/>
      </c>
      <c r="Q10" s="92"/>
      <c r="R10" s="92"/>
      <c r="S10" s="63"/>
      <c r="T10" s="63"/>
      <c r="U10" s="116" t="str">
        <f>IFERROR(__xludf.DUMMYFUNCTION("""COMPUTED_VALUE"""),"")</f>
        <v/>
      </c>
      <c r="V10" s="92"/>
      <c r="W10" s="116"/>
      <c r="X10" s="122"/>
      <c r="Y10" s="114"/>
      <c r="Z10" s="118" t="str">
        <f>IFERROR(__xludf.DUMMYFUNCTION("""COMPUTED_VALUE"""),"")</f>
        <v/>
      </c>
      <c r="AA10" s="118" t="str">
        <f>IFERROR(__xludf.DUMMYFUNCTION("""COMPUTED_VALUE"""),"")</f>
        <v/>
      </c>
      <c r="AB10" s="74" t="str">
        <f>IFERROR(__xludf.DUMMYFUNCTION("""COMPUTED_VALUE"""),"")</f>
        <v/>
      </c>
    </row>
    <row r="11">
      <c r="A11" s="109">
        <f>IFERROR(__xludf.DUMMYFUNCTION("""COMPUTED_VALUE"""),45909.870084953705)</f>
        <v>45909.87008</v>
      </c>
      <c r="B11" s="81" t="str">
        <f>IFERROR(__xludf.DUMMYFUNCTION("""COMPUTED_VALUE"""),"Leisly Aceituno")</f>
        <v>Leisly Aceituno</v>
      </c>
      <c r="C11" s="74" t="b">
        <f>IFERROR(__xludf.DUMMYFUNCTION("""COMPUTED_VALUE"""),FALSE)</f>
        <v>0</v>
      </c>
      <c r="D11" s="74"/>
      <c r="E11" s="82"/>
      <c r="F11" s="74"/>
      <c r="G11" s="82"/>
      <c r="H11" s="111">
        <f>IFERROR(__xludf.DUMMYFUNCTION("""COMPUTED_VALUE"""),225.0)</f>
        <v>225</v>
      </c>
      <c r="I11" s="112"/>
      <c r="J11" s="113" t="str">
        <f>IFERROR(__xludf.DUMMYFUNCTION("""COMPUTED_VALUE"""),"Dinner")</f>
        <v>Dinner</v>
      </c>
      <c r="K11" s="113">
        <f>IFERROR(__xludf.DUMMYFUNCTION("""COMPUTED_VALUE"""),45909.0)</f>
        <v>45909</v>
      </c>
      <c r="L11" s="74" t="str">
        <f>IFERROR(__xludf.DUMMYFUNCTION("""COMPUTED_VALUE"""),"Tuesday")</f>
        <v>Tuesday</v>
      </c>
      <c r="M11" s="74" t="str">
        <f>IFERROR(__xludf.DUMMYFUNCTION("""COMPUTED_VALUE"""),"MF")</f>
        <v>MF</v>
      </c>
      <c r="N11" s="114"/>
      <c r="O11" s="115">
        <f>IFERROR(__xludf.DUMMYFUNCTION("""COMPUTED_VALUE"""),367.0)</f>
        <v>367</v>
      </c>
      <c r="P11" s="74">
        <f>IFERROR(__xludf.DUMMYFUNCTION("""COMPUTED_VALUE"""),128.0)</f>
        <v>128</v>
      </c>
      <c r="Q11" s="92"/>
      <c r="R11" s="92"/>
      <c r="S11" s="63"/>
      <c r="T11" s="63"/>
      <c r="U11" s="116">
        <f>IFERROR(__xludf.DUMMYFUNCTION("""COMPUTED_VALUE"""),495.0)</f>
        <v>495</v>
      </c>
      <c r="V11" s="92"/>
      <c r="W11" s="116"/>
      <c r="X11" s="122"/>
      <c r="Y11" s="114"/>
      <c r="Z11" s="118">
        <f>IFERROR(__xludf.DUMMYFUNCTION("""COMPUTED_VALUE"""),4530.0)</f>
        <v>4530</v>
      </c>
      <c r="AA11" s="118">
        <f>IFERROR(__xludf.DUMMYFUNCTION("""COMPUTED_VALUE"""),4153.0)</f>
        <v>4153</v>
      </c>
      <c r="AB11" s="118">
        <f>IFERROR(__xludf.DUMMYFUNCTION("""COMPUTED_VALUE"""),8683.0)</f>
        <v>8683</v>
      </c>
    </row>
    <row r="12">
      <c r="A12" s="109">
        <f>IFERROR(__xludf.DUMMYFUNCTION("""COMPUTED_VALUE"""),45910.63344855324)</f>
        <v>45910.63345</v>
      </c>
      <c r="B12" s="110" t="str">
        <f>IFERROR(__xludf.DUMMYFUNCTION("""COMPUTED_VALUE"""),"Greta Traynor")</f>
        <v>Greta Traynor</v>
      </c>
      <c r="C12" s="74" t="b">
        <f>IFERROR(__xludf.DUMMYFUNCTION("""COMPUTED_VALUE"""),FALSE)</f>
        <v>0</v>
      </c>
      <c r="D12" s="74"/>
      <c r="E12" s="82"/>
      <c r="F12" s="74"/>
      <c r="G12" s="82"/>
      <c r="H12" s="111">
        <f>IFERROR(__xludf.DUMMYFUNCTION("""COMPUTED_VALUE"""),65.0)</f>
        <v>65</v>
      </c>
      <c r="I12" s="112"/>
      <c r="J12" s="113" t="str">
        <f>IFERROR(__xludf.DUMMYFUNCTION("""COMPUTED_VALUE"""),"Lunch")</f>
        <v>Lunch</v>
      </c>
      <c r="K12" s="113">
        <f>IFERROR(__xludf.DUMMYFUNCTION("""COMPUTED_VALUE"""),45910.0)</f>
        <v>45910</v>
      </c>
      <c r="L12" s="74" t="str">
        <f>IFERROR(__xludf.DUMMYFUNCTION("""COMPUTED_VALUE"""),"Wednesday")</f>
        <v>Wednesday</v>
      </c>
      <c r="M12" s="74" t="str">
        <f>IFERROR(__xludf.DUMMYFUNCTION("""COMPUTED_VALUE"""),"MF")</f>
        <v>MF</v>
      </c>
      <c r="N12" s="114"/>
      <c r="O12" s="115" t="str">
        <f>IFERROR(__xludf.DUMMYFUNCTION("""COMPUTED_VALUE"""),"")</f>
        <v/>
      </c>
      <c r="P12" s="74" t="str">
        <f>IFERROR(__xludf.DUMMYFUNCTION("""COMPUTED_VALUE"""),"")</f>
        <v/>
      </c>
      <c r="Q12" s="92"/>
      <c r="R12" s="92"/>
      <c r="S12" s="63"/>
      <c r="T12" s="63"/>
      <c r="U12" s="116" t="str">
        <f>IFERROR(__xludf.DUMMYFUNCTION("""COMPUTED_VALUE"""),"")</f>
        <v/>
      </c>
      <c r="V12" s="92"/>
      <c r="W12" s="116"/>
      <c r="X12" s="122"/>
      <c r="Y12" s="114"/>
      <c r="Z12" s="118" t="str">
        <f>IFERROR(__xludf.DUMMYFUNCTION("""COMPUTED_VALUE"""),"")</f>
        <v/>
      </c>
      <c r="AA12" s="118" t="str">
        <f>IFERROR(__xludf.DUMMYFUNCTION("""COMPUTED_VALUE"""),"")</f>
        <v/>
      </c>
      <c r="AB12" s="74" t="str">
        <f>IFERROR(__xludf.DUMMYFUNCTION("""COMPUTED_VALUE"""),"")</f>
        <v/>
      </c>
    </row>
    <row r="13">
      <c r="A13" s="109">
        <f>IFERROR(__xludf.DUMMYFUNCTION("""COMPUTED_VALUE"""),45910.74880765047)</f>
        <v>45910.74881</v>
      </c>
      <c r="B13" s="110" t="str">
        <f>IFERROR(__xludf.DUMMYFUNCTION("""COMPUTED_VALUE"""),"Orpheus Wilson")</f>
        <v>Orpheus Wilson</v>
      </c>
      <c r="C13" s="74" t="b">
        <f>IFERROR(__xludf.DUMMYFUNCTION("""COMPUTED_VALUE"""),FALSE)</f>
        <v>0</v>
      </c>
      <c r="D13" s="74"/>
      <c r="E13" s="82"/>
      <c r="F13" s="74"/>
      <c r="G13" s="82"/>
      <c r="H13" s="111">
        <f>IFERROR(__xludf.DUMMYFUNCTION("""COMPUTED_VALUE"""),65.0)</f>
        <v>65</v>
      </c>
      <c r="I13" s="112"/>
      <c r="J13" s="113" t="str">
        <f>IFERROR(__xludf.DUMMYFUNCTION("""COMPUTED_VALUE"""),"Dinner")</f>
        <v>Dinner</v>
      </c>
      <c r="K13" s="113">
        <f>IFERROR(__xludf.DUMMYFUNCTION("""COMPUTED_VALUE"""),45910.0)</f>
        <v>45910</v>
      </c>
      <c r="L13" s="74" t="str">
        <f>IFERROR(__xludf.DUMMYFUNCTION("""COMPUTED_VALUE"""),"Wednesday")</f>
        <v>Wednesday</v>
      </c>
      <c r="M13" s="74" t="str">
        <f>IFERROR(__xludf.DUMMYFUNCTION("""COMPUTED_VALUE"""),"MF")</f>
        <v>MF</v>
      </c>
      <c r="N13" s="114"/>
      <c r="O13" s="115" t="str">
        <f>IFERROR(__xludf.DUMMYFUNCTION("""COMPUTED_VALUE"""),"")</f>
        <v/>
      </c>
      <c r="P13" s="74" t="str">
        <f>IFERROR(__xludf.DUMMYFUNCTION("""COMPUTED_VALUE"""),"")</f>
        <v/>
      </c>
      <c r="Q13" s="92"/>
      <c r="R13" s="92"/>
      <c r="S13" s="63"/>
      <c r="T13" s="63"/>
      <c r="U13" s="116" t="str">
        <f>IFERROR(__xludf.DUMMYFUNCTION("""COMPUTED_VALUE"""),"")</f>
        <v/>
      </c>
      <c r="V13" s="92"/>
      <c r="W13" s="116"/>
      <c r="X13" s="122"/>
      <c r="Y13" s="114"/>
      <c r="Z13" s="118" t="str">
        <f>IFERROR(__xludf.DUMMYFUNCTION("""COMPUTED_VALUE"""),"")</f>
        <v/>
      </c>
      <c r="AA13" s="118" t="str">
        <f>IFERROR(__xludf.DUMMYFUNCTION("""COMPUTED_VALUE"""),"")</f>
        <v/>
      </c>
      <c r="AB13" s="74" t="str">
        <f>IFERROR(__xludf.DUMMYFUNCTION("""COMPUTED_VALUE"""),"")</f>
        <v/>
      </c>
    </row>
    <row r="14">
      <c r="A14" s="109">
        <f>IFERROR(__xludf.DUMMYFUNCTION("""COMPUTED_VALUE"""),45910.75103585648)</f>
        <v>45910.75104</v>
      </c>
      <c r="B14" s="110" t="str">
        <f>IFERROR(__xludf.DUMMYFUNCTION("""COMPUTED_VALUE"""),"Sarah Wilme")</f>
        <v>Sarah Wilme</v>
      </c>
      <c r="C14" s="74" t="b">
        <f>IFERROR(__xludf.DUMMYFUNCTION("""COMPUTED_VALUE"""),FALSE)</f>
        <v>0</v>
      </c>
      <c r="D14" s="74"/>
      <c r="E14" s="82"/>
      <c r="F14" s="74"/>
      <c r="G14" s="82"/>
      <c r="H14" s="111">
        <f>IFERROR(__xludf.DUMMYFUNCTION("""COMPUTED_VALUE"""),194.0)</f>
        <v>194</v>
      </c>
      <c r="I14" s="112"/>
      <c r="J14" s="113" t="str">
        <f>IFERROR(__xludf.DUMMYFUNCTION("""COMPUTED_VALUE"""),"Dinner")</f>
        <v>Dinner</v>
      </c>
      <c r="K14" s="113">
        <f>IFERROR(__xludf.DUMMYFUNCTION("""COMPUTED_VALUE"""),45910.0)</f>
        <v>45910</v>
      </c>
      <c r="L14" s="74" t="str">
        <f>IFERROR(__xludf.DUMMYFUNCTION("""COMPUTED_VALUE"""),"Wednesday")</f>
        <v>Wednesday</v>
      </c>
      <c r="M14" s="74" t="str">
        <f>IFERROR(__xludf.DUMMYFUNCTION("""COMPUTED_VALUE"""),"BF")</f>
        <v>BF</v>
      </c>
      <c r="N14" s="114"/>
      <c r="O14" s="115" t="str">
        <f>IFERROR(__xludf.DUMMYFUNCTION("""COMPUTED_VALUE"""),"")</f>
        <v/>
      </c>
      <c r="P14" s="74" t="str">
        <f>IFERROR(__xludf.DUMMYFUNCTION("""COMPUTED_VALUE"""),"")</f>
        <v/>
      </c>
      <c r="Q14" s="92"/>
      <c r="R14" s="92"/>
      <c r="S14" s="63"/>
      <c r="T14" s="63"/>
      <c r="U14" s="116" t="str">
        <f>IFERROR(__xludf.DUMMYFUNCTION("""COMPUTED_VALUE"""),"")</f>
        <v/>
      </c>
      <c r="V14" s="92"/>
      <c r="W14" s="116"/>
      <c r="X14" s="122"/>
      <c r="Y14" s="114"/>
      <c r="Z14" s="118" t="str">
        <f>IFERROR(__xludf.DUMMYFUNCTION("""COMPUTED_VALUE"""),"")</f>
        <v/>
      </c>
      <c r="AA14" s="118" t="str">
        <f>IFERROR(__xludf.DUMMYFUNCTION("""COMPUTED_VALUE"""),"")</f>
        <v/>
      </c>
      <c r="AB14" s="74" t="str">
        <f>IFERROR(__xludf.DUMMYFUNCTION("""COMPUTED_VALUE"""),"")</f>
        <v/>
      </c>
    </row>
    <row r="15">
      <c r="A15" s="109">
        <f>IFERROR(__xludf.DUMMYFUNCTION("""COMPUTED_VALUE"""),45910.87202634259)</f>
        <v>45910.87203</v>
      </c>
      <c r="B15" s="110" t="str">
        <f>IFERROR(__xludf.DUMMYFUNCTION("""COMPUTED_VALUE"""),"Kaylie Forgue")</f>
        <v>Kaylie Forgue</v>
      </c>
      <c r="C15" s="74" t="b">
        <f>IFERROR(__xludf.DUMMYFUNCTION("""COMPUTED_VALUE"""),FALSE)</f>
        <v>0</v>
      </c>
      <c r="D15" s="74"/>
      <c r="E15" s="82"/>
      <c r="F15" s="74"/>
      <c r="G15" s="82"/>
      <c r="H15" s="111">
        <f>IFERROR(__xludf.DUMMYFUNCTION("""COMPUTED_VALUE"""),81.0)</f>
        <v>81</v>
      </c>
      <c r="I15" s="112"/>
      <c r="J15" s="113" t="str">
        <f>IFERROR(__xludf.DUMMYFUNCTION("""COMPUTED_VALUE"""),"Dinner")</f>
        <v>Dinner</v>
      </c>
      <c r="K15" s="113">
        <f>IFERROR(__xludf.DUMMYFUNCTION("""COMPUTED_VALUE"""),45910.0)</f>
        <v>45910</v>
      </c>
      <c r="L15" s="74" t="str">
        <f>IFERROR(__xludf.DUMMYFUNCTION("""COMPUTED_VALUE"""),"Wednesday")</f>
        <v>Wednesday</v>
      </c>
      <c r="M15" s="74" t="str">
        <f>IFERROR(__xludf.DUMMYFUNCTION("""COMPUTED_VALUE"""),"MF")</f>
        <v>MF</v>
      </c>
      <c r="N15" s="114"/>
      <c r="O15" s="115">
        <f>IFERROR(__xludf.DUMMYFUNCTION("""COMPUTED_VALUE"""),211.0)</f>
        <v>211</v>
      </c>
      <c r="P15" s="74">
        <f>IFERROR(__xludf.DUMMYFUNCTION("""COMPUTED_VALUE"""),194.0)</f>
        <v>194</v>
      </c>
      <c r="Q15" s="92"/>
      <c r="R15" s="92"/>
      <c r="S15" s="63"/>
      <c r="T15" s="63"/>
      <c r="U15" s="116">
        <f>IFERROR(__xludf.DUMMYFUNCTION("""COMPUTED_VALUE"""),405.0)</f>
        <v>405</v>
      </c>
      <c r="V15" s="92"/>
      <c r="W15" s="116"/>
      <c r="X15" s="122"/>
      <c r="Y15" s="114"/>
      <c r="Z15" s="118">
        <f>IFERROR(__xludf.DUMMYFUNCTION("""COMPUTED_VALUE"""),3950.0)</f>
        <v>3950</v>
      </c>
      <c r="AA15" s="118">
        <f>IFERROR(__xludf.DUMMYFUNCTION("""COMPUTED_VALUE"""),4886.0)</f>
        <v>4886</v>
      </c>
      <c r="AB15" s="118">
        <f>IFERROR(__xludf.DUMMYFUNCTION("""COMPUTED_VALUE"""),8836.0)</f>
        <v>8836</v>
      </c>
    </row>
    <row r="16">
      <c r="A16" s="109">
        <f>IFERROR(__xludf.DUMMYFUNCTION("""COMPUTED_VALUE"""),45911.55644688658)</f>
        <v>45911.55645</v>
      </c>
      <c r="B16" s="110" t="str">
        <f>IFERROR(__xludf.DUMMYFUNCTION("""COMPUTED_VALUE"""),"Maureen Surgot")</f>
        <v>Maureen Surgot</v>
      </c>
      <c r="C16" s="74" t="b">
        <f>IFERROR(__xludf.DUMMYFUNCTION("""COMPUTED_VALUE"""),FALSE)</f>
        <v>0</v>
      </c>
      <c r="D16" s="74"/>
      <c r="E16" s="82"/>
      <c r="F16" s="74"/>
      <c r="G16" s="82"/>
      <c r="H16" s="111">
        <f>IFERROR(__xludf.DUMMYFUNCTION("""COMPUTED_VALUE"""),71.0)</f>
        <v>71</v>
      </c>
      <c r="I16" s="112"/>
      <c r="J16" s="113" t="str">
        <f>IFERROR(__xludf.DUMMYFUNCTION("""COMPUTED_VALUE"""),"Lunch")</f>
        <v>Lunch</v>
      </c>
      <c r="K16" s="113">
        <f>IFERROR(__xludf.DUMMYFUNCTION("""COMPUTED_VALUE"""),45911.0)</f>
        <v>45911</v>
      </c>
      <c r="L16" s="74" t="str">
        <f>IFERROR(__xludf.DUMMYFUNCTION("""COMPUTED_VALUE"""),"Thursday")</f>
        <v>Thursday</v>
      </c>
      <c r="M16" s="74" t="str">
        <f>IFERROR(__xludf.DUMMYFUNCTION("""COMPUTED_VALUE"""),"MF")</f>
        <v>MF</v>
      </c>
      <c r="N16" s="114"/>
      <c r="O16" s="115" t="str">
        <f>IFERROR(__xludf.DUMMYFUNCTION("""COMPUTED_VALUE"""),"")</f>
        <v/>
      </c>
      <c r="P16" s="74" t="str">
        <f>IFERROR(__xludf.DUMMYFUNCTION("""COMPUTED_VALUE"""),"")</f>
        <v/>
      </c>
      <c r="Q16" s="92"/>
      <c r="R16" s="92"/>
      <c r="S16" s="63"/>
      <c r="T16" s="63"/>
      <c r="U16" s="116" t="str">
        <f>IFERROR(__xludf.DUMMYFUNCTION("""COMPUTED_VALUE"""),"")</f>
        <v/>
      </c>
      <c r="V16" s="92"/>
      <c r="W16" s="116"/>
      <c r="X16" s="64"/>
      <c r="Y16" s="114"/>
      <c r="Z16" s="118" t="str">
        <f>IFERROR(__xludf.DUMMYFUNCTION("""COMPUTED_VALUE"""),"")</f>
        <v/>
      </c>
      <c r="AA16" s="118" t="str">
        <f>IFERROR(__xludf.DUMMYFUNCTION("""COMPUTED_VALUE"""),"")</f>
        <v/>
      </c>
      <c r="AB16" s="74" t="str">
        <f>IFERROR(__xludf.DUMMYFUNCTION("""COMPUTED_VALUE"""),"")</f>
        <v/>
      </c>
    </row>
    <row r="17">
      <c r="A17" s="109">
        <f>IFERROR(__xludf.DUMMYFUNCTION("""COMPUTED_VALUE"""),45911.640290474534)</f>
        <v>45911.64029</v>
      </c>
      <c r="B17" s="110" t="str">
        <f>IFERROR(__xludf.DUMMYFUNCTION("""COMPUTED_VALUE"""),"Brynn Hornig")</f>
        <v>Brynn Hornig</v>
      </c>
      <c r="C17" s="74" t="b">
        <f>IFERROR(__xludf.DUMMYFUNCTION("""COMPUTED_VALUE"""),FALSE)</f>
        <v>0</v>
      </c>
      <c r="D17" s="74"/>
      <c r="E17" s="82"/>
      <c r="F17" s="74"/>
      <c r="G17" s="82"/>
      <c r="H17" s="111">
        <f>IFERROR(__xludf.DUMMYFUNCTION("""COMPUTED_VALUE"""),68.0)</f>
        <v>68</v>
      </c>
      <c r="I17" s="112"/>
      <c r="J17" s="113" t="str">
        <f>IFERROR(__xludf.DUMMYFUNCTION("""COMPUTED_VALUE"""),"Lunch")</f>
        <v>Lunch</v>
      </c>
      <c r="K17" s="113">
        <f>IFERROR(__xludf.DUMMYFUNCTION("""COMPUTED_VALUE"""),45911.0)</f>
        <v>45911</v>
      </c>
      <c r="L17" s="74" t="str">
        <f>IFERROR(__xludf.DUMMYFUNCTION("""COMPUTED_VALUE"""),"Thursday")</f>
        <v>Thursday</v>
      </c>
      <c r="M17" s="74" t="str">
        <f>IFERROR(__xludf.DUMMYFUNCTION("""COMPUTED_VALUE"""),"MF")</f>
        <v>MF</v>
      </c>
      <c r="N17" s="114"/>
      <c r="O17" s="115" t="str">
        <f>IFERROR(__xludf.DUMMYFUNCTION("""COMPUTED_VALUE"""),"")</f>
        <v/>
      </c>
      <c r="P17" s="74" t="str">
        <f>IFERROR(__xludf.DUMMYFUNCTION("""COMPUTED_VALUE"""),"")</f>
        <v/>
      </c>
      <c r="Q17" s="92"/>
      <c r="R17" s="92"/>
      <c r="S17" s="63"/>
      <c r="T17" s="63"/>
      <c r="U17" s="116" t="str">
        <f>IFERROR(__xludf.DUMMYFUNCTION("""COMPUTED_VALUE"""),"")</f>
        <v/>
      </c>
      <c r="V17" s="92"/>
      <c r="W17" s="116"/>
      <c r="X17" s="64"/>
      <c r="Y17" s="114"/>
      <c r="Z17" s="118" t="str">
        <f>IFERROR(__xludf.DUMMYFUNCTION("""COMPUTED_VALUE"""),"")</f>
        <v/>
      </c>
      <c r="AA17" s="118" t="str">
        <f>IFERROR(__xludf.DUMMYFUNCTION("""COMPUTED_VALUE"""),"")</f>
        <v/>
      </c>
      <c r="AB17" s="74" t="str">
        <f>IFERROR(__xludf.DUMMYFUNCTION("""COMPUTED_VALUE"""),"")</f>
        <v/>
      </c>
    </row>
    <row r="18">
      <c r="A18" s="109">
        <f>IFERROR(__xludf.DUMMYFUNCTION("""COMPUTED_VALUE"""),45911.67635799768)</f>
        <v>45911.67636</v>
      </c>
      <c r="B18" s="110" t="str">
        <f>IFERROR(__xludf.DUMMYFUNCTION("""COMPUTED_VALUE"""),"Emma Korsu")</f>
        <v>Emma Korsu</v>
      </c>
      <c r="C18" s="74" t="b">
        <f>IFERROR(__xludf.DUMMYFUNCTION("""COMPUTED_VALUE"""),FALSE)</f>
        <v>0</v>
      </c>
      <c r="D18" s="74"/>
      <c r="E18" s="82"/>
      <c r="F18" s="74"/>
      <c r="G18" s="82"/>
      <c r="H18" s="111">
        <f>IFERROR(__xludf.DUMMYFUNCTION("""COMPUTED_VALUE"""),194.0)</f>
        <v>194</v>
      </c>
      <c r="I18" s="112"/>
      <c r="J18" s="113" t="str">
        <f>IFERROR(__xludf.DUMMYFUNCTION("""COMPUTED_VALUE"""),"Dinner")</f>
        <v>Dinner</v>
      </c>
      <c r="K18" s="113">
        <f>IFERROR(__xludf.DUMMYFUNCTION("""COMPUTED_VALUE"""),45911.0)</f>
        <v>45911</v>
      </c>
      <c r="L18" s="74" t="str">
        <f>IFERROR(__xludf.DUMMYFUNCTION("""COMPUTED_VALUE"""),"Thursday")</f>
        <v>Thursday</v>
      </c>
      <c r="M18" s="74" t="str">
        <f>IFERROR(__xludf.DUMMYFUNCTION("""COMPUTED_VALUE"""),"BF")</f>
        <v>BF</v>
      </c>
      <c r="N18" s="114"/>
      <c r="O18" s="115" t="str">
        <f>IFERROR(__xludf.DUMMYFUNCTION("""COMPUTED_VALUE"""),"")</f>
        <v/>
      </c>
      <c r="P18" s="74" t="str">
        <f>IFERROR(__xludf.DUMMYFUNCTION("""COMPUTED_VALUE"""),"")</f>
        <v/>
      </c>
      <c r="Q18" s="92"/>
      <c r="R18" s="92"/>
      <c r="S18" s="63"/>
      <c r="T18" s="63"/>
      <c r="U18" s="116" t="str">
        <f>IFERROR(__xludf.DUMMYFUNCTION("""COMPUTED_VALUE"""),"")</f>
        <v/>
      </c>
      <c r="V18" s="92"/>
      <c r="W18" s="116"/>
      <c r="X18" s="64"/>
      <c r="Y18" s="114"/>
      <c r="Z18" s="118" t="str">
        <f>IFERROR(__xludf.DUMMYFUNCTION("""COMPUTED_VALUE"""),"")</f>
        <v/>
      </c>
      <c r="AA18" s="118" t="str">
        <f>IFERROR(__xludf.DUMMYFUNCTION("""COMPUTED_VALUE"""),"")</f>
        <v/>
      </c>
      <c r="AB18" s="74" t="str">
        <f>IFERROR(__xludf.DUMMYFUNCTION("""COMPUTED_VALUE"""),"")</f>
        <v/>
      </c>
    </row>
    <row r="19">
      <c r="A19" s="109">
        <f>IFERROR(__xludf.DUMMYFUNCTION("""COMPUTED_VALUE"""),45911.6942159375)</f>
        <v>45911.69422</v>
      </c>
      <c r="B19" s="110" t="str">
        <f>IFERROR(__xludf.DUMMYFUNCTION("""COMPUTED_VALUE"""),"Emmett Khan")</f>
        <v>Emmett Khan</v>
      </c>
      <c r="C19" s="74" t="b">
        <f>IFERROR(__xludf.DUMMYFUNCTION("""COMPUTED_VALUE"""),FALSE)</f>
        <v>0</v>
      </c>
      <c r="D19" s="74"/>
      <c r="E19" s="82"/>
      <c r="F19" s="74"/>
      <c r="G19" s="82"/>
      <c r="H19" s="111">
        <f>IFERROR(__xludf.DUMMYFUNCTION("""COMPUTED_VALUE"""),54.0)</f>
        <v>54</v>
      </c>
      <c r="I19" s="112"/>
      <c r="J19" s="113" t="str">
        <f>IFERROR(__xludf.DUMMYFUNCTION("""COMPUTED_VALUE"""),"Lunch")</f>
        <v>Lunch</v>
      </c>
      <c r="K19" s="113">
        <f>IFERROR(__xludf.DUMMYFUNCTION("""COMPUTED_VALUE"""),45911.0)</f>
        <v>45911</v>
      </c>
      <c r="L19" s="74" t="str">
        <f>IFERROR(__xludf.DUMMYFUNCTION("""COMPUTED_VALUE"""),"Thursday")</f>
        <v>Thursday</v>
      </c>
      <c r="M19" s="74" t="str">
        <f>IFERROR(__xludf.DUMMYFUNCTION("""COMPUTED_VALUE"""),"BF")</f>
        <v>BF</v>
      </c>
      <c r="N19" s="96"/>
      <c r="O19" s="115" t="str">
        <f>IFERROR(__xludf.DUMMYFUNCTION("""COMPUTED_VALUE"""),"")</f>
        <v/>
      </c>
      <c r="P19" s="74" t="str">
        <f>IFERROR(__xludf.DUMMYFUNCTION("""COMPUTED_VALUE"""),"")</f>
        <v/>
      </c>
      <c r="Q19" s="92"/>
      <c r="R19" s="92"/>
      <c r="S19" s="63"/>
      <c r="T19" s="63"/>
      <c r="U19" s="116" t="str">
        <f>IFERROR(__xludf.DUMMYFUNCTION("""COMPUTED_VALUE"""),"")</f>
        <v/>
      </c>
      <c r="V19" s="92"/>
      <c r="W19" s="116"/>
      <c r="X19" s="64"/>
      <c r="Y19" s="114"/>
      <c r="Z19" s="118" t="str">
        <f>IFERROR(__xludf.DUMMYFUNCTION("""COMPUTED_VALUE"""),"")</f>
        <v/>
      </c>
      <c r="AA19" s="118" t="str">
        <f>IFERROR(__xludf.DUMMYFUNCTION("""COMPUTED_VALUE"""),"")</f>
        <v/>
      </c>
      <c r="AB19" s="74" t="str">
        <f>IFERROR(__xludf.DUMMYFUNCTION("""COMPUTED_VALUE"""),"")</f>
        <v/>
      </c>
    </row>
    <row r="20">
      <c r="A20" s="109">
        <f>IFERROR(__xludf.DUMMYFUNCTION("""COMPUTED_VALUE"""),45911.776443298615)</f>
        <v>45911.77644</v>
      </c>
      <c r="B20" s="110" t="str">
        <f>IFERROR(__xludf.DUMMYFUNCTION("""COMPUTED_VALUE"""),"Emmett Khan")</f>
        <v>Emmett Khan</v>
      </c>
      <c r="C20" s="74" t="b">
        <f>IFERROR(__xludf.DUMMYFUNCTION("""COMPUTED_VALUE"""),TRUE)</f>
        <v>1</v>
      </c>
      <c r="D20" s="74"/>
      <c r="E20" s="82"/>
      <c r="F20" s="74"/>
      <c r="G20" s="82"/>
      <c r="H20" s="111">
        <f>IFERROR(__xludf.DUMMYFUNCTION("""COMPUTED_VALUE"""),122.0)</f>
        <v>122</v>
      </c>
      <c r="I20" s="112"/>
      <c r="J20" s="113" t="str">
        <f>IFERROR(__xludf.DUMMYFUNCTION("""COMPUTED_VALUE"""),"Dinner")</f>
        <v>Dinner</v>
      </c>
      <c r="K20" s="113">
        <f>IFERROR(__xludf.DUMMYFUNCTION("""COMPUTED_VALUE"""),45911.0)</f>
        <v>45911</v>
      </c>
      <c r="L20" s="74" t="str">
        <f>IFERROR(__xludf.DUMMYFUNCTION("""COMPUTED_VALUE"""),"Thursday")</f>
        <v>Thursday</v>
      </c>
      <c r="M20" s="74" t="str">
        <f>IFERROR(__xludf.DUMMYFUNCTION("""COMPUTED_VALUE"""),"BF")</f>
        <v>BF</v>
      </c>
      <c r="N20" s="114"/>
      <c r="O20" s="115">
        <f>IFERROR(__xludf.DUMMYFUNCTION("""COMPUTED_VALUE"""),139.0)</f>
        <v>139</v>
      </c>
      <c r="P20" s="74">
        <f>IFERROR(__xludf.DUMMYFUNCTION("""COMPUTED_VALUE"""),370.0)</f>
        <v>370</v>
      </c>
      <c r="Q20" s="92"/>
      <c r="R20" s="92"/>
      <c r="S20" s="63"/>
      <c r="T20" s="63"/>
      <c r="U20" s="116">
        <f>IFERROR(__xludf.DUMMYFUNCTION("""COMPUTED_VALUE"""),509.0)</f>
        <v>509</v>
      </c>
      <c r="V20" s="92"/>
      <c r="W20" s="116"/>
      <c r="X20" s="64"/>
      <c r="Y20" s="114"/>
      <c r="Z20" s="118">
        <f>IFERROR(__xludf.DUMMYFUNCTION("""COMPUTED_VALUE"""),3965.0)</f>
        <v>3965</v>
      </c>
      <c r="AA20" s="118">
        <f>IFERROR(__xludf.DUMMYFUNCTION("""COMPUTED_VALUE"""),4593.0)</f>
        <v>4593</v>
      </c>
      <c r="AB20" s="118">
        <f>IFERROR(__xludf.DUMMYFUNCTION("""COMPUTED_VALUE"""),8558.0)</f>
        <v>8558</v>
      </c>
    </row>
    <row r="21">
      <c r="A21" s="109">
        <f>IFERROR(__xludf.DUMMYFUNCTION("""COMPUTED_VALUE"""),45912.58861394676)</f>
        <v>45912.58861</v>
      </c>
      <c r="B21" s="110" t="str">
        <f>IFERROR(__xludf.DUMMYFUNCTION("""COMPUTED_VALUE"""),"Greta Traynor")</f>
        <v>Greta Traynor</v>
      </c>
      <c r="C21" s="74" t="b">
        <f>IFERROR(__xludf.DUMMYFUNCTION("""COMPUTED_VALUE"""),FALSE)</f>
        <v>0</v>
      </c>
      <c r="D21" s="74"/>
      <c r="E21" s="82"/>
      <c r="F21" s="74"/>
      <c r="G21" s="82"/>
      <c r="H21" s="111">
        <f>IFERROR(__xludf.DUMMYFUNCTION("""COMPUTED_VALUE"""),68.0)</f>
        <v>68</v>
      </c>
      <c r="I21" s="112"/>
      <c r="J21" s="113" t="str">
        <f>IFERROR(__xludf.DUMMYFUNCTION("""COMPUTED_VALUE"""),"Lunch")</f>
        <v>Lunch</v>
      </c>
      <c r="K21" s="113">
        <f>IFERROR(__xludf.DUMMYFUNCTION("""COMPUTED_VALUE"""),45912.0)</f>
        <v>45912</v>
      </c>
      <c r="L21" s="74" t="str">
        <f>IFERROR(__xludf.DUMMYFUNCTION("""COMPUTED_VALUE"""),"Friday")</f>
        <v>Friday</v>
      </c>
      <c r="M21" s="74" t="str">
        <f>IFERROR(__xludf.DUMMYFUNCTION("""COMPUTED_VALUE"""),"MF")</f>
        <v>MF</v>
      </c>
      <c r="N21" s="114"/>
      <c r="O21" s="115">
        <f>IFERROR(__xludf.DUMMYFUNCTION("""COMPUTED_VALUE"""),68.0)</f>
        <v>68</v>
      </c>
      <c r="P21" s="74" t="str">
        <f>IFERROR(__xludf.DUMMYFUNCTION("""COMPUTED_VALUE"""),"")</f>
        <v/>
      </c>
      <c r="Q21" s="92"/>
      <c r="R21" s="92"/>
      <c r="S21" s="63"/>
      <c r="T21" s="63"/>
      <c r="U21" s="116">
        <f>IFERROR(__xludf.DUMMYFUNCTION("""COMPUTED_VALUE"""),68.0)</f>
        <v>68</v>
      </c>
      <c r="V21" s="92"/>
      <c r="W21" s="116"/>
      <c r="X21" s="64"/>
      <c r="Y21" s="114"/>
      <c r="Z21" s="118">
        <f>IFERROR(__xludf.DUMMYFUNCTION("""COMPUTED_VALUE"""),4102.0)</f>
        <v>4102</v>
      </c>
      <c r="AA21" s="118">
        <f>IFERROR(__xludf.DUMMYFUNCTION("""COMPUTED_VALUE"""),2529.0)</f>
        <v>2529</v>
      </c>
      <c r="AB21" s="118">
        <f>IFERROR(__xludf.DUMMYFUNCTION("""COMPUTED_VALUE"""),6631.0)</f>
        <v>6631</v>
      </c>
    </row>
    <row r="22">
      <c r="A22" s="109">
        <f>IFERROR(__xludf.DUMMYFUNCTION("""COMPUTED_VALUE"""),45915.44181483796)</f>
        <v>45915.44181</v>
      </c>
      <c r="B22" s="110" t="str">
        <f>IFERROR(__xludf.DUMMYFUNCTION("""COMPUTED_VALUE"""),"Sarah Wilme")</f>
        <v>Sarah Wilme</v>
      </c>
      <c r="C22" s="74" t="b">
        <f>IFERROR(__xludf.DUMMYFUNCTION("""COMPUTED_VALUE"""),FALSE)</f>
        <v>0</v>
      </c>
      <c r="D22" s="74"/>
      <c r="E22" s="82"/>
      <c r="F22" s="74"/>
      <c r="G22" s="82"/>
      <c r="H22" s="111">
        <f>IFERROR(__xludf.DUMMYFUNCTION("""COMPUTED_VALUE"""),113.0)</f>
        <v>113</v>
      </c>
      <c r="I22" s="112"/>
      <c r="J22" s="113" t="str">
        <f>IFERROR(__xludf.DUMMYFUNCTION("""COMPUTED_VALUE"""),"Breakfast")</f>
        <v>Breakfast</v>
      </c>
      <c r="K22" s="113">
        <f>IFERROR(__xludf.DUMMYFUNCTION("""COMPUTED_VALUE"""),45915.0)</f>
        <v>45915</v>
      </c>
      <c r="L22" s="74" t="str">
        <f>IFERROR(__xludf.DUMMYFUNCTION("""COMPUTED_VALUE"""),"Monday")</f>
        <v>Monday</v>
      </c>
      <c r="M22" s="74" t="str">
        <f>IFERROR(__xludf.DUMMYFUNCTION("""COMPUTED_VALUE"""),"BF")</f>
        <v>BF</v>
      </c>
      <c r="N22" s="114"/>
      <c r="O22" s="115" t="str">
        <f>IFERROR(__xludf.DUMMYFUNCTION("""COMPUTED_VALUE"""),"")</f>
        <v/>
      </c>
      <c r="P22" s="74" t="str">
        <f>IFERROR(__xludf.DUMMYFUNCTION("""COMPUTED_VALUE"""),"")</f>
        <v/>
      </c>
      <c r="Q22" s="92"/>
      <c r="R22" s="92"/>
      <c r="S22" s="63"/>
      <c r="T22" s="63"/>
      <c r="U22" s="116" t="str">
        <f>IFERROR(__xludf.DUMMYFUNCTION("""COMPUTED_VALUE"""),"")</f>
        <v/>
      </c>
      <c r="V22" s="92"/>
      <c r="W22" s="116"/>
      <c r="X22" s="64"/>
      <c r="Y22" s="114"/>
      <c r="Z22" s="118" t="str">
        <f>IFERROR(__xludf.DUMMYFUNCTION("""COMPUTED_VALUE"""),"")</f>
        <v/>
      </c>
      <c r="AA22" s="118" t="str">
        <f>IFERROR(__xludf.DUMMYFUNCTION("""COMPUTED_VALUE"""),"")</f>
        <v/>
      </c>
      <c r="AB22" s="74" t="str">
        <f>IFERROR(__xludf.DUMMYFUNCTION("""COMPUTED_VALUE"""),"")</f>
        <v/>
      </c>
    </row>
    <row r="23">
      <c r="A23" s="109">
        <f>IFERROR(__xludf.DUMMYFUNCTION("""COMPUTED_VALUE"""),45915.568060185185)</f>
        <v>45915.56806</v>
      </c>
      <c r="B23" s="110" t="str">
        <f>IFERROR(__xludf.DUMMYFUNCTION("""COMPUTED_VALUE"""),"Orpheus Wilson")</f>
        <v>Orpheus Wilson</v>
      </c>
      <c r="C23" s="74" t="b">
        <f>IFERROR(__xludf.DUMMYFUNCTION("""COMPUTED_VALUE"""),FALSE)</f>
        <v>0</v>
      </c>
      <c r="D23" s="74"/>
      <c r="E23" s="82"/>
      <c r="F23" s="74"/>
      <c r="G23" s="82"/>
      <c r="H23" s="111">
        <f>IFERROR(__xludf.DUMMYFUNCTION("""COMPUTED_VALUE"""),144.0)</f>
        <v>144</v>
      </c>
      <c r="I23" s="112"/>
      <c r="J23" s="113" t="str">
        <f>IFERROR(__xludf.DUMMYFUNCTION("""COMPUTED_VALUE"""),"Lunch")</f>
        <v>Lunch</v>
      </c>
      <c r="K23" s="113">
        <f>IFERROR(__xludf.DUMMYFUNCTION("""COMPUTED_VALUE"""),45915.0)</f>
        <v>45915</v>
      </c>
      <c r="L23" s="74" t="str">
        <f>IFERROR(__xludf.DUMMYFUNCTION("""COMPUTED_VALUE"""),"Monday")</f>
        <v>Monday</v>
      </c>
      <c r="M23" s="74" t="str">
        <f>IFERROR(__xludf.DUMMYFUNCTION("""COMPUTED_VALUE"""),"MF")</f>
        <v>MF</v>
      </c>
      <c r="N23" s="114"/>
      <c r="O23" s="115" t="str">
        <f>IFERROR(__xludf.DUMMYFUNCTION("""COMPUTED_VALUE"""),"")</f>
        <v/>
      </c>
      <c r="P23" s="74" t="str">
        <f>IFERROR(__xludf.DUMMYFUNCTION("""COMPUTED_VALUE"""),"")</f>
        <v/>
      </c>
      <c r="Q23" s="92"/>
      <c r="R23" s="92"/>
      <c r="S23" s="63"/>
      <c r="T23" s="63"/>
      <c r="U23" s="116" t="str">
        <f>IFERROR(__xludf.DUMMYFUNCTION("""COMPUTED_VALUE"""),"")</f>
        <v/>
      </c>
      <c r="V23" s="92"/>
      <c r="W23" s="116"/>
      <c r="X23" s="64"/>
      <c r="Y23" s="114"/>
      <c r="Z23" s="118" t="str">
        <f>IFERROR(__xludf.DUMMYFUNCTION("""COMPUTED_VALUE"""),"")</f>
        <v/>
      </c>
      <c r="AA23" s="118" t="str">
        <f>IFERROR(__xludf.DUMMYFUNCTION("""COMPUTED_VALUE"""),"")</f>
        <v/>
      </c>
      <c r="AB23" s="74" t="str">
        <f>IFERROR(__xludf.DUMMYFUNCTION("""COMPUTED_VALUE"""),"")</f>
        <v/>
      </c>
    </row>
    <row r="24">
      <c r="A24" s="109">
        <f>IFERROR(__xludf.DUMMYFUNCTION("""COMPUTED_VALUE"""),45915.66044424768)</f>
        <v>45915.66044</v>
      </c>
      <c r="B24" s="110" t="str">
        <f>IFERROR(__xludf.DUMMYFUNCTION("""COMPUTED_VALUE"""),"Emma Korsu")</f>
        <v>Emma Korsu</v>
      </c>
      <c r="C24" s="74" t="b">
        <f>IFERROR(__xludf.DUMMYFUNCTION("""COMPUTED_VALUE"""),FALSE)</f>
        <v>0</v>
      </c>
      <c r="D24" s="74"/>
      <c r="E24" s="82"/>
      <c r="F24" s="74"/>
      <c r="G24" s="82"/>
      <c r="H24" s="111">
        <f>IFERROR(__xludf.DUMMYFUNCTION("""COMPUTED_VALUE"""),149.0)</f>
        <v>149</v>
      </c>
      <c r="I24" s="112"/>
      <c r="J24" s="113" t="str">
        <f>IFERROR(__xludf.DUMMYFUNCTION("""COMPUTED_VALUE"""),"Lunch")</f>
        <v>Lunch</v>
      </c>
      <c r="K24" s="113">
        <f>IFERROR(__xludf.DUMMYFUNCTION("""COMPUTED_VALUE"""),45915.0)</f>
        <v>45915</v>
      </c>
      <c r="L24" s="74" t="str">
        <f>IFERROR(__xludf.DUMMYFUNCTION("""COMPUTED_VALUE"""),"Monday")</f>
        <v>Monday</v>
      </c>
      <c r="M24" s="74" t="str">
        <f>IFERROR(__xludf.DUMMYFUNCTION("""COMPUTED_VALUE"""),"BF")</f>
        <v>BF</v>
      </c>
      <c r="N24" s="114"/>
      <c r="O24" s="115" t="str">
        <f>IFERROR(__xludf.DUMMYFUNCTION("""COMPUTED_VALUE"""),"")</f>
        <v/>
      </c>
      <c r="P24" s="74" t="str">
        <f>IFERROR(__xludf.DUMMYFUNCTION("""COMPUTED_VALUE"""),"")</f>
        <v/>
      </c>
      <c r="Q24" s="92"/>
      <c r="R24" s="92"/>
      <c r="S24" s="63"/>
      <c r="T24" s="63"/>
      <c r="U24" s="116" t="str">
        <f>IFERROR(__xludf.DUMMYFUNCTION("""COMPUTED_VALUE"""),"")</f>
        <v/>
      </c>
      <c r="V24" s="92"/>
      <c r="W24" s="116"/>
      <c r="X24" s="64"/>
      <c r="Y24" s="114"/>
      <c r="Z24" s="118" t="str">
        <f>IFERROR(__xludf.DUMMYFUNCTION("""COMPUTED_VALUE"""),"")</f>
        <v/>
      </c>
      <c r="AA24" s="118" t="str">
        <f>IFERROR(__xludf.DUMMYFUNCTION("""COMPUTED_VALUE"""),"")</f>
        <v/>
      </c>
      <c r="AB24" s="74" t="str">
        <f>IFERROR(__xludf.DUMMYFUNCTION("""COMPUTED_VALUE"""),"")</f>
        <v/>
      </c>
    </row>
    <row r="25">
      <c r="A25" s="109">
        <f>IFERROR(__xludf.DUMMYFUNCTION("""COMPUTED_VALUE"""),45915.765308773145)</f>
        <v>45915.76531</v>
      </c>
      <c r="B25" s="110" t="str">
        <f>IFERROR(__xludf.DUMMYFUNCTION("""COMPUTED_VALUE"""),"Maureen Surgot")</f>
        <v>Maureen Surgot</v>
      </c>
      <c r="C25" s="74" t="b">
        <f>IFERROR(__xludf.DUMMYFUNCTION("""COMPUTED_VALUE"""),FALSE)</f>
        <v>0</v>
      </c>
      <c r="D25" s="74"/>
      <c r="E25" s="82"/>
      <c r="F25" s="74"/>
      <c r="G25" s="82"/>
      <c r="H25" s="111">
        <f>IFERROR(__xludf.DUMMYFUNCTION("""COMPUTED_VALUE"""),75.0)</f>
        <v>75</v>
      </c>
      <c r="I25" s="112"/>
      <c r="J25" s="113" t="str">
        <f>IFERROR(__xludf.DUMMYFUNCTION("""COMPUTED_VALUE"""),"Dinner")</f>
        <v>Dinner</v>
      </c>
      <c r="K25" s="113">
        <f>IFERROR(__xludf.DUMMYFUNCTION("""COMPUTED_VALUE"""),45915.0)</f>
        <v>45915</v>
      </c>
      <c r="L25" s="74" t="str">
        <f>IFERROR(__xludf.DUMMYFUNCTION("""COMPUTED_VALUE"""),"Monday")</f>
        <v>Monday</v>
      </c>
      <c r="M25" s="74" t="str">
        <f>IFERROR(__xludf.DUMMYFUNCTION("""COMPUTED_VALUE"""),"MF")</f>
        <v>MF</v>
      </c>
      <c r="N25" s="114"/>
      <c r="O25" s="115" t="str">
        <f>IFERROR(__xludf.DUMMYFUNCTION("""COMPUTED_VALUE"""),"")</f>
        <v/>
      </c>
      <c r="P25" s="74" t="str">
        <f>IFERROR(__xludf.DUMMYFUNCTION("""COMPUTED_VALUE"""),"")</f>
        <v/>
      </c>
      <c r="Q25" s="92"/>
      <c r="R25" s="92"/>
      <c r="S25" s="63"/>
      <c r="T25" s="63"/>
      <c r="U25" s="116" t="str">
        <f>IFERROR(__xludf.DUMMYFUNCTION("""COMPUTED_VALUE"""),"")</f>
        <v/>
      </c>
      <c r="V25" s="92"/>
      <c r="W25" s="116"/>
      <c r="X25" s="64"/>
      <c r="Y25" s="114"/>
      <c r="Z25" s="118" t="str">
        <f>IFERROR(__xludf.DUMMYFUNCTION("""COMPUTED_VALUE"""),"")</f>
        <v/>
      </c>
      <c r="AA25" s="118" t="str">
        <f>IFERROR(__xludf.DUMMYFUNCTION("""COMPUTED_VALUE"""),"")</f>
        <v/>
      </c>
      <c r="AB25" s="74" t="str">
        <f>IFERROR(__xludf.DUMMYFUNCTION("""COMPUTED_VALUE"""),"")</f>
        <v/>
      </c>
    </row>
    <row r="26">
      <c r="A26" s="109">
        <f>IFERROR(__xludf.DUMMYFUNCTION("""COMPUTED_VALUE"""),45915.876852500005)</f>
        <v>45915.87685</v>
      </c>
      <c r="B26" s="110" t="str">
        <f>IFERROR(__xludf.DUMMYFUNCTION("""COMPUTED_VALUE"""),"Kaylie Forgue")</f>
        <v>Kaylie Forgue</v>
      </c>
      <c r="C26" s="74" t="b">
        <f>IFERROR(__xludf.DUMMYFUNCTION("""COMPUTED_VALUE"""),FALSE)</f>
        <v>0</v>
      </c>
      <c r="D26" s="74"/>
      <c r="E26" s="82"/>
      <c r="F26" s="74"/>
      <c r="G26" s="82"/>
      <c r="H26" s="111">
        <f>IFERROR(__xludf.DUMMYFUNCTION("""COMPUTED_VALUE"""),160.0)</f>
        <v>160</v>
      </c>
      <c r="I26" s="112"/>
      <c r="J26" s="113" t="str">
        <f>IFERROR(__xludf.DUMMYFUNCTION("""COMPUTED_VALUE"""),"Dinner")</f>
        <v>Dinner</v>
      </c>
      <c r="K26" s="113">
        <f>IFERROR(__xludf.DUMMYFUNCTION("""COMPUTED_VALUE"""),45915.0)</f>
        <v>45915</v>
      </c>
      <c r="L26" s="74" t="str">
        <f>IFERROR(__xludf.DUMMYFUNCTION("""COMPUTED_VALUE"""),"Monday")</f>
        <v>Monday</v>
      </c>
      <c r="M26" s="74" t="str">
        <f>IFERROR(__xludf.DUMMYFUNCTION("""COMPUTED_VALUE"""),"BF")</f>
        <v>BF</v>
      </c>
      <c r="N26" s="114"/>
      <c r="O26" s="115">
        <f>IFERROR(__xludf.DUMMYFUNCTION("""COMPUTED_VALUE"""),219.0)</f>
        <v>219</v>
      </c>
      <c r="P26" s="74">
        <f>IFERROR(__xludf.DUMMYFUNCTION("""COMPUTED_VALUE"""),422.0)</f>
        <v>422</v>
      </c>
      <c r="Q26" s="92"/>
      <c r="R26" s="92"/>
      <c r="S26" s="63"/>
      <c r="T26" s="63"/>
      <c r="U26" s="116">
        <f>IFERROR(__xludf.DUMMYFUNCTION("""COMPUTED_VALUE"""),641.0)</f>
        <v>641</v>
      </c>
      <c r="V26" s="92"/>
      <c r="W26" s="116"/>
      <c r="X26" s="64"/>
      <c r="Y26" s="114"/>
      <c r="Z26" s="118">
        <f>IFERROR(__xludf.DUMMYFUNCTION("""COMPUTED_VALUE"""),4054.0)</f>
        <v>4054</v>
      </c>
      <c r="AA26" s="118">
        <f>IFERROR(__xludf.DUMMYFUNCTION("""COMPUTED_VALUE"""),4907.0)</f>
        <v>4907</v>
      </c>
      <c r="AB26" s="118">
        <f>IFERROR(__xludf.DUMMYFUNCTION("""COMPUTED_VALUE"""),8961.0)</f>
        <v>8961</v>
      </c>
    </row>
    <row r="27">
      <c r="A27" s="109">
        <f>IFERROR(__xludf.DUMMYFUNCTION("""COMPUTED_VALUE"""),45916.47897631944)</f>
        <v>45916.47898</v>
      </c>
      <c r="B27" s="110" t="str">
        <f>IFERROR(__xludf.DUMMYFUNCTION("""COMPUTED_VALUE"""),"Emmett Khan")</f>
        <v>Emmett Khan</v>
      </c>
      <c r="C27" s="74" t="b">
        <f>IFERROR(__xludf.DUMMYFUNCTION("""COMPUTED_VALUE"""),FALSE)</f>
        <v>0</v>
      </c>
      <c r="D27" s="74"/>
      <c r="E27" s="82"/>
      <c r="F27" s="74"/>
      <c r="G27" s="82"/>
      <c r="H27" s="111">
        <f>IFERROR(__xludf.DUMMYFUNCTION("""COMPUTED_VALUE"""),154.0)</f>
        <v>154</v>
      </c>
      <c r="I27" s="112"/>
      <c r="J27" s="113" t="str">
        <f>IFERROR(__xludf.DUMMYFUNCTION("""COMPUTED_VALUE"""),"Breakfast")</f>
        <v>Breakfast</v>
      </c>
      <c r="K27" s="113">
        <f>IFERROR(__xludf.DUMMYFUNCTION("""COMPUTED_VALUE"""),45916.0)</f>
        <v>45916</v>
      </c>
      <c r="L27" s="74" t="str">
        <f>IFERROR(__xludf.DUMMYFUNCTION("""COMPUTED_VALUE"""),"Tuesday")</f>
        <v>Tuesday</v>
      </c>
      <c r="M27" s="74" t="str">
        <f>IFERROR(__xludf.DUMMYFUNCTION("""COMPUTED_VALUE"""),"BF")</f>
        <v>BF</v>
      </c>
      <c r="N27" s="114"/>
      <c r="O27" s="115" t="str">
        <f>IFERROR(__xludf.DUMMYFUNCTION("""COMPUTED_VALUE"""),"")</f>
        <v/>
      </c>
      <c r="P27" s="74" t="str">
        <f>IFERROR(__xludf.DUMMYFUNCTION("""COMPUTED_VALUE"""),"")</f>
        <v/>
      </c>
      <c r="Q27" s="92"/>
      <c r="R27" s="92"/>
      <c r="S27" s="63"/>
      <c r="T27" s="63"/>
      <c r="U27" s="116" t="str">
        <f>IFERROR(__xludf.DUMMYFUNCTION("""COMPUTED_VALUE"""),"")</f>
        <v/>
      </c>
      <c r="V27" s="92"/>
      <c r="W27" s="116"/>
      <c r="X27" s="64"/>
      <c r="Y27" s="114"/>
      <c r="Z27" s="118" t="str">
        <f>IFERROR(__xludf.DUMMYFUNCTION("""COMPUTED_VALUE"""),"")</f>
        <v/>
      </c>
      <c r="AA27" s="118" t="str">
        <f>IFERROR(__xludf.DUMMYFUNCTION("""COMPUTED_VALUE"""),"")</f>
        <v/>
      </c>
      <c r="AB27" s="74" t="str">
        <f>IFERROR(__xludf.DUMMYFUNCTION("""COMPUTED_VALUE"""),"")</f>
        <v/>
      </c>
    </row>
    <row r="28">
      <c r="A28" s="109">
        <f>IFERROR(__xludf.DUMMYFUNCTION("""COMPUTED_VALUE"""),45916.879491886575)</f>
        <v>45916.87949</v>
      </c>
      <c r="B28" s="110" t="str">
        <f>IFERROR(__xludf.DUMMYFUNCTION("""COMPUTED_VALUE"""),"Kaylie Forgue")</f>
        <v>Kaylie Forgue</v>
      </c>
      <c r="C28" s="74" t="b">
        <f>IFERROR(__xludf.DUMMYFUNCTION("""COMPUTED_VALUE"""),FALSE)</f>
        <v>0</v>
      </c>
      <c r="D28" s="74"/>
      <c r="E28" s="82"/>
      <c r="F28" s="74"/>
      <c r="G28" s="82"/>
      <c r="H28" s="111">
        <f>IFERROR(__xludf.DUMMYFUNCTION("""COMPUTED_VALUE"""),88.0)</f>
        <v>88</v>
      </c>
      <c r="I28" s="112"/>
      <c r="J28" s="113" t="str">
        <f>IFERROR(__xludf.DUMMYFUNCTION("""COMPUTED_VALUE"""),"Dinner")</f>
        <v>Dinner</v>
      </c>
      <c r="K28" s="113">
        <f>IFERROR(__xludf.DUMMYFUNCTION("""COMPUTED_VALUE"""),45916.0)</f>
        <v>45916</v>
      </c>
      <c r="L28" s="74" t="str">
        <f>IFERROR(__xludf.DUMMYFUNCTION("""COMPUTED_VALUE"""),"Tuesday")</f>
        <v>Tuesday</v>
      </c>
      <c r="M28" s="74" t="str">
        <f>IFERROR(__xludf.DUMMYFUNCTION("""COMPUTED_VALUE"""),"BF")</f>
        <v>BF</v>
      </c>
      <c r="N28" s="114"/>
      <c r="O28" s="115" t="str">
        <f>IFERROR(__xludf.DUMMYFUNCTION("""COMPUTED_VALUE"""),"")</f>
        <v/>
      </c>
      <c r="P28" s="74" t="str">
        <f>IFERROR(__xludf.DUMMYFUNCTION("""COMPUTED_VALUE"""),"")</f>
        <v/>
      </c>
      <c r="Q28" s="92"/>
      <c r="R28" s="92"/>
      <c r="S28" s="63"/>
      <c r="T28" s="63"/>
      <c r="U28" s="116" t="str">
        <f>IFERROR(__xludf.DUMMYFUNCTION("""COMPUTED_VALUE"""),"")</f>
        <v/>
      </c>
      <c r="V28" s="92"/>
      <c r="W28" s="116"/>
      <c r="X28" s="64"/>
      <c r="Y28" s="114"/>
      <c r="Z28" s="118" t="str">
        <f>IFERROR(__xludf.DUMMYFUNCTION("""COMPUTED_VALUE"""),"")</f>
        <v/>
      </c>
      <c r="AA28" s="118" t="str">
        <f>IFERROR(__xludf.DUMMYFUNCTION("""COMPUTED_VALUE"""),"")</f>
        <v/>
      </c>
      <c r="AB28" s="74" t="str">
        <f>IFERROR(__xludf.DUMMYFUNCTION("""COMPUTED_VALUE"""),"")</f>
        <v/>
      </c>
    </row>
    <row r="29">
      <c r="A29" s="109">
        <f>IFERROR(__xludf.DUMMYFUNCTION("""COMPUTED_VALUE"""),45916.92792082176)</f>
        <v>45916.92792</v>
      </c>
      <c r="B29" s="110" t="str">
        <f>IFERROR(__xludf.DUMMYFUNCTION("""COMPUTED_VALUE"""),"Maureen Surgot")</f>
        <v>Maureen Surgot</v>
      </c>
      <c r="C29" s="74" t="b">
        <f>IFERROR(__xludf.DUMMYFUNCTION("""COMPUTED_VALUE"""),FALSE)</f>
        <v>0</v>
      </c>
      <c r="D29" s="74"/>
      <c r="E29" s="82"/>
      <c r="F29" s="74"/>
      <c r="G29" s="82"/>
      <c r="H29" s="111">
        <f>IFERROR(__xludf.DUMMYFUNCTION("""COMPUTED_VALUE"""),145.0)</f>
        <v>145</v>
      </c>
      <c r="I29" s="112"/>
      <c r="J29" s="113" t="str">
        <f>IFERROR(__xludf.DUMMYFUNCTION("""COMPUTED_VALUE"""),"Lunch")</f>
        <v>Lunch</v>
      </c>
      <c r="K29" s="113">
        <f>IFERROR(__xludf.DUMMYFUNCTION("""COMPUTED_VALUE"""),45916.0)</f>
        <v>45916</v>
      </c>
      <c r="L29" s="74" t="str">
        <f>IFERROR(__xludf.DUMMYFUNCTION("""COMPUTED_VALUE"""),"Tuesday")</f>
        <v>Tuesday</v>
      </c>
      <c r="M29" s="74" t="str">
        <f>IFERROR(__xludf.DUMMYFUNCTION("""COMPUTED_VALUE"""),"MF")</f>
        <v>MF</v>
      </c>
      <c r="N29" s="114"/>
      <c r="O29" s="115">
        <f>IFERROR(__xludf.DUMMYFUNCTION("""COMPUTED_VALUE"""),145.0)</f>
        <v>145</v>
      </c>
      <c r="P29" s="74">
        <f>IFERROR(__xludf.DUMMYFUNCTION("""COMPUTED_VALUE"""),242.0)</f>
        <v>242</v>
      </c>
      <c r="Q29" s="92"/>
      <c r="R29" s="92"/>
      <c r="S29" s="63"/>
      <c r="T29" s="63"/>
      <c r="U29" s="116">
        <f>IFERROR(__xludf.DUMMYFUNCTION("""COMPUTED_VALUE"""),387.0)</f>
        <v>387</v>
      </c>
      <c r="V29" s="92"/>
      <c r="W29" s="116"/>
      <c r="X29" s="64"/>
      <c r="Y29" s="114"/>
      <c r="Z29" s="118">
        <f>IFERROR(__xludf.DUMMYFUNCTION("""COMPUTED_VALUE"""),4281.0)</f>
        <v>4281</v>
      </c>
      <c r="AA29" s="118">
        <f>IFERROR(__xludf.DUMMYFUNCTION("""COMPUTED_VALUE"""),4201.0)</f>
        <v>4201</v>
      </c>
      <c r="AB29" s="118">
        <f>IFERROR(__xludf.DUMMYFUNCTION("""COMPUTED_VALUE"""),8482.0)</f>
        <v>8482</v>
      </c>
    </row>
    <row r="30">
      <c r="A30" s="109">
        <f>IFERROR(__xludf.DUMMYFUNCTION("""COMPUTED_VALUE"""),45917.75257337963)</f>
        <v>45917.75257</v>
      </c>
      <c r="B30" s="110" t="str">
        <f>IFERROR(__xludf.DUMMYFUNCTION("""COMPUTED_VALUE"""),"Sarah Wilme")</f>
        <v>Sarah Wilme</v>
      </c>
      <c r="C30" s="74" t="b">
        <f>IFERROR(__xludf.DUMMYFUNCTION("""COMPUTED_VALUE"""),FALSE)</f>
        <v>0</v>
      </c>
      <c r="D30" s="74"/>
      <c r="E30" s="82"/>
      <c r="F30" s="74"/>
      <c r="G30" s="82"/>
      <c r="H30" s="111">
        <f>IFERROR(__xludf.DUMMYFUNCTION("""COMPUTED_VALUE"""),176.0)</f>
        <v>176</v>
      </c>
      <c r="I30" s="112"/>
      <c r="J30" s="113" t="str">
        <f>IFERROR(__xludf.DUMMYFUNCTION("""COMPUTED_VALUE"""),"Dinner")</f>
        <v>Dinner</v>
      </c>
      <c r="K30" s="113">
        <f>IFERROR(__xludf.DUMMYFUNCTION("""COMPUTED_VALUE"""),45917.0)</f>
        <v>45917</v>
      </c>
      <c r="L30" s="74" t="str">
        <f>IFERROR(__xludf.DUMMYFUNCTION("""COMPUTED_VALUE"""),"Wednesday")</f>
        <v>Wednesday</v>
      </c>
      <c r="M30" s="74" t="str">
        <f>IFERROR(__xludf.DUMMYFUNCTION("""COMPUTED_VALUE"""),"BF")</f>
        <v>BF</v>
      </c>
      <c r="N30" s="114"/>
      <c r="O30" s="115" t="str">
        <f>IFERROR(__xludf.DUMMYFUNCTION("""COMPUTED_VALUE"""),"")</f>
        <v/>
      </c>
      <c r="P30" s="74" t="str">
        <f>IFERROR(__xludf.DUMMYFUNCTION("""COMPUTED_VALUE"""),"")</f>
        <v/>
      </c>
      <c r="Q30" s="92"/>
      <c r="R30" s="92"/>
      <c r="S30" s="63"/>
      <c r="T30" s="63"/>
      <c r="U30" s="116" t="str">
        <f>IFERROR(__xludf.DUMMYFUNCTION("""COMPUTED_VALUE"""),"")</f>
        <v/>
      </c>
      <c r="V30" s="92"/>
      <c r="W30" s="116"/>
      <c r="X30" s="64"/>
      <c r="Y30" s="114"/>
      <c r="Z30" s="118" t="str">
        <f>IFERROR(__xludf.DUMMYFUNCTION("""COMPUTED_VALUE"""),"")</f>
        <v/>
      </c>
      <c r="AA30" s="118" t="str">
        <f>IFERROR(__xludf.DUMMYFUNCTION("""COMPUTED_VALUE"""),"")</f>
        <v/>
      </c>
      <c r="AB30" s="74" t="str">
        <f>IFERROR(__xludf.DUMMYFUNCTION("""COMPUTED_VALUE"""),"")</f>
        <v/>
      </c>
    </row>
    <row r="31">
      <c r="A31" s="109">
        <f>IFERROR(__xludf.DUMMYFUNCTION("""COMPUTED_VALUE"""),45917.755063703706)</f>
        <v>45917.75506</v>
      </c>
      <c r="B31" s="110" t="str">
        <f>IFERROR(__xludf.DUMMYFUNCTION("""COMPUTED_VALUE"""),"Orpheus Wilson")</f>
        <v>Orpheus Wilson</v>
      </c>
      <c r="C31" s="74" t="b">
        <f>IFERROR(__xludf.DUMMYFUNCTION("""COMPUTED_VALUE"""),FALSE)</f>
        <v>0</v>
      </c>
      <c r="D31" s="74"/>
      <c r="E31" s="82"/>
      <c r="F31" s="74"/>
      <c r="G31" s="82"/>
      <c r="H31" s="111">
        <f>IFERROR(__xludf.DUMMYFUNCTION("""COMPUTED_VALUE"""),81.0)</f>
        <v>81</v>
      </c>
      <c r="I31" s="112"/>
      <c r="J31" s="113" t="str">
        <f>IFERROR(__xludf.DUMMYFUNCTION("""COMPUTED_VALUE"""),"Dinner")</f>
        <v>Dinner</v>
      </c>
      <c r="K31" s="113">
        <f>IFERROR(__xludf.DUMMYFUNCTION("""COMPUTED_VALUE"""),45917.0)</f>
        <v>45917</v>
      </c>
      <c r="L31" s="74" t="str">
        <f>IFERROR(__xludf.DUMMYFUNCTION("""COMPUTED_VALUE"""),"Wednesday")</f>
        <v>Wednesday</v>
      </c>
      <c r="M31" s="74" t="str">
        <f>IFERROR(__xludf.DUMMYFUNCTION("""COMPUTED_VALUE"""),"MF")</f>
        <v>MF</v>
      </c>
      <c r="N31" s="114"/>
      <c r="O31" s="115" t="str">
        <f>IFERROR(__xludf.DUMMYFUNCTION("""COMPUTED_VALUE"""),"")</f>
        <v/>
      </c>
      <c r="P31" s="74" t="str">
        <f>IFERROR(__xludf.DUMMYFUNCTION("""COMPUTED_VALUE"""),"")</f>
        <v/>
      </c>
      <c r="Q31" s="92"/>
      <c r="R31" s="92"/>
      <c r="S31" s="63"/>
      <c r="T31" s="63"/>
      <c r="U31" s="116" t="str">
        <f>IFERROR(__xludf.DUMMYFUNCTION("""COMPUTED_VALUE"""),"")</f>
        <v/>
      </c>
      <c r="V31" s="92"/>
      <c r="W31" s="116"/>
      <c r="X31" s="64"/>
      <c r="Y31" s="114"/>
      <c r="Z31" s="118" t="str">
        <f>IFERROR(__xludf.DUMMYFUNCTION("""COMPUTED_VALUE"""),"")</f>
        <v/>
      </c>
      <c r="AA31" s="118" t="str">
        <f>IFERROR(__xludf.DUMMYFUNCTION("""COMPUTED_VALUE"""),"")</f>
        <v/>
      </c>
      <c r="AB31" s="74" t="str">
        <f>IFERROR(__xludf.DUMMYFUNCTION("""COMPUTED_VALUE"""),"")</f>
        <v/>
      </c>
    </row>
    <row r="32">
      <c r="A32" s="109">
        <f>IFERROR(__xludf.DUMMYFUNCTION("""COMPUTED_VALUE"""),45917.86431993055)</f>
        <v>45917.86432</v>
      </c>
      <c r="B32" s="110" t="str">
        <f>IFERROR(__xludf.DUMMYFUNCTION("""COMPUTED_VALUE"""),"Emma Korsu")</f>
        <v>Emma Korsu</v>
      </c>
      <c r="C32" s="74" t="b">
        <f>IFERROR(__xludf.DUMMYFUNCTION("""COMPUTED_VALUE"""),FALSE)</f>
        <v>0</v>
      </c>
      <c r="D32" s="74"/>
      <c r="E32" s="82"/>
      <c r="F32" s="74"/>
      <c r="G32" s="82"/>
      <c r="H32" s="111">
        <f>IFERROR(__xludf.DUMMYFUNCTION("""COMPUTED_VALUE"""),175.0)</f>
        <v>175</v>
      </c>
      <c r="I32" s="112"/>
      <c r="J32" s="113" t="str">
        <f>IFERROR(__xludf.DUMMYFUNCTION("""COMPUTED_VALUE"""),"Dinner")</f>
        <v>Dinner</v>
      </c>
      <c r="K32" s="113">
        <f>IFERROR(__xludf.DUMMYFUNCTION("""COMPUTED_VALUE"""),45917.0)</f>
        <v>45917</v>
      </c>
      <c r="L32" s="74" t="str">
        <f>IFERROR(__xludf.DUMMYFUNCTION("""COMPUTED_VALUE"""),"Wednesday")</f>
        <v>Wednesday</v>
      </c>
      <c r="M32" s="74" t="str">
        <f>IFERROR(__xludf.DUMMYFUNCTION("""COMPUTED_VALUE"""),"BF")</f>
        <v>BF</v>
      </c>
      <c r="N32" s="114"/>
      <c r="O32" s="115" t="str">
        <f>IFERROR(__xludf.DUMMYFUNCTION("""COMPUTED_VALUE"""),"")</f>
        <v/>
      </c>
      <c r="P32" s="74" t="str">
        <f>IFERROR(__xludf.DUMMYFUNCTION("""COMPUTED_VALUE"""),"")</f>
        <v/>
      </c>
      <c r="Q32" s="92"/>
      <c r="R32" s="92"/>
      <c r="S32" s="63"/>
      <c r="T32" s="63"/>
      <c r="U32" s="116" t="str">
        <f>IFERROR(__xludf.DUMMYFUNCTION("""COMPUTED_VALUE"""),"")</f>
        <v/>
      </c>
      <c r="V32" s="92"/>
      <c r="W32" s="116"/>
      <c r="X32" s="64"/>
      <c r="Y32" s="114"/>
      <c r="Z32" s="118" t="str">
        <f>IFERROR(__xludf.DUMMYFUNCTION("""COMPUTED_VALUE"""),"")</f>
        <v/>
      </c>
      <c r="AA32" s="118" t="str">
        <f>IFERROR(__xludf.DUMMYFUNCTION("""COMPUTED_VALUE"""),"")</f>
        <v/>
      </c>
      <c r="AB32" s="74" t="str">
        <f>IFERROR(__xludf.DUMMYFUNCTION("""COMPUTED_VALUE"""),"")</f>
        <v/>
      </c>
    </row>
    <row r="33">
      <c r="A33" s="109">
        <f>IFERROR(__xludf.DUMMYFUNCTION("""COMPUTED_VALUE"""),45917.87650326389)</f>
        <v>45917.8765</v>
      </c>
      <c r="B33" s="110" t="str">
        <f>IFERROR(__xludf.DUMMYFUNCTION("""COMPUTED_VALUE"""),"Kaylie Forgue")</f>
        <v>Kaylie Forgue</v>
      </c>
      <c r="C33" s="74" t="b">
        <f>IFERROR(__xludf.DUMMYFUNCTION("""COMPUTED_VALUE"""),FALSE)</f>
        <v>0</v>
      </c>
      <c r="D33" s="74"/>
      <c r="E33" s="82"/>
      <c r="F33" s="74"/>
      <c r="G33" s="82"/>
      <c r="H33" s="111">
        <f>IFERROR(__xludf.DUMMYFUNCTION("""COMPUTED_VALUE"""),93.0)</f>
        <v>93</v>
      </c>
      <c r="I33" s="112"/>
      <c r="J33" s="113" t="str">
        <f>IFERROR(__xludf.DUMMYFUNCTION("""COMPUTED_VALUE"""),"Dinner")</f>
        <v>Dinner</v>
      </c>
      <c r="K33" s="113">
        <f>IFERROR(__xludf.DUMMYFUNCTION("""COMPUTED_VALUE"""),45917.0)</f>
        <v>45917</v>
      </c>
      <c r="L33" s="74" t="str">
        <f>IFERROR(__xludf.DUMMYFUNCTION("""COMPUTED_VALUE"""),"Wednesday")</f>
        <v>Wednesday</v>
      </c>
      <c r="M33" s="74" t="str">
        <f>IFERROR(__xludf.DUMMYFUNCTION("""COMPUTED_VALUE"""),"MF")</f>
        <v>MF</v>
      </c>
      <c r="N33" s="114"/>
      <c r="O33" s="115">
        <f>IFERROR(__xludf.DUMMYFUNCTION("""COMPUTED_VALUE"""),174.0)</f>
        <v>174</v>
      </c>
      <c r="P33" s="74">
        <f>IFERROR(__xludf.DUMMYFUNCTION("""COMPUTED_VALUE"""),351.0)</f>
        <v>351</v>
      </c>
      <c r="Q33" s="92"/>
      <c r="R33" s="92"/>
      <c r="S33" s="63"/>
      <c r="T33" s="63"/>
      <c r="U33" s="116">
        <f>IFERROR(__xludf.DUMMYFUNCTION("""COMPUTED_VALUE"""),525.0)</f>
        <v>525</v>
      </c>
      <c r="V33" s="92"/>
      <c r="W33" s="116"/>
      <c r="X33" s="64"/>
      <c r="Y33" s="114"/>
      <c r="Z33" s="118">
        <f>IFERROR(__xludf.DUMMYFUNCTION("""COMPUTED_VALUE"""),3689.0)</f>
        <v>3689</v>
      </c>
      <c r="AA33" s="118">
        <f>IFERROR(__xludf.DUMMYFUNCTION("""COMPUTED_VALUE"""),4602.0)</f>
        <v>4602</v>
      </c>
      <c r="AB33" s="118">
        <f>IFERROR(__xludf.DUMMYFUNCTION("""COMPUTED_VALUE"""),8291.0)</f>
        <v>8291</v>
      </c>
    </row>
    <row r="34">
      <c r="A34" s="109">
        <f>IFERROR(__xludf.DUMMYFUNCTION("""COMPUTED_VALUE"""),45918.559144467596)</f>
        <v>45918.55914</v>
      </c>
      <c r="B34" s="110" t="str">
        <f>IFERROR(__xludf.DUMMYFUNCTION("""COMPUTED_VALUE"""),"Maureen Surgot")</f>
        <v>Maureen Surgot</v>
      </c>
      <c r="C34" s="74" t="b">
        <f>IFERROR(__xludf.DUMMYFUNCTION("""COMPUTED_VALUE"""),FALSE)</f>
        <v>0</v>
      </c>
      <c r="D34" s="74"/>
      <c r="E34" s="82"/>
      <c r="F34" s="74"/>
      <c r="G34" s="82"/>
      <c r="H34" s="111">
        <f>IFERROR(__xludf.DUMMYFUNCTION("""COMPUTED_VALUE"""),40.0)</f>
        <v>40</v>
      </c>
      <c r="I34" s="112"/>
      <c r="J34" s="113" t="str">
        <f>IFERROR(__xludf.DUMMYFUNCTION("""COMPUTED_VALUE"""),"Lunch")</f>
        <v>Lunch</v>
      </c>
      <c r="K34" s="113">
        <f>IFERROR(__xludf.DUMMYFUNCTION("""COMPUTED_VALUE"""),45918.0)</f>
        <v>45918</v>
      </c>
      <c r="L34" s="74" t="str">
        <f>IFERROR(__xludf.DUMMYFUNCTION("""COMPUTED_VALUE"""),"Thursday")</f>
        <v>Thursday</v>
      </c>
      <c r="M34" s="74" t="str">
        <f>IFERROR(__xludf.DUMMYFUNCTION("""COMPUTED_VALUE"""),"MF")</f>
        <v>MF</v>
      </c>
      <c r="N34" s="114"/>
      <c r="O34" s="115" t="str">
        <f>IFERROR(__xludf.DUMMYFUNCTION("""COMPUTED_VALUE"""),"")</f>
        <v/>
      </c>
      <c r="P34" s="74" t="str">
        <f>IFERROR(__xludf.DUMMYFUNCTION("""COMPUTED_VALUE"""),"")</f>
        <v/>
      </c>
      <c r="Q34" s="92"/>
      <c r="R34" s="92"/>
      <c r="S34" s="63"/>
      <c r="T34" s="63"/>
      <c r="U34" s="116" t="str">
        <f>IFERROR(__xludf.DUMMYFUNCTION("""COMPUTED_VALUE"""),"")</f>
        <v/>
      </c>
      <c r="V34" s="92"/>
      <c r="W34" s="116"/>
      <c r="X34" s="64"/>
      <c r="Y34" s="114"/>
      <c r="Z34" s="118" t="str">
        <f>IFERROR(__xludf.DUMMYFUNCTION("""COMPUTED_VALUE"""),"")</f>
        <v/>
      </c>
      <c r="AA34" s="118" t="str">
        <f>IFERROR(__xludf.DUMMYFUNCTION("""COMPUTED_VALUE"""),"")</f>
        <v/>
      </c>
      <c r="AB34" s="74" t="str">
        <f>IFERROR(__xludf.DUMMYFUNCTION("""COMPUTED_VALUE"""),"")</f>
        <v/>
      </c>
    </row>
    <row r="35">
      <c r="A35" s="109">
        <f>IFERROR(__xludf.DUMMYFUNCTION("""COMPUTED_VALUE"""),45918.632892291665)</f>
        <v>45918.63289</v>
      </c>
      <c r="B35" s="110" t="str">
        <f>IFERROR(__xludf.DUMMYFUNCTION("""COMPUTED_VALUE"""),"Brynn Hornig")</f>
        <v>Brynn Hornig</v>
      </c>
      <c r="C35" s="74" t="b">
        <f>IFERROR(__xludf.DUMMYFUNCTION("""COMPUTED_VALUE"""),FALSE)</f>
        <v>0</v>
      </c>
      <c r="D35" s="74"/>
      <c r="E35" s="82"/>
      <c r="F35" s="74"/>
      <c r="G35" s="82"/>
      <c r="H35" s="111">
        <f>IFERROR(__xludf.DUMMYFUNCTION("""COMPUTED_VALUE"""),91.0)</f>
        <v>91</v>
      </c>
      <c r="I35" s="112"/>
      <c r="J35" s="113" t="str">
        <f>IFERROR(__xludf.DUMMYFUNCTION("""COMPUTED_VALUE"""),"Lunch")</f>
        <v>Lunch</v>
      </c>
      <c r="K35" s="113">
        <f>IFERROR(__xludf.DUMMYFUNCTION("""COMPUTED_VALUE"""),45918.0)</f>
        <v>45918</v>
      </c>
      <c r="L35" s="74" t="str">
        <f>IFERROR(__xludf.DUMMYFUNCTION("""COMPUTED_VALUE"""),"Thursday")</f>
        <v>Thursday</v>
      </c>
      <c r="M35" s="74" t="str">
        <f>IFERROR(__xludf.DUMMYFUNCTION("""COMPUTED_VALUE"""),"MF")</f>
        <v>MF</v>
      </c>
      <c r="N35" s="114"/>
      <c r="O35" s="115" t="str">
        <f>IFERROR(__xludf.DUMMYFUNCTION("""COMPUTED_VALUE"""),"")</f>
        <v/>
      </c>
      <c r="P35" s="74" t="str">
        <f>IFERROR(__xludf.DUMMYFUNCTION("""COMPUTED_VALUE"""),"")</f>
        <v/>
      </c>
      <c r="Q35" s="92"/>
      <c r="R35" s="92"/>
      <c r="S35" s="63"/>
      <c r="T35" s="63"/>
      <c r="U35" s="116" t="str">
        <f>IFERROR(__xludf.DUMMYFUNCTION("""COMPUTED_VALUE"""),"")</f>
        <v/>
      </c>
      <c r="V35" s="92"/>
      <c r="W35" s="116"/>
      <c r="X35" s="64"/>
      <c r="Y35" s="114"/>
      <c r="Z35" s="118" t="str">
        <f>IFERROR(__xludf.DUMMYFUNCTION("""COMPUTED_VALUE"""),"")</f>
        <v/>
      </c>
      <c r="AA35" s="118" t="str">
        <f>IFERROR(__xludf.DUMMYFUNCTION("""COMPUTED_VALUE"""),"")</f>
        <v/>
      </c>
      <c r="AB35" s="74" t="str">
        <f>IFERROR(__xludf.DUMMYFUNCTION("""COMPUTED_VALUE"""),"")</f>
        <v/>
      </c>
    </row>
    <row r="36">
      <c r="A36" s="109">
        <f>IFERROR(__xludf.DUMMYFUNCTION("""COMPUTED_VALUE"""),45918.7547064699)</f>
        <v>45918.75471</v>
      </c>
      <c r="B36" s="110" t="str">
        <f>IFERROR(__xludf.DUMMYFUNCTION("""COMPUTED_VALUE"""),"Leisly Aceituno")</f>
        <v>Leisly Aceituno</v>
      </c>
      <c r="C36" s="74" t="b">
        <f>IFERROR(__xludf.DUMMYFUNCTION("""COMPUTED_VALUE"""),FALSE)</f>
        <v>0</v>
      </c>
      <c r="D36" s="74"/>
      <c r="E36" s="82"/>
      <c r="F36" s="74"/>
      <c r="G36" s="82"/>
      <c r="H36" s="111">
        <f>IFERROR(__xludf.DUMMYFUNCTION("""COMPUTED_VALUE"""),13.0)</f>
        <v>13</v>
      </c>
      <c r="I36" s="112"/>
      <c r="J36" s="113" t="str">
        <f>IFERROR(__xludf.DUMMYFUNCTION("""COMPUTED_VALUE"""),"Lunch")</f>
        <v>Lunch</v>
      </c>
      <c r="K36" s="113">
        <f>IFERROR(__xludf.DUMMYFUNCTION("""COMPUTED_VALUE"""),45918.0)</f>
        <v>45918</v>
      </c>
      <c r="L36" s="74" t="str">
        <f>IFERROR(__xludf.DUMMYFUNCTION("""COMPUTED_VALUE"""),"Thursday")</f>
        <v>Thursday</v>
      </c>
      <c r="M36" s="74" t="str">
        <f>IFERROR(__xludf.DUMMYFUNCTION("""COMPUTED_VALUE"""),"MF")</f>
        <v>MF</v>
      </c>
      <c r="N36" s="114"/>
      <c r="O36" s="115" t="str">
        <f>IFERROR(__xludf.DUMMYFUNCTION("""COMPUTED_VALUE"""),"")</f>
        <v/>
      </c>
      <c r="P36" s="74" t="str">
        <f>IFERROR(__xludf.DUMMYFUNCTION("""COMPUTED_VALUE"""),"")</f>
        <v/>
      </c>
      <c r="Q36" s="92"/>
      <c r="R36" s="92"/>
      <c r="S36" s="63"/>
      <c r="T36" s="63"/>
      <c r="U36" s="116" t="str">
        <f>IFERROR(__xludf.DUMMYFUNCTION("""COMPUTED_VALUE"""),"")</f>
        <v/>
      </c>
      <c r="V36" s="92"/>
      <c r="W36" s="116"/>
      <c r="X36" s="64"/>
      <c r="Y36" s="114"/>
      <c r="Z36" s="118" t="str">
        <f>IFERROR(__xludf.DUMMYFUNCTION("""COMPUTED_VALUE"""),"")</f>
        <v/>
      </c>
      <c r="AA36" s="118" t="str">
        <f>IFERROR(__xludf.DUMMYFUNCTION("""COMPUTED_VALUE"""),"")</f>
        <v/>
      </c>
      <c r="AB36" s="74" t="str">
        <f>IFERROR(__xludf.DUMMYFUNCTION("""COMPUTED_VALUE"""),"")</f>
        <v/>
      </c>
    </row>
    <row r="37">
      <c r="A37" s="109">
        <f>IFERROR(__xludf.DUMMYFUNCTION("""COMPUTED_VALUE"""),45918.86398947917)</f>
        <v>45918.86399</v>
      </c>
      <c r="B37" s="81" t="str">
        <f>IFERROR(__xludf.DUMMYFUNCTION("""COMPUTED_VALUE"""),"Leisly Aceituno")</f>
        <v>Leisly Aceituno</v>
      </c>
      <c r="C37" s="74" t="b">
        <f>IFERROR(__xludf.DUMMYFUNCTION("""COMPUTED_VALUE"""),TRUE)</f>
        <v>1</v>
      </c>
      <c r="D37" s="74"/>
      <c r="E37" s="82"/>
      <c r="F37" s="74"/>
      <c r="G37" s="82"/>
      <c r="H37" s="111">
        <f>IFERROR(__xludf.DUMMYFUNCTION("""COMPUTED_VALUE"""),219.0)</f>
        <v>219</v>
      </c>
      <c r="I37" s="112"/>
      <c r="J37" s="113" t="str">
        <f>IFERROR(__xludf.DUMMYFUNCTION("""COMPUTED_VALUE"""),"Dinner")</f>
        <v>Dinner</v>
      </c>
      <c r="K37" s="113">
        <f>IFERROR(__xludf.DUMMYFUNCTION("""COMPUTED_VALUE"""),45918.0)</f>
        <v>45918</v>
      </c>
      <c r="L37" s="74" t="str">
        <f>IFERROR(__xludf.DUMMYFUNCTION("""COMPUTED_VALUE"""),"Thursday")</f>
        <v>Thursday</v>
      </c>
      <c r="M37" s="74" t="str">
        <f>IFERROR(__xludf.DUMMYFUNCTION("""COMPUTED_VALUE"""),"BF")</f>
        <v>BF</v>
      </c>
      <c r="N37" s="114"/>
      <c r="O37" s="115">
        <f>IFERROR(__xludf.DUMMYFUNCTION("""COMPUTED_VALUE"""),144.0)</f>
        <v>144</v>
      </c>
      <c r="P37" s="74">
        <f>IFERROR(__xludf.DUMMYFUNCTION("""COMPUTED_VALUE"""),219.0)</f>
        <v>219</v>
      </c>
      <c r="Q37" s="92"/>
      <c r="R37" s="92"/>
      <c r="S37" s="63"/>
      <c r="T37" s="63"/>
      <c r="U37" s="116">
        <f>IFERROR(__xludf.DUMMYFUNCTION("""COMPUTED_VALUE"""),363.0)</f>
        <v>363</v>
      </c>
      <c r="V37" s="92"/>
      <c r="W37" s="116"/>
      <c r="X37" s="64"/>
      <c r="Y37" s="114"/>
      <c r="Z37" s="118">
        <f>IFERROR(__xludf.DUMMYFUNCTION("""COMPUTED_VALUE"""),3312.0)</f>
        <v>3312</v>
      </c>
      <c r="AA37" s="118">
        <f>IFERROR(__xludf.DUMMYFUNCTION("""COMPUTED_VALUE"""),4602.0)</f>
        <v>4602</v>
      </c>
      <c r="AB37" s="118">
        <f>IFERROR(__xludf.DUMMYFUNCTION("""COMPUTED_VALUE"""),7914.0)</f>
        <v>7914</v>
      </c>
    </row>
    <row r="38">
      <c r="A38" s="109">
        <f>IFERROR(__xludf.DUMMYFUNCTION("""COMPUTED_VALUE"""),45919.55186388889)</f>
        <v>45919.55186</v>
      </c>
      <c r="B38" s="110" t="str">
        <f>IFERROR(__xludf.DUMMYFUNCTION("""COMPUTED_VALUE"""),"Orpheus Wilson")</f>
        <v>Orpheus Wilson</v>
      </c>
      <c r="C38" s="74" t="b">
        <f>IFERROR(__xludf.DUMMYFUNCTION("""COMPUTED_VALUE"""),FALSE)</f>
        <v>0</v>
      </c>
      <c r="D38" s="74"/>
      <c r="E38" s="82"/>
      <c r="F38" s="74"/>
      <c r="G38" s="82"/>
      <c r="H38" s="111">
        <f>IFERROR(__xludf.DUMMYFUNCTION("""COMPUTED_VALUE"""),119.0)</f>
        <v>119</v>
      </c>
      <c r="I38" s="112"/>
      <c r="J38" s="113" t="str">
        <f>IFERROR(__xludf.DUMMYFUNCTION("""COMPUTED_VALUE"""),"Lunch")</f>
        <v>Lunch</v>
      </c>
      <c r="K38" s="113">
        <f>IFERROR(__xludf.DUMMYFUNCTION("""COMPUTED_VALUE"""),45919.0)</f>
        <v>45919</v>
      </c>
      <c r="L38" s="74" t="str">
        <f>IFERROR(__xludf.DUMMYFUNCTION("""COMPUTED_VALUE"""),"Friday")</f>
        <v>Friday</v>
      </c>
      <c r="M38" s="74" t="str">
        <f>IFERROR(__xludf.DUMMYFUNCTION("""COMPUTED_VALUE"""),"MF")</f>
        <v>MF</v>
      </c>
      <c r="N38" s="114"/>
      <c r="O38" s="115" t="str">
        <f>IFERROR(__xludf.DUMMYFUNCTION("""COMPUTED_VALUE"""),"")</f>
        <v/>
      </c>
      <c r="P38" s="74" t="str">
        <f>IFERROR(__xludf.DUMMYFUNCTION("""COMPUTED_VALUE"""),"")</f>
        <v/>
      </c>
      <c r="Q38" s="92"/>
      <c r="R38" s="92"/>
      <c r="S38" s="63"/>
      <c r="T38" s="63"/>
      <c r="U38" s="116" t="str">
        <f>IFERROR(__xludf.DUMMYFUNCTION("""COMPUTED_VALUE"""),"")</f>
        <v/>
      </c>
      <c r="V38" s="92"/>
      <c r="W38" s="116"/>
      <c r="X38" s="64"/>
      <c r="Y38" s="114"/>
      <c r="Z38" s="118" t="str">
        <f>IFERROR(__xludf.DUMMYFUNCTION("""COMPUTED_VALUE"""),"")</f>
        <v/>
      </c>
      <c r="AA38" s="118" t="str">
        <f>IFERROR(__xludf.DUMMYFUNCTION("""COMPUTED_VALUE"""),"")</f>
        <v/>
      </c>
      <c r="AB38" s="74" t="str">
        <f>IFERROR(__xludf.DUMMYFUNCTION("""COMPUTED_VALUE"""),"")</f>
        <v/>
      </c>
    </row>
    <row r="39">
      <c r="A39" s="109">
        <f>IFERROR(__xludf.DUMMYFUNCTION("""COMPUTED_VALUE"""),45919.63236960648)</f>
        <v>45919.63237</v>
      </c>
      <c r="B39" s="110" t="str">
        <f>IFERROR(__xludf.DUMMYFUNCTION("""COMPUTED_VALUE"""),"Brynn Hornig")</f>
        <v>Brynn Hornig</v>
      </c>
      <c r="C39" s="74" t="b">
        <f>IFERROR(__xludf.DUMMYFUNCTION("""COMPUTED_VALUE"""),FALSE)</f>
        <v>0</v>
      </c>
      <c r="D39" s="74"/>
      <c r="E39" s="82"/>
      <c r="F39" s="74"/>
      <c r="G39" s="82"/>
      <c r="H39" s="111">
        <f>IFERROR(__xludf.DUMMYFUNCTION("""COMPUTED_VALUE"""),32.0)</f>
        <v>32</v>
      </c>
      <c r="I39" s="112"/>
      <c r="J39" s="113" t="str">
        <f>IFERROR(__xludf.DUMMYFUNCTION("""COMPUTED_VALUE"""),"Lunch")</f>
        <v>Lunch</v>
      </c>
      <c r="K39" s="113">
        <f>IFERROR(__xludf.DUMMYFUNCTION("""COMPUTED_VALUE"""),45919.0)</f>
        <v>45919</v>
      </c>
      <c r="L39" s="74" t="str">
        <f>IFERROR(__xludf.DUMMYFUNCTION("""COMPUTED_VALUE"""),"Friday")</f>
        <v>Friday</v>
      </c>
      <c r="M39" s="74" t="str">
        <f>IFERROR(__xludf.DUMMYFUNCTION("""COMPUTED_VALUE"""),"MF")</f>
        <v>MF</v>
      </c>
      <c r="N39" s="114"/>
      <c r="O39" s="115" t="str">
        <f>IFERROR(__xludf.DUMMYFUNCTION("""COMPUTED_VALUE"""),"")</f>
        <v/>
      </c>
      <c r="P39" s="74" t="str">
        <f>IFERROR(__xludf.DUMMYFUNCTION("""COMPUTED_VALUE"""),"")</f>
        <v/>
      </c>
      <c r="Q39" s="92"/>
      <c r="R39" s="92"/>
      <c r="S39" s="63"/>
      <c r="T39" s="63"/>
      <c r="U39" s="116" t="str">
        <f>IFERROR(__xludf.DUMMYFUNCTION("""COMPUTED_VALUE"""),"")</f>
        <v/>
      </c>
      <c r="V39" s="92"/>
      <c r="W39" s="116"/>
      <c r="X39" s="64"/>
      <c r="Y39" s="114"/>
      <c r="Z39" s="118" t="str">
        <f>IFERROR(__xludf.DUMMYFUNCTION("""COMPUTED_VALUE"""),"")</f>
        <v/>
      </c>
      <c r="AA39" s="118" t="str">
        <f>IFERROR(__xludf.DUMMYFUNCTION("""COMPUTED_VALUE"""),"")</f>
        <v/>
      </c>
      <c r="AB39" s="74" t="str">
        <f>IFERROR(__xludf.DUMMYFUNCTION("""COMPUTED_VALUE"""),"")</f>
        <v/>
      </c>
    </row>
    <row r="40">
      <c r="A40" s="109">
        <f>IFERROR(__xludf.DUMMYFUNCTION("""COMPUTED_VALUE"""),45919.63291083333)</f>
        <v>45919.63291</v>
      </c>
      <c r="B40" s="110" t="str">
        <f>IFERROR(__xludf.DUMMYFUNCTION("""COMPUTED_VALUE"""),"Brynn Hornig")</f>
        <v>Brynn Hornig</v>
      </c>
      <c r="C40" s="74" t="b">
        <f>IFERROR(__xludf.DUMMYFUNCTION("""COMPUTED_VALUE"""),TRUE)</f>
        <v>1</v>
      </c>
      <c r="D40" s="74"/>
      <c r="E40" s="82"/>
      <c r="F40" s="74"/>
      <c r="G40" s="82"/>
      <c r="H40" s="111">
        <f>IFERROR(__xludf.DUMMYFUNCTION("""COMPUTED_VALUE"""),51.0)</f>
        <v>51</v>
      </c>
      <c r="I40" s="112"/>
      <c r="J40" s="113" t="str">
        <f>IFERROR(__xludf.DUMMYFUNCTION("""COMPUTED_VALUE"""),"Lunch")</f>
        <v>Lunch</v>
      </c>
      <c r="K40" s="113">
        <f>IFERROR(__xludf.DUMMYFUNCTION("""COMPUTED_VALUE"""),45919.0)</f>
        <v>45919</v>
      </c>
      <c r="L40" s="74" t="str">
        <f>IFERROR(__xludf.DUMMYFUNCTION("""COMPUTED_VALUE"""),"Friday")</f>
        <v>Friday</v>
      </c>
      <c r="M40" s="74" t="str">
        <f>IFERROR(__xludf.DUMMYFUNCTION("""COMPUTED_VALUE"""),"MF")</f>
        <v>MF</v>
      </c>
      <c r="N40" s="114"/>
      <c r="O40" s="115" t="str">
        <f>IFERROR(__xludf.DUMMYFUNCTION("""COMPUTED_VALUE"""),"")</f>
        <v/>
      </c>
      <c r="P40" s="74" t="str">
        <f>IFERROR(__xludf.DUMMYFUNCTION("""COMPUTED_VALUE"""),"")</f>
        <v/>
      </c>
      <c r="Q40" s="92"/>
      <c r="R40" s="92"/>
      <c r="S40" s="63"/>
      <c r="T40" s="63"/>
      <c r="U40" s="116" t="str">
        <f>IFERROR(__xludf.DUMMYFUNCTION("""COMPUTED_VALUE"""),"")</f>
        <v/>
      </c>
      <c r="V40" s="92"/>
      <c r="W40" s="116"/>
      <c r="X40" s="64"/>
      <c r="Y40" s="114"/>
      <c r="Z40" s="118" t="str">
        <f>IFERROR(__xludf.DUMMYFUNCTION("""COMPUTED_VALUE"""),"")</f>
        <v/>
      </c>
      <c r="AA40" s="118" t="str">
        <f>IFERROR(__xludf.DUMMYFUNCTION("""COMPUTED_VALUE"""),"")</f>
        <v/>
      </c>
      <c r="AB40" s="74" t="str">
        <f>IFERROR(__xludf.DUMMYFUNCTION("""COMPUTED_VALUE"""),"")</f>
        <v/>
      </c>
    </row>
    <row r="41">
      <c r="A41" s="109">
        <f>IFERROR(__xludf.DUMMYFUNCTION("""COMPUTED_VALUE"""),45919.82117696759)</f>
        <v>45919.82118</v>
      </c>
      <c r="B41" s="110" t="str">
        <f>IFERROR(__xludf.DUMMYFUNCTION("""COMPUTED_VALUE"""),"Emmett Khan")</f>
        <v>Emmett Khan</v>
      </c>
      <c r="C41" s="74" t="b">
        <f>IFERROR(__xludf.DUMMYFUNCTION("""COMPUTED_VALUE"""),FALSE)</f>
        <v>0</v>
      </c>
      <c r="D41" s="74"/>
      <c r="E41" s="82"/>
      <c r="F41" s="74"/>
      <c r="G41" s="82"/>
      <c r="H41" s="111">
        <f>IFERROR(__xludf.DUMMYFUNCTION("""COMPUTED_VALUE"""),194.0)</f>
        <v>194</v>
      </c>
      <c r="I41" s="112"/>
      <c r="J41" s="113" t="str">
        <f>IFERROR(__xludf.DUMMYFUNCTION("""COMPUTED_VALUE"""),"Dinner")</f>
        <v>Dinner</v>
      </c>
      <c r="K41" s="113">
        <f>IFERROR(__xludf.DUMMYFUNCTION("""COMPUTED_VALUE"""),45919.0)</f>
        <v>45919</v>
      </c>
      <c r="L41" s="74" t="str">
        <f>IFERROR(__xludf.DUMMYFUNCTION("""COMPUTED_VALUE"""),"Friday")</f>
        <v>Friday</v>
      </c>
      <c r="M41" s="74" t="str">
        <f>IFERROR(__xludf.DUMMYFUNCTION("""COMPUTED_VALUE"""),"MF")</f>
        <v>MF</v>
      </c>
      <c r="N41" s="114"/>
      <c r="O41" s="115" t="str">
        <f>IFERROR(__xludf.DUMMYFUNCTION("""COMPUTED_VALUE"""),"")</f>
        <v/>
      </c>
      <c r="P41" s="74" t="str">
        <f>IFERROR(__xludf.DUMMYFUNCTION("""COMPUTED_VALUE"""),"")</f>
        <v/>
      </c>
      <c r="Q41" s="92"/>
      <c r="R41" s="92"/>
      <c r="S41" s="63"/>
      <c r="T41" s="63"/>
      <c r="U41" s="116" t="str">
        <f>IFERROR(__xludf.DUMMYFUNCTION("""COMPUTED_VALUE"""),"")</f>
        <v/>
      </c>
      <c r="V41" s="92"/>
      <c r="W41" s="116"/>
      <c r="X41" s="64"/>
      <c r="Y41" s="114"/>
      <c r="Z41" s="118" t="str">
        <f>IFERROR(__xludf.DUMMYFUNCTION("""COMPUTED_VALUE"""),"")</f>
        <v/>
      </c>
      <c r="AA41" s="118" t="str">
        <f>IFERROR(__xludf.DUMMYFUNCTION("""COMPUTED_VALUE"""),"")</f>
        <v/>
      </c>
      <c r="AB41" s="74" t="str">
        <f>IFERROR(__xludf.DUMMYFUNCTION("""COMPUTED_VALUE"""),"")</f>
        <v/>
      </c>
    </row>
    <row r="42">
      <c r="A42" s="109">
        <f>IFERROR(__xludf.DUMMYFUNCTION("""COMPUTED_VALUE"""),45919.82170025463)</f>
        <v>45919.8217</v>
      </c>
      <c r="B42" s="110" t="str">
        <f>IFERROR(__xludf.DUMMYFUNCTION("""COMPUTED_VALUE"""),"Emmett Khan")</f>
        <v>Emmett Khan</v>
      </c>
      <c r="C42" s="74" t="b">
        <f>IFERROR(__xludf.DUMMYFUNCTION("""COMPUTED_VALUE"""),TRUE)</f>
        <v>1</v>
      </c>
      <c r="D42" s="74"/>
      <c r="E42" s="82"/>
      <c r="F42" s="74"/>
      <c r="G42" s="82"/>
      <c r="H42" s="111">
        <f>IFERROR(__xludf.DUMMYFUNCTION("""COMPUTED_VALUE"""),209.0)</f>
        <v>209</v>
      </c>
      <c r="I42" s="112"/>
      <c r="J42" s="113" t="str">
        <f>IFERROR(__xludf.DUMMYFUNCTION("""COMPUTED_VALUE"""),"Dinner")</f>
        <v>Dinner</v>
      </c>
      <c r="K42" s="113">
        <f>IFERROR(__xludf.DUMMYFUNCTION("""COMPUTED_VALUE"""),45919.0)</f>
        <v>45919</v>
      </c>
      <c r="L42" s="74" t="str">
        <f>IFERROR(__xludf.DUMMYFUNCTION("""COMPUTED_VALUE"""),"Friday")</f>
        <v>Friday</v>
      </c>
      <c r="M42" s="74" t="str">
        <f>IFERROR(__xludf.DUMMYFUNCTION("""COMPUTED_VALUE"""),"MF")</f>
        <v>MF</v>
      </c>
      <c r="N42" s="114"/>
      <c r="O42" s="115">
        <f>IFERROR(__xludf.DUMMYFUNCTION("""COMPUTED_VALUE"""),605.0)</f>
        <v>605</v>
      </c>
      <c r="P42" s="74" t="str">
        <f>IFERROR(__xludf.DUMMYFUNCTION("""COMPUTED_VALUE"""),"")</f>
        <v/>
      </c>
      <c r="Q42" s="92"/>
      <c r="R42" s="92"/>
      <c r="S42" s="63"/>
      <c r="T42" s="63"/>
      <c r="U42" s="116">
        <f>IFERROR(__xludf.DUMMYFUNCTION("""COMPUTED_VALUE"""),605.0)</f>
        <v>605</v>
      </c>
      <c r="V42" s="92"/>
      <c r="W42" s="116"/>
      <c r="X42" s="64"/>
      <c r="Y42" s="114"/>
      <c r="Z42" s="118">
        <f>IFERROR(__xludf.DUMMYFUNCTION("""COMPUTED_VALUE"""),3956.0)</f>
        <v>3956</v>
      </c>
      <c r="AA42" s="118">
        <f>IFERROR(__xludf.DUMMYFUNCTION("""COMPUTED_VALUE"""),2325.0)</f>
        <v>2325</v>
      </c>
      <c r="AB42" s="118">
        <f>IFERROR(__xludf.DUMMYFUNCTION("""COMPUTED_VALUE"""),6281.0)</f>
        <v>6281</v>
      </c>
    </row>
    <row r="43">
      <c r="A43" s="109">
        <f>IFERROR(__xludf.DUMMYFUNCTION("""COMPUTED_VALUE"""),45922.435571458336)</f>
        <v>45922.43557</v>
      </c>
      <c r="B43" s="110" t="str">
        <f>IFERROR(__xludf.DUMMYFUNCTION("""COMPUTED_VALUE"""),"Sarah Wilme")</f>
        <v>Sarah Wilme</v>
      </c>
      <c r="C43" s="74" t="b">
        <f>IFERROR(__xludf.DUMMYFUNCTION("""COMPUTED_VALUE"""),FALSE)</f>
        <v>0</v>
      </c>
      <c r="D43" s="74"/>
      <c r="E43" s="82"/>
      <c r="F43" s="74"/>
      <c r="G43" s="82"/>
      <c r="H43" s="111">
        <f>IFERROR(__xludf.DUMMYFUNCTION("""COMPUTED_VALUE"""),120.0)</f>
        <v>120</v>
      </c>
      <c r="I43" s="112"/>
      <c r="J43" s="113" t="str">
        <f>IFERROR(__xludf.DUMMYFUNCTION("""COMPUTED_VALUE"""),"Breakfast")</f>
        <v>Breakfast</v>
      </c>
      <c r="K43" s="113">
        <f>IFERROR(__xludf.DUMMYFUNCTION("""COMPUTED_VALUE"""),45922.0)</f>
        <v>45922</v>
      </c>
      <c r="L43" s="74" t="str">
        <f>IFERROR(__xludf.DUMMYFUNCTION("""COMPUTED_VALUE"""),"Monday")</f>
        <v>Monday</v>
      </c>
      <c r="M43" s="74" t="str">
        <f>IFERROR(__xludf.DUMMYFUNCTION("""COMPUTED_VALUE"""),"BF")</f>
        <v>BF</v>
      </c>
      <c r="N43" s="114"/>
      <c r="O43" s="115" t="str">
        <f>IFERROR(__xludf.DUMMYFUNCTION("""COMPUTED_VALUE"""),"")</f>
        <v/>
      </c>
      <c r="P43" s="74" t="str">
        <f>IFERROR(__xludf.DUMMYFUNCTION("""COMPUTED_VALUE"""),"")</f>
        <v/>
      </c>
      <c r="Q43" s="92"/>
      <c r="R43" s="92"/>
      <c r="S43" s="63"/>
      <c r="T43" s="63"/>
      <c r="U43" s="116" t="str">
        <f>IFERROR(__xludf.DUMMYFUNCTION("""COMPUTED_VALUE"""),"")</f>
        <v/>
      </c>
      <c r="V43" s="92"/>
      <c r="W43" s="116"/>
      <c r="X43" s="64"/>
      <c r="Y43" s="114"/>
      <c r="Z43" s="118" t="str">
        <f>IFERROR(__xludf.DUMMYFUNCTION("""COMPUTED_VALUE"""),"")</f>
        <v/>
      </c>
      <c r="AA43" s="118" t="str">
        <f>IFERROR(__xludf.DUMMYFUNCTION("""COMPUTED_VALUE"""),"")</f>
        <v/>
      </c>
      <c r="AB43" s="74" t="str">
        <f>IFERROR(__xludf.DUMMYFUNCTION("""COMPUTED_VALUE"""),"")</f>
        <v/>
      </c>
    </row>
    <row r="44">
      <c r="A44" s="109">
        <f>IFERROR(__xludf.DUMMYFUNCTION("""COMPUTED_VALUE"""),45922.53053712963)</f>
        <v>45922.53054</v>
      </c>
      <c r="B44" s="110" t="str">
        <f>IFERROR(__xludf.DUMMYFUNCTION("""COMPUTED_VALUE"""),"Orpheus Wilson")</f>
        <v>Orpheus Wilson</v>
      </c>
      <c r="C44" s="74" t="b">
        <f>IFERROR(__xludf.DUMMYFUNCTION("""COMPUTED_VALUE"""),FALSE)</f>
        <v>0</v>
      </c>
      <c r="D44" s="74"/>
      <c r="E44" s="82"/>
      <c r="F44" s="74"/>
      <c r="G44" s="82"/>
      <c r="H44" s="111">
        <f>IFERROR(__xludf.DUMMYFUNCTION("""COMPUTED_VALUE"""),91.0)</f>
        <v>91</v>
      </c>
      <c r="I44" s="112"/>
      <c r="J44" s="113" t="str">
        <f>IFERROR(__xludf.DUMMYFUNCTION("""COMPUTED_VALUE"""),"Lunch")</f>
        <v>Lunch</v>
      </c>
      <c r="K44" s="113">
        <f>IFERROR(__xludf.DUMMYFUNCTION("""COMPUTED_VALUE"""),45922.0)</f>
        <v>45922</v>
      </c>
      <c r="L44" s="74" t="str">
        <f>IFERROR(__xludf.DUMMYFUNCTION("""COMPUTED_VALUE"""),"Monday")</f>
        <v>Monday</v>
      </c>
      <c r="M44" s="74" t="str">
        <f>IFERROR(__xludf.DUMMYFUNCTION("""COMPUTED_VALUE"""),"MF")</f>
        <v>MF</v>
      </c>
      <c r="N44" s="114"/>
      <c r="O44" s="115" t="str">
        <f>IFERROR(__xludf.DUMMYFUNCTION("""COMPUTED_VALUE"""),"")</f>
        <v/>
      </c>
      <c r="P44" s="74" t="str">
        <f>IFERROR(__xludf.DUMMYFUNCTION("""COMPUTED_VALUE"""),"")</f>
        <v/>
      </c>
      <c r="Q44" s="92"/>
      <c r="R44" s="92"/>
      <c r="S44" s="63"/>
      <c r="T44" s="63"/>
      <c r="U44" s="116" t="str">
        <f>IFERROR(__xludf.DUMMYFUNCTION("""COMPUTED_VALUE"""),"")</f>
        <v/>
      </c>
      <c r="V44" s="92"/>
      <c r="W44" s="116"/>
      <c r="X44" s="64"/>
      <c r="Y44" s="114"/>
      <c r="Z44" s="118" t="str">
        <f>IFERROR(__xludf.DUMMYFUNCTION("""COMPUTED_VALUE"""),"")</f>
        <v/>
      </c>
      <c r="AA44" s="118" t="str">
        <f>IFERROR(__xludf.DUMMYFUNCTION("""COMPUTED_VALUE"""),"")</f>
        <v/>
      </c>
      <c r="AB44" s="74" t="str">
        <f>IFERROR(__xludf.DUMMYFUNCTION("""COMPUTED_VALUE"""),"")</f>
        <v/>
      </c>
    </row>
    <row r="45">
      <c r="A45" s="109">
        <f>IFERROR(__xludf.DUMMYFUNCTION("""COMPUTED_VALUE"""),45922.565964814814)</f>
        <v>45922.56596</v>
      </c>
      <c r="B45" s="110" t="str">
        <f>IFERROR(__xludf.DUMMYFUNCTION("""COMPUTED_VALUE"""),"Orpheus Wilson")</f>
        <v>Orpheus Wilson</v>
      </c>
      <c r="C45" s="74" t="b">
        <f>IFERROR(__xludf.DUMMYFUNCTION("""COMPUTED_VALUE"""),TRUE)</f>
        <v>1</v>
      </c>
      <c r="D45" s="74"/>
      <c r="E45" s="82"/>
      <c r="F45" s="74"/>
      <c r="G45" s="82"/>
      <c r="H45" s="111">
        <f>IFERROR(__xludf.DUMMYFUNCTION("""COMPUTED_VALUE"""),44.0)</f>
        <v>44</v>
      </c>
      <c r="I45" s="112"/>
      <c r="J45" s="113" t="str">
        <f>IFERROR(__xludf.DUMMYFUNCTION("""COMPUTED_VALUE"""),"Lunch")</f>
        <v>Lunch</v>
      </c>
      <c r="K45" s="113">
        <f>IFERROR(__xludf.DUMMYFUNCTION("""COMPUTED_VALUE"""),45922.0)</f>
        <v>45922</v>
      </c>
      <c r="L45" s="74" t="str">
        <f>IFERROR(__xludf.DUMMYFUNCTION("""COMPUTED_VALUE"""),"Monday")</f>
        <v>Monday</v>
      </c>
      <c r="M45" s="74" t="str">
        <f>IFERROR(__xludf.DUMMYFUNCTION("""COMPUTED_VALUE"""),"MF")</f>
        <v>MF</v>
      </c>
      <c r="N45" s="114"/>
      <c r="O45" s="115" t="str">
        <f>IFERROR(__xludf.DUMMYFUNCTION("""COMPUTED_VALUE"""),"")</f>
        <v/>
      </c>
      <c r="P45" s="74" t="str">
        <f>IFERROR(__xludf.DUMMYFUNCTION("""COMPUTED_VALUE"""),"")</f>
        <v/>
      </c>
      <c r="Q45" s="92"/>
      <c r="R45" s="92"/>
      <c r="S45" s="63"/>
      <c r="T45" s="63"/>
      <c r="U45" s="116" t="str">
        <f>IFERROR(__xludf.DUMMYFUNCTION("""COMPUTED_VALUE"""),"")</f>
        <v/>
      </c>
      <c r="V45" s="92"/>
      <c r="W45" s="116"/>
      <c r="X45" s="64"/>
      <c r="Y45" s="114"/>
      <c r="Z45" s="118" t="str">
        <f>IFERROR(__xludf.DUMMYFUNCTION("""COMPUTED_VALUE"""),"")</f>
        <v/>
      </c>
      <c r="AA45" s="118" t="str">
        <f>IFERROR(__xludf.DUMMYFUNCTION("""COMPUTED_VALUE"""),"")</f>
        <v/>
      </c>
      <c r="AB45" s="74" t="str">
        <f>IFERROR(__xludf.DUMMYFUNCTION("""COMPUTED_VALUE"""),"")</f>
        <v/>
      </c>
    </row>
    <row r="46">
      <c r="A46" s="109">
        <f>IFERROR(__xludf.DUMMYFUNCTION("""COMPUTED_VALUE"""),45922.58245300926)</f>
        <v>45922.58245</v>
      </c>
      <c r="B46" s="110" t="str">
        <f>IFERROR(__xludf.DUMMYFUNCTION("""COMPUTED_VALUE"""),"Emma Korsu")</f>
        <v>Emma Korsu</v>
      </c>
      <c r="C46" s="74" t="b">
        <f>IFERROR(__xludf.DUMMYFUNCTION("""COMPUTED_VALUE"""),FALSE)</f>
        <v>0</v>
      </c>
      <c r="D46" s="74"/>
      <c r="E46" s="82"/>
      <c r="F46" s="74"/>
      <c r="G46" s="82"/>
      <c r="H46" s="111">
        <f>IFERROR(__xludf.DUMMYFUNCTION("""COMPUTED_VALUE"""),6.0)</f>
        <v>6</v>
      </c>
      <c r="I46" s="112"/>
      <c r="J46" s="113" t="str">
        <f>IFERROR(__xludf.DUMMYFUNCTION("""COMPUTED_VALUE"""),"Lunch")</f>
        <v>Lunch</v>
      </c>
      <c r="K46" s="113">
        <f>IFERROR(__xludf.DUMMYFUNCTION("""COMPUTED_VALUE"""),45922.0)</f>
        <v>45922</v>
      </c>
      <c r="L46" s="74" t="str">
        <f>IFERROR(__xludf.DUMMYFUNCTION("""COMPUTED_VALUE"""),"Monday")</f>
        <v>Monday</v>
      </c>
      <c r="M46" s="74" t="str">
        <f>IFERROR(__xludf.DUMMYFUNCTION("""COMPUTED_VALUE"""),"BF")</f>
        <v>BF</v>
      </c>
      <c r="N46" s="114"/>
      <c r="O46" s="115" t="str">
        <f>IFERROR(__xludf.DUMMYFUNCTION("""COMPUTED_VALUE"""),"")</f>
        <v/>
      </c>
      <c r="P46" s="74" t="str">
        <f>IFERROR(__xludf.DUMMYFUNCTION("""COMPUTED_VALUE"""),"")</f>
        <v/>
      </c>
      <c r="Q46" s="92"/>
      <c r="R46" s="92"/>
      <c r="S46" s="63"/>
      <c r="T46" s="63"/>
      <c r="U46" s="116" t="str">
        <f>IFERROR(__xludf.DUMMYFUNCTION("""COMPUTED_VALUE"""),"")</f>
        <v/>
      </c>
      <c r="V46" s="92"/>
      <c r="W46" s="116"/>
      <c r="X46" s="64"/>
      <c r="Y46" s="114"/>
      <c r="Z46" s="118" t="str">
        <f>IFERROR(__xludf.DUMMYFUNCTION("""COMPUTED_VALUE"""),"")</f>
        <v/>
      </c>
      <c r="AA46" s="118" t="str">
        <f>IFERROR(__xludf.DUMMYFUNCTION("""COMPUTED_VALUE"""),"")</f>
        <v/>
      </c>
      <c r="AB46" s="74" t="str">
        <f>IFERROR(__xludf.DUMMYFUNCTION("""COMPUTED_VALUE"""),"")</f>
        <v/>
      </c>
    </row>
    <row r="47">
      <c r="A47" s="109">
        <f>IFERROR(__xludf.DUMMYFUNCTION("""COMPUTED_VALUE"""),45922.63356635417)</f>
        <v>45922.63357</v>
      </c>
      <c r="B47" s="110" t="str">
        <f>IFERROR(__xludf.DUMMYFUNCTION("""COMPUTED_VALUE"""),"Greta Traynor")</f>
        <v>Greta Traynor</v>
      </c>
      <c r="C47" s="74" t="b">
        <f>IFERROR(__xludf.DUMMYFUNCTION("""COMPUTED_VALUE"""),FALSE)</f>
        <v>0</v>
      </c>
      <c r="D47" s="74"/>
      <c r="E47" s="82"/>
      <c r="F47" s="74"/>
      <c r="G47" s="82"/>
      <c r="H47" s="111">
        <f>IFERROR(__xludf.DUMMYFUNCTION("""COMPUTED_VALUE"""),59.0)</f>
        <v>59</v>
      </c>
      <c r="I47" s="112"/>
      <c r="J47" s="113" t="str">
        <f>IFERROR(__xludf.DUMMYFUNCTION("""COMPUTED_VALUE"""),"Lunch")</f>
        <v>Lunch</v>
      </c>
      <c r="K47" s="113">
        <f>IFERROR(__xludf.DUMMYFUNCTION("""COMPUTED_VALUE"""),45922.0)</f>
        <v>45922</v>
      </c>
      <c r="L47" s="74" t="str">
        <f>IFERROR(__xludf.DUMMYFUNCTION("""COMPUTED_VALUE"""),"Monday")</f>
        <v>Monday</v>
      </c>
      <c r="M47" s="74" t="str">
        <f>IFERROR(__xludf.DUMMYFUNCTION("""COMPUTED_VALUE"""),"MF")</f>
        <v>MF</v>
      </c>
      <c r="N47" s="114"/>
      <c r="O47" s="115" t="str">
        <f>IFERROR(__xludf.DUMMYFUNCTION("""COMPUTED_VALUE"""),"")</f>
        <v/>
      </c>
      <c r="P47" s="74" t="str">
        <f>IFERROR(__xludf.DUMMYFUNCTION("""COMPUTED_VALUE"""),"")</f>
        <v/>
      </c>
      <c r="Q47" s="92"/>
      <c r="R47" s="92"/>
      <c r="S47" s="63"/>
      <c r="T47" s="63"/>
      <c r="U47" s="116" t="str">
        <f>IFERROR(__xludf.DUMMYFUNCTION("""COMPUTED_VALUE"""),"")</f>
        <v/>
      </c>
      <c r="V47" s="92"/>
      <c r="W47" s="116"/>
      <c r="X47" s="64"/>
      <c r="Y47" s="114"/>
      <c r="Z47" s="118" t="str">
        <f>IFERROR(__xludf.DUMMYFUNCTION("""COMPUTED_VALUE"""),"")</f>
        <v/>
      </c>
      <c r="AA47" s="118" t="str">
        <f>IFERROR(__xludf.DUMMYFUNCTION("""COMPUTED_VALUE"""),"")</f>
        <v/>
      </c>
      <c r="AB47" s="74" t="str">
        <f>IFERROR(__xludf.DUMMYFUNCTION("""COMPUTED_VALUE"""),"")</f>
        <v/>
      </c>
    </row>
    <row r="48">
      <c r="A48" s="109">
        <f>IFERROR(__xludf.DUMMYFUNCTION("""COMPUTED_VALUE"""),45922.65271378472)</f>
        <v>45922.65271</v>
      </c>
      <c r="B48" s="110" t="str">
        <f>IFERROR(__xludf.DUMMYFUNCTION("""COMPUTED_VALUE"""),"Emma Korsu")</f>
        <v>Emma Korsu</v>
      </c>
      <c r="C48" s="74" t="b">
        <f>IFERROR(__xludf.DUMMYFUNCTION("""COMPUTED_VALUE"""),FALSE)</f>
        <v>0</v>
      </c>
      <c r="D48" s="74"/>
      <c r="E48" s="82"/>
      <c r="F48" s="74"/>
      <c r="G48" s="82"/>
      <c r="H48" s="111">
        <f>IFERROR(__xludf.DUMMYFUNCTION("""COMPUTED_VALUE"""),111.0)</f>
        <v>111</v>
      </c>
      <c r="I48" s="112"/>
      <c r="J48" s="113" t="str">
        <f>IFERROR(__xludf.DUMMYFUNCTION("""COMPUTED_VALUE"""),"Lunch")</f>
        <v>Lunch</v>
      </c>
      <c r="K48" s="113">
        <f>IFERROR(__xludf.DUMMYFUNCTION("""COMPUTED_VALUE"""),45922.0)</f>
        <v>45922</v>
      </c>
      <c r="L48" s="74" t="str">
        <f>IFERROR(__xludf.DUMMYFUNCTION("""COMPUTED_VALUE"""),"Monday")</f>
        <v>Monday</v>
      </c>
      <c r="M48" s="74" t="str">
        <f>IFERROR(__xludf.DUMMYFUNCTION("""COMPUTED_VALUE"""),"BF")</f>
        <v>BF</v>
      </c>
      <c r="N48" s="114"/>
      <c r="O48" s="115" t="str">
        <f>IFERROR(__xludf.DUMMYFUNCTION("""COMPUTED_VALUE"""),"")</f>
        <v/>
      </c>
      <c r="P48" s="74" t="str">
        <f>IFERROR(__xludf.DUMMYFUNCTION("""COMPUTED_VALUE"""),"")</f>
        <v/>
      </c>
      <c r="Q48" s="92"/>
      <c r="R48" s="92"/>
      <c r="S48" s="63"/>
      <c r="T48" s="63"/>
      <c r="U48" s="116" t="str">
        <f>IFERROR(__xludf.DUMMYFUNCTION("""COMPUTED_VALUE"""),"")</f>
        <v/>
      </c>
      <c r="V48" s="92"/>
      <c r="W48" s="116"/>
      <c r="X48" s="64"/>
      <c r="Y48" s="114"/>
      <c r="Z48" s="118" t="str">
        <f>IFERROR(__xludf.DUMMYFUNCTION("""COMPUTED_VALUE"""),"")</f>
        <v/>
      </c>
      <c r="AA48" s="118" t="str">
        <f>IFERROR(__xludf.DUMMYFUNCTION("""COMPUTED_VALUE"""),"")</f>
        <v/>
      </c>
      <c r="AB48" s="74" t="str">
        <f>IFERROR(__xludf.DUMMYFUNCTION("""COMPUTED_VALUE"""),"")</f>
        <v/>
      </c>
    </row>
    <row r="49">
      <c r="A49" s="109">
        <f>IFERROR(__xludf.DUMMYFUNCTION("""COMPUTED_VALUE"""),45922.76708179398)</f>
        <v>45922.76708</v>
      </c>
      <c r="B49" s="110" t="str">
        <f>IFERROR(__xludf.DUMMYFUNCTION("""COMPUTED_VALUE"""),"Maureen Surgot")</f>
        <v>Maureen Surgot</v>
      </c>
      <c r="C49" s="74" t="b">
        <f>IFERROR(__xludf.DUMMYFUNCTION("""COMPUTED_VALUE"""),FALSE)</f>
        <v>0</v>
      </c>
      <c r="D49" s="74"/>
      <c r="E49" s="82"/>
      <c r="F49" s="74"/>
      <c r="G49" s="82"/>
      <c r="H49" s="111">
        <f>IFERROR(__xludf.DUMMYFUNCTION("""COMPUTED_VALUE"""),98.0)</f>
        <v>98</v>
      </c>
      <c r="I49" s="112"/>
      <c r="J49" s="113" t="str">
        <f>IFERROR(__xludf.DUMMYFUNCTION("""COMPUTED_VALUE"""),"Dinner")</f>
        <v>Dinner</v>
      </c>
      <c r="K49" s="113">
        <f>IFERROR(__xludf.DUMMYFUNCTION("""COMPUTED_VALUE"""),45922.0)</f>
        <v>45922</v>
      </c>
      <c r="L49" s="74" t="str">
        <f>IFERROR(__xludf.DUMMYFUNCTION("""COMPUTED_VALUE"""),"Monday")</f>
        <v>Monday</v>
      </c>
      <c r="M49" s="74" t="str">
        <f>IFERROR(__xludf.DUMMYFUNCTION("""COMPUTED_VALUE"""),"MF")</f>
        <v>MF</v>
      </c>
      <c r="N49" s="114"/>
      <c r="O49" s="115" t="str">
        <f>IFERROR(__xludf.DUMMYFUNCTION("""COMPUTED_VALUE"""),"")</f>
        <v/>
      </c>
      <c r="P49" s="74" t="str">
        <f>IFERROR(__xludf.DUMMYFUNCTION("""COMPUTED_VALUE"""),"")</f>
        <v/>
      </c>
      <c r="Q49" s="92"/>
      <c r="R49" s="92"/>
      <c r="S49" s="63"/>
      <c r="T49" s="63"/>
      <c r="U49" s="116" t="str">
        <f>IFERROR(__xludf.DUMMYFUNCTION("""COMPUTED_VALUE"""),"")</f>
        <v/>
      </c>
      <c r="V49" s="92"/>
      <c r="W49" s="116"/>
      <c r="X49" s="64"/>
      <c r="Y49" s="114"/>
      <c r="Z49" s="118" t="str">
        <f>IFERROR(__xludf.DUMMYFUNCTION("""COMPUTED_VALUE"""),"")</f>
        <v/>
      </c>
      <c r="AA49" s="118" t="str">
        <f>IFERROR(__xludf.DUMMYFUNCTION("""COMPUTED_VALUE"""),"")</f>
        <v/>
      </c>
      <c r="AB49" s="74" t="str">
        <f>IFERROR(__xludf.DUMMYFUNCTION("""COMPUTED_VALUE"""),"")</f>
        <v/>
      </c>
    </row>
    <row r="50">
      <c r="A50" s="109">
        <f>IFERROR(__xludf.DUMMYFUNCTION("""COMPUTED_VALUE"""),45922.857415879625)</f>
        <v>45922.85742</v>
      </c>
      <c r="B50" s="110" t="str">
        <f>IFERROR(__xludf.DUMMYFUNCTION("""COMPUTED_VALUE"""),"Kaylie Forgue")</f>
        <v>Kaylie Forgue</v>
      </c>
      <c r="C50" s="74" t="b">
        <f>IFERROR(__xludf.DUMMYFUNCTION("""COMPUTED_VALUE"""),FALSE)</f>
        <v>0</v>
      </c>
      <c r="D50" s="74"/>
      <c r="E50" s="82"/>
      <c r="F50" s="74"/>
      <c r="G50" s="82"/>
      <c r="H50" s="111">
        <f>IFERROR(__xludf.DUMMYFUNCTION("""COMPUTED_VALUE"""),175.0)</f>
        <v>175</v>
      </c>
      <c r="I50" s="112"/>
      <c r="J50" s="113" t="str">
        <f>IFERROR(__xludf.DUMMYFUNCTION("""COMPUTED_VALUE"""),"Dinner")</f>
        <v>Dinner</v>
      </c>
      <c r="K50" s="113">
        <f>IFERROR(__xludf.DUMMYFUNCTION("""COMPUTED_VALUE"""),45922.0)</f>
        <v>45922</v>
      </c>
      <c r="L50" s="74" t="str">
        <f>IFERROR(__xludf.DUMMYFUNCTION("""COMPUTED_VALUE"""),"Monday")</f>
        <v>Monday</v>
      </c>
      <c r="M50" s="74" t="str">
        <f>IFERROR(__xludf.DUMMYFUNCTION("""COMPUTED_VALUE"""),"BF")</f>
        <v>BF</v>
      </c>
      <c r="N50" s="114"/>
      <c r="O50" s="115">
        <f>IFERROR(__xludf.DUMMYFUNCTION("""COMPUTED_VALUE"""),292.0)</f>
        <v>292</v>
      </c>
      <c r="P50" s="74">
        <f>IFERROR(__xludf.DUMMYFUNCTION("""COMPUTED_VALUE"""),412.0)</f>
        <v>412</v>
      </c>
      <c r="Q50" s="92"/>
      <c r="R50" s="92"/>
      <c r="S50" s="63"/>
      <c r="T50" s="63"/>
      <c r="U50" s="116">
        <f>IFERROR(__xludf.DUMMYFUNCTION("""COMPUTED_VALUE"""),704.0)</f>
        <v>704</v>
      </c>
      <c r="V50" s="92"/>
      <c r="W50" s="116"/>
      <c r="X50" s="64"/>
      <c r="Y50" s="114"/>
      <c r="Z50" s="118">
        <f>IFERROR(__xludf.DUMMYFUNCTION("""COMPUTED_VALUE"""),4333.0)</f>
        <v>4333</v>
      </c>
      <c r="AA50" s="118">
        <f>IFERROR(__xludf.DUMMYFUNCTION("""COMPUTED_VALUE"""),4483.0)</f>
        <v>4483</v>
      </c>
      <c r="AB50" s="118">
        <f>IFERROR(__xludf.DUMMYFUNCTION("""COMPUTED_VALUE"""),8816.0)</f>
        <v>8816</v>
      </c>
    </row>
    <row r="51">
      <c r="A51" s="109">
        <f>IFERROR(__xludf.DUMMYFUNCTION("""COMPUTED_VALUE"""),45923.48443877314)</f>
        <v>45923.48444</v>
      </c>
      <c r="B51" s="110" t="str">
        <f>IFERROR(__xludf.DUMMYFUNCTION("""COMPUTED_VALUE"""),"Emmett Khan")</f>
        <v>Emmett Khan</v>
      </c>
      <c r="C51" s="74" t="b">
        <f>IFERROR(__xludf.DUMMYFUNCTION("""COMPUTED_VALUE"""),FALSE)</f>
        <v>0</v>
      </c>
      <c r="D51" s="74"/>
      <c r="E51" s="82"/>
      <c r="F51" s="74"/>
      <c r="G51" s="82"/>
      <c r="H51" s="111">
        <f>IFERROR(__xludf.DUMMYFUNCTION("""COMPUTED_VALUE"""),163.0)</f>
        <v>163</v>
      </c>
      <c r="I51" s="112"/>
      <c r="J51" s="113" t="str">
        <f>IFERROR(__xludf.DUMMYFUNCTION("""COMPUTED_VALUE"""),"Breakfast")</f>
        <v>Breakfast</v>
      </c>
      <c r="K51" s="113">
        <f>IFERROR(__xludf.DUMMYFUNCTION("""COMPUTED_VALUE"""),45923.0)</f>
        <v>45923</v>
      </c>
      <c r="L51" s="74" t="str">
        <f>IFERROR(__xludf.DUMMYFUNCTION("""COMPUTED_VALUE"""),"Tuesday")</f>
        <v>Tuesday</v>
      </c>
      <c r="M51" s="74" t="str">
        <f>IFERROR(__xludf.DUMMYFUNCTION("""COMPUTED_VALUE"""),"BF")</f>
        <v>BF</v>
      </c>
      <c r="N51" s="114"/>
      <c r="O51" s="115" t="str">
        <f>IFERROR(__xludf.DUMMYFUNCTION("""COMPUTED_VALUE"""),"")</f>
        <v/>
      </c>
      <c r="P51" s="74" t="str">
        <f>IFERROR(__xludf.DUMMYFUNCTION("""COMPUTED_VALUE"""),"")</f>
        <v/>
      </c>
      <c r="Q51" s="92"/>
      <c r="R51" s="92"/>
      <c r="S51" s="63"/>
      <c r="T51" s="63"/>
      <c r="U51" s="116" t="str">
        <f>IFERROR(__xludf.DUMMYFUNCTION("""COMPUTED_VALUE"""),"")</f>
        <v/>
      </c>
      <c r="V51" s="92"/>
      <c r="W51" s="116"/>
      <c r="X51" s="64"/>
      <c r="Y51" s="114"/>
      <c r="Z51" s="118" t="str">
        <f>IFERROR(__xludf.DUMMYFUNCTION("""COMPUTED_VALUE"""),"")</f>
        <v/>
      </c>
      <c r="AA51" s="118" t="str">
        <f>IFERROR(__xludf.DUMMYFUNCTION("""COMPUTED_VALUE"""),"")</f>
        <v/>
      </c>
      <c r="AB51" s="74" t="str">
        <f>IFERROR(__xludf.DUMMYFUNCTION("""COMPUTED_VALUE"""),"")</f>
        <v/>
      </c>
    </row>
    <row r="52">
      <c r="A52" s="109">
        <f>IFERROR(__xludf.DUMMYFUNCTION("""COMPUTED_VALUE"""),45923.63142774305)</f>
        <v>45923.63143</v>
      </c>
      <c r="B52" s="110" t="str">
        <f>IFERROR(__xludf.DUMMYFUNCTION("""COMPUTED_VALUE"""),"Maureen Surgot")</f>
        <v>Maureen Surgot</v>
      </c>
      <c r="C52" s="74" t="b">
        <f>IFERROR(__xludf.DUMMYFUNCTION("""COMPUTED_VALUE"""),FALSE)</f>
        <v>0</v>
      </c>
      <c r="D52" s="74"/>
      <c r="E52" s="82"/>
      <c r="F52" s="74"/>
      <c r="G52" s="82"/>
      <c r="H52" s="111">
        <f>IFERROR(__xludf.DUMMYFUNCTION("""COMPUTED_VALUE"""),195.0)</f>
        <v>195</v>
      </c>
      <c r="I52" s="112"/>
      <c r="J52" s="113" t="str">
        <f>IFERROR(__xludf.DUMMYFUNCTION("""COMPUTED_VALUE"""),"Lunch")</f>
        <v>Lunch</v>
      </c>
      <c r="K52" s="113">
        <f>IFERROR(__xludf.DUMMYFUNCTION("""COMPUTED_VALUE"""),45923.0)</f>
        <v>45923</v>
      </c>
      <c r="L52" s="74" t="str">
        <f>IFERROR(__xludf.DUMMYFUNCTION("""COMPUTED_VALUE"""),"Tuesday")</f>
        <v>Tuesday</v>
      </c>
      <c r="M52" s="74" t="str">
        <f>IFERROR(__xludf.DUMMYFUNCTION("""COMPUTED_VALUE"""),"MF")</f>
        <v>MF</v>
      </c>
      <c r="N52" s="114"/>
      <c r="O52" s="115" t="str">
        <f>IFERROR(__xludf.DUMMYFUNCTION("""COMPUTED_VALUE"""),"")</f>
        <v/>
      </c>
      <c r="P52" s="74" t="str">
        <f>IFERROR(__xludf.DUMMYFUNCTION("""COMPUTED_VALUE"""),"")</f>
        <v/>
      </c>
      <c r="Q52" s="92"/>
      <c r="R52" s="92"/>
      <c r="S52" s="63"/>
      <c r="T52" s="63"/>
      <c r="U52" s="116" t="str">
        <f>IFERROR(__xludf.DUMMYFUNCTION("""COMPUTED_VALUE"""),"")</f>
        <v/>
      </c>
      <c r="V52" s="92"/>
      <c r="W52" s="116"/>
      <c r="X52" s="64"/>
      <c r="Y52" s="114"/>
      <c r="Z52" s="118" t="str">
        <f>IFERROR(__xludf.DUMMYFUNCTION("""COMPUTED_VALUE"""),"")</f>
        <v/>
      </c>
      <c r="AA52" s="118" t="str">
        <f>IFERROR(__xludf.DUMMYFUNCTION("""COMPUTED_VALUE"""),"")</f>
        <v/>
      </c>
      <c r="AB52" s="74" t="str">
        <f>IFERROR(__xludf.DUMMYFUNCTION("""COMPUTED_VALUE"""),"")</f>
        <v/>
      </c>
    </row>
    <row r="53">
      <c r="A53" s="109">
        <f>IFERROR(__xludf.DUMMYFUNCTION("""COMPUTED_VALUE"""),45923.65502604167)</f>
        <v>45923.65503</v>
      </c>
      <c r="B53" s="81" t="str">
        <f>IFERROR(__xludf.DUMMYFUNCTION("""COMPUTED_VALUE"""),"Brynn Hornig")</f>
        <v>Brynn Hornig</v>
      </c>
      <c r="C53" s="74" t="b">
        <f>IFERROR(__xludf.DUMMYFUNCTION("""COMPUTED_VALUE"""),FALSE)</f>
        <v>0</v>
      </c>
      <c r="D53" s="74"/>
      <c r="E53" s="82"/>
      <c r="F53" s="74"/>
      <c r="G53" s="82"/>
      <c r="H53" s="111">
        <f>IFERROR(__xludf.DUMMYFUNCTION("""COMPUTED_VALUE"""),151.0)</f>
        <v>151</v>
      </c>
      <c r="I53" s="112"/>
      <c r="J53" s="113" t="str">
        <f>IFERROR(__xludf.DUMMYFUNCTION("""COMPUTED_VALUE"""),"Lunch")</f>
        <v>Lunch</v>
      </c>
      <c r="K53" s="113">
        <f>IFERROR(__xludf.DUMMYFUNCTION("""COMPUTED_VALUE"""),45923.0)</f>
        <v>45923</v>
      </c>
      <c r="L53" s="74" t="str">
        <f>IFERROR(__xludf.DUMMYFUNCTION("""COMPUTED_VALUE"""),"Tuesday")</f>
        <v>Tuesday</v>
      </c>
      <c r="M53" s="74" t="str">
        <f>IFERROR(__xludf.DUMMYFUNCTION("""COMPUTED_VALUE"""),"BF")</f>
        <v>BF</v>
      </c>
      <c r="N53" s="114"/>
      <c r="O53" s="115" t="str">
        <f>IFERROR(__xludf.DUMMYFUNCTION("""COMPUTED_VALUE"""),"")</f>
        <v/>
      </c>
      <c r="P53" s="74" t="str">
        <f>IFERROR(__xludf.DUMMYFUNCTION("""COMPUTED_VALUE"""),"")</f>
        <v/>
      </c>
      <c r="Q53" s="92"/>
      <c r="R53" s="92"/>
      <c r="S53" s="63"/>
      <c r="T53" s="63"/>
      <c r="U53" s="116" t="str">
        <f>IFERROR(__xludf.DUMMYFUNCTION("""COMPUTED_VALUE"""),"")</f>
        <v/>
      </c>
      <c r="V53" s="92"/>
      <c r="W53" s="116"/>
      <c r="X53" s="64"/>
      <c r="Y53" s="114"/>
      <c r="Z53" s="118" t="str">
        <f>IFERROR(__xludf.DUMMYFUNCTION("""COMPUTED_VALUE"""),"")</f>
        <v/>
      </c>
      <c r="AA53" s="118" t="str">
        <f>IFERROR(__xludf.DUMMYFUNCTION("""COMPUTED_VALUE"""),"")</f>
        <v/>
      </c>
      <c r="AB53" s="74" t="str">
        <f>IFERROR(__xludf.DUMMYFUNCTION("""COMPUTED_VALUE"""),"")</f>
        <v/>
      </c>
    </row>
    <row r="54">
      <c r="A54" s="109">
        <f>IFERROR(__xludf.DUMMYFUNCTION("""COMPUTED_VALUE"""),45923.65543758102)</f>
        <v>45923.65544</v>
      </c>
      <c r="B54" s="110" t="str">
        <f>IFERROR(__xludf.DUMMYFUNCTION("""COMPUTED_VALUE"""),"Brynn Hornig")</f>
        <v>Brynn Hornig</v>
      </c>
      <c r="C54" s="74" t="b">
        <f>IFERROR(__xludf.DUMMYFUNCTION("""COMPUTED_VALUE"""),TRUE)</f>
        <v>1</v>
      </c>
      <c r="D54" s="74"/>
      <c r="E54" s="82"/>
      <c r="F54" s="74"/>
      <c r="G54" s="82"/>
      <c r="H54" s="111">
        <f>IFERROR(__xludf.DUMMYFUNCTION("""COMPUTED_VALUE"""),28.0)</f>
        <v>28</v>
      </c>
      <c r="I54" s="112"/>
      <c r="J54" s="113" t="str">
        <f>IFERROR(__xludf.DUMMYFUNCTION("""COMPUTED_VALUE"""),"Lunch")</f>
        <v>Lunch</v>
      </c>
      <c r="K54" s="113">
        <f>IFERROR(__xludf.DUMMYFUNCTION("""COMPUTED_VALUE"""),45923.0)</f>
        <v>45923</v>
      </c>
      <c r="L54" s="74" t="str">
        <f>IFERROR(__xludf.DUMMYFUNCTION("""COMPUTED_VALUE"""),"Tuesday")</f>
        <v>Tuesday</v>
      </c>
      <c r="M54" s="74" t="str">
        <f>IFERROR(__xludf.DUMMYFUNCTION("""COMPUTED_VALUE"""),"BF")</f>
        <v>BF</v>
      </c>
      <c r="N54" s="114"/>
      <c r="O54" s="115" t="str">
        <f>IFERROR(__xludf.DUMMYFUNCTION("""COMPUTED_VALUE"""),"")</f>
        <v/>
      </c>
      <c r="P54" s="74" t="str">
        <f>IFERROR(__xludf.DUMMYFUNCTION("""COMPUTED_VALUE"""),"")</f>
        <v/>
      </c>
      <c r="Q54" s="92"/>
      <c r="R54" s="92"/>
      <c r="S54" s="63"/>
      <c r="T54" s="63"/>
      <c r="U54" s="116" t="str">
        <f>IFERROR(__xludf.DUMMYFUNCTION("""COMPUTED_VALUE"""),"")</f>
        <v/>
      </c>
      <c r="V54" s="92"/>
      <c r="W54" s="116"/>
      <c r="X54" s="64"/>
      <c r="Y54" s="114"/>
      <c r="Z54" s="118" t="str">
        <f>IFERROR(__xludf.DUMMYFUNCTION("""COMPUTED_VALUE"""),"")</f>
        <v/>
      </c>
      <c r="AA54" s="118" t="str">
        <f>IFERROR(__xludf.DUMMYFUNCTION("""COMPUTED_VALUE"""),"")</f>
        <v/>
      </c>
      <c r="AB54" s="74" t="str">
        <f>IFERROR(__xludf.DUMMYFUNCTION("""COMPUTED_VALUE"""),"")</f>
        <v/>
      </c>
    </row>
    <row r="55">
      <c r="A55" s="109">
        <f>IFERROR(__xludf.DUMMYFUNCTION("""COMPUTED_VALUE"""),45924.03774233796)</f>
        <v>45924.03774</v>
      </c>
      <c r="B55" s="81" t="str">
        <f>IFERROR(__xludf.DUMMYFUNCTION("""COMPUTED_VALUE"""),"Leisly Aceituno")</f>
        <v>Leisly Aceituno</v>
      </c>
      <c r="C55" s="74" t="b">
        <f>IFERROR(__xludf.DUMMYFUNCTION("""COMPUTED_VALUE"""),FALSE)</f>
        <v>0</v>
      </c>
      <c r="D55" s="74"/>
      <c r="E55" s="82"/>
      <c r="F55" s="74"/>
      <c r="G55" s="82"/>
      <c r="H55" s="111">
        <f>IFERROR(__xludf.DUMMYFUNCTION("""COMPUTED_VALUE"""),221.0)</f>
        <v>221</v>
      </c>
      <c r="I55" s="112"/>
      <c r="J55" s="113" t="str">
        <f>IFERROR(__xludf.DUMMYFUNCTION("""COMPUTED_VALUE"""),"Dinner")</f>
        <v>Dinner</v>
      </c>
      <c r="K55" s="113">
        <f>IFERROR(__xludf.DUMMYFUNCTION("""COMPUTED_VALUE"""),45923.0)</f>
        <v>45923</v>
      </c>
      <c r="L55" s="74" t="str">
        <f>IFERROR(__xludf.DUMMYFUNCTION("""COMPUTED_VALUE"""),"Tuesday")</f>
        <v>Tuesday</v>
      </c>
      <c r="M55" s="74" t="str">
        <f>IFERROR(__xludf.DUMMYFUNCTION("""COMPUTED_VALUE"""),"MF")</f>
        <v>MF</v>
      </c>
      <c r="N55" s="114"/>
      <c r="O55" s="115">
        <f>IFERROR(__xludf.DUMMYFUNCTION("""COMPUTED_VALUE"""),416.0)</f>
        <v>416</v>
      </c>
      <c r="P55" s="74">
        <f>IFERROR(__xludf.DUMMYFUNCTION("""COMPUTED_VALUE"""),342.0)</f>
        <v>342</v>
      </c>
      <c r="Q55" s="92"/>
      <c r="R55" s="92"/>
      <c r="S55" s="63"/>
      <c r="T55" s="63"/>
      <c r="U55" s="116">
        <f>IFERROR(__xludf.DUMMYFUNCTION("""COMPUTED_VALUE"""),758.0)</f>
        <v>758</v>
      </c>
      <c r="V55" s="92"/>
      <c r="W55" s="116"/>
      <c r="X55" s="64"/>
      <c r="Y55" s="114"/>
      <c r="Z55" s="118">
        <f>IFERROR(__xludf.DUMMYFUNCTION("""COMPUTED_VALUE"""),3897.0)</f>
        <v>3897</v>
      </c>
      <c r="AA55" s="118">
        <f>IFERROR(__xludf.DUMMYFUNCTION("""COMPUTED_VALUE"""),4717.0)</f>
        <v>4717</v>
      </c>
      <c r="AB55" s="118">
        <f>IFERROR(__xludf.DUMMYFUNCTION("""COMPUTED_VALUE"""),8614.0)</f>
        <v>8614</v>
      </c>
    </row>
    <row r="56">
      <c r="A56" s="109">
        <f>IFERROR(__xludf.DUMMYFUNCTION("""COMPUTED_VALUE"""),45924.63490297453)</f>
        <v>45924.6349</v>
      </c>
      <c r="B56" s="110" t="str">
        <f>IFERROR(__xludf.DUMMYFUNCTION("""COMPUTED_VALUE"""),"Greta Traynor")</f>
        <v>Greta Traynor</v>
      </c>
      <c r="C56" s="74" t="b">
        <f>IFERROR(__xludf.DUMMYFUNCTION("""COMPUTED_VALUE"""),FALSE)</f>
        <v>0</v>
      </c>
      <c r="D56" s="74"/>
      <c r="E56" s="82"/>
      <c r="F56" s="74"/>
      <c r="G56" s="82"/>
      <c r="H56" s="111">
        <f>IFERROR(__xludf.DUMMYFUNCTION("""COMPUTED_VALUE"""),66.0)</f>
        <v>66</v>
      </c>
      <c r="I56" s="112"/>
      <c r="J56" s="113" t="str">
        <f>IFERROR(__xludf.DUMMYFUNCTION("""COMPUTED_VALUE"""),"Lunch")</f>
        <v>Lunch</v>
      </c>
      <c r="K56" s="113">
        <f>IFERROR(__xludf.DUMMYFUNCTION("""COMPUTED_VALUE"""),45924.0)</f>
        <v>45924</v>
      </c>
      <c r="L56" s="74" t="str">
        <f>IFERROR(__xludf.DUMMYFUNCTION("""COMPUTED_VALUE"""),"Wednesday")</f>
        <v>Wednesday</v>
      </c>
      <c r="M56" s="74" t="str">
        <f>IFERROR(__xludf.DUMMYFUNCTION("""COMPUTED_VALUE"""),"MF")</f>
        <v>MF</v>
      </c>
      <c r="N56" s="114"/>
      <c r="O56" s="115" t="str">
        <f>IFERROR(__xludf.DUMMYFUNCTION("""COMPUTED_VALUE"""),"")</f>
        <v/>
      </c>
      <c r="P56" s="74" t="str">
        <f>IFERROR(__xludf.DUMMYFUNCTION("""COMPUTED_VALUE"""),"")</f>
        <v/>
      </c>
      <c r="Q56" s="92"/>
      <c r="R56" s="92"/>
      <c r="S56" s="63"/>
      <c r="T56" s="63"/>
      <c r="U56" s="116" t="str">
        <f>IFERROR(__xludf.DUMMYFUNCTION("""COMPUTED_VALUE"""),"")</f>
        <v/>
      </c>
      <c r="V56" s="92"/>
      <c r="W56" s="116"/>
      <c r="X56" s="64"/>
      <c r="Y56" s="114"/>
      <c r="Z56" s="118" t="str">
        <f>IFERROR(__xludf.DUMMYFUNCTION("""COMPUTED_VALUE"""),"")</f>
        <v/>
      </c>
      <c r="AA56" s="118" t="str">
        <f>IFERROR(__xludf.DUMMYFUNCTION("""COMPUTED_VALUE"""),"")</f>
        <v/>
      </c>
      <c r="AB56" s="74" t="str">
        <f>IFERROR(__xludf.DUMMYFUNCTION("""COMPUTED_VALUE"""),"")</f>
        <v/>
      </c>
    </row>
    <row r="57">
      <c r="A57" s="109">
        <f>IFERROR(__xludf.DUMMYFUNCTION("""COMPUTED_VALUE"""),45924.751159861116)</f>
        <v>45924.75116</v>
      </c>
      <c r="B57" s="110" t="str">
        <f>IFERROR(__xludf.DUMMYFUNCTION("""COMPUTED_VALUE"""),"Sarah Wilme")</f>
        <v>Sarah Wilme</v>
      </c>
      <c r="C57" s="74" t="b">
        <f>IFERROR(__xludf.DUMMYFUNCTION("""COMPUTED_VALUE"""),FALSE)</f>
        <v>0</v>
      </c>
      <c r="D57" s="74"/>
      <c r="E57" s="82"/>
      <c r="F57" s="74"/>
      <c r="G57" s="82"/>
      <c r="H57" s="111">
        <f>IFERROR(__xludf.DUMMYFUNCTION("""COMPUTED_VALUE"""),199.0)</f>
        <v>199</v>
      </c>
      <c r="I57" s="112"/>
      <c r="J57" s="113" t="str">
        <f>IFERROR(__xludf.DUMMYFUNCTION("""COMPUTED_VALUE"""),"Dinner")</f>
        <v>Dinner</v>
      </c>
      <c r="K57" s="113">
        <f>IFERROR(__xludf.DUMMYFUNCTION("""COMPUTED_VALUE"""),45924.0)</f>
        <v>45924</v>
      </c>
      <c r="L57" s="74" t="str">
        <f>IFERROR(__xludf.DUMMYFUNCTION("""COMPUTED_VALUE"""),"Wednesday")</f>
        <v>Wednesday</v>
      </c>
      <c r="M57" s="74" t="str">
        <f>IFERROR(__xludf.DUMMYFUNCTION("""COMPUTED_VALUE"""),"BF")</f>
        <v>BF</v>
      </c>
      <c r="N57" s="114"/>
      <c r="O57" s="115" t="str">
        <f>IFERROR(__xludf.DUMMYFUNCTION("""COMPUTED_VALUE"""),"")</f>
        <v/>
      </c>
      <c r="P57" s="74" t="str">
        <f>IFERROR(__xludf.DUMMYFUNCTION("""COMPUTED_VALUE"""),"")</f>
        <v/>
      </c>
      <c r="Q57" s="92"/>
      <c r="R57" s="92"/>
      <c r="S57" s="63"/>
      <c r="T57" s="63"/>
      <c r="U57" s="116" t="str">
        <f>IFERROR(__xludf.DUMMYFUNCTION("""COMPUTED_VALUE"""),"")</f>
        <v/>
      </c>
      <c r="V57" s="92"/>
      <c r="W57" s="116"/>
      <c r="X57" s="64"/>
      <c r="Y57" s="114"/>
      <c r="Z57" s="118" t="str">
        <f>IFERROR(__xludf.DUMMYFUNCTION("""COMPUTED_VALUE"""),"")</f>
        <v/>
      </c>
      <c r="AA57" s="118" t="str">
        <f>IFERROR(__xludf.DUMMYFUNCTION("""COMPUTED_VALUE"""),"")</f>
        <v/>
      </c>
      <c r="AB57" s="74" t="str">
        <f>IFERROR(__xludf.DUMMYFUNCTION("""COMPUTED_VALUE"""),"")</f>
        <v/>
      </c>
    </row>
    <row r="58">
      <c r="A58" s="109">
        <f>IFERROR(__xludf.DUMMYFUNCTION("""COMPUTED_VALUE"""),45924.86199447917)</f>
        <v>45924.86199</v>
      </c>
      <c r="B58" s="81" t="str">
        <f>IFERROR(__xludf.DUMMYFUNCTION("""COMPUTED_VALUE"""),"Emma Korsu")</f>
        <v>Emma Korsu</v>
      </c>
      <c r="C58" s="74" t="b">
        <f>IFERROR(__xludf.DUMMYFUNCTION("""COMPUTED_VALUE"""),FALSE)</f>
        <v>0</v>
      </c>
      <c r="D58" s="74"/>
      <c r="E58" s="82"/>
      <c r="F58" s="74"/>
      <c r="G58" s="82"/>
      <c r="H58" s="111">
        <f>IFERROR(__xludf.DUMMYFUNCTION("""COMPUTED_VALUE"""),186.0)</f>
        <v>186</v>
      </c>
      <c r="I58" s="112"/>
      <c r="J58" s="113" t="str">
        <f>IFERROR(__xludf.DUMMYFUNCTION("""COMPUTED_VALUE"""),"Dinner")</f>
        <v>Dinner</v>
      </c>
      <c r="K58" s="113">
        <f>IFERROR(__xludf.DUMMYFUNCTION("""COMPUTED_VALUE"""),45924.0)</f>
        <v>45924</v>
      </c>
      <c r="L58" s="74" t="str">
        <f>IFERROR(__xludf.DUMMYFUNCTION("""COMPUTED_VALUE"""),"Wednesday")</f>
        <v>Wednesday</v>
      </c>
      <c r="M58" s="74" t="str">
        <f>IFERROR(__xludf.DUMMYFUNCTION("""COMPUTED_VALUE"""),"BF")</f>
        <v>BF</v>
      </c>
      <c r="N58" s="114"/>
      <c r="O58" s="115" t="str">
        <f>IFERROR(__xludf.DUMMYFUNCTION("""COMPUTED_VALUE"""),"")</f>
        <v/>
      </c>
      <c r="P58" s="74" t="str">
        <f>IFERROR(__xludf.DUMMYFUNCTION("""COMPUTED_VALUE"""),"")</f>
        <v/>
      </c>
      <c r="Q58" s="92"/>
      <c r="R58" s="92"/>
      <c r="S58" s="63"/>
      <c r="T58" s="63"/>
      <c r="U58" s="116" t="str">
        <f>IFERROR(__xludf.DUMMYFUNCTION("""COMPUTED_VALUE"""),"")</f>
        <v/>
      </c>
      <c r="V58" s="92"/>
      <c r="W58" s="116"/>
      <c r="X58" s="64"/>
      <c r="Y58" s="114"/>
      <c r="Z58" s="118" t="str">
        <f>IFERROR(__xludf.DUMMYFUNCTION("""COMPUTED_VALUE"""),"")</f>
        <v/>
      </c>
      <c r="AA58" s="118" t="str">
        <f>IFERROR(__xludf.DUMMYFUNCTION("""COMPUTED_VALUE"""),"")</f>
        <v/>
      </c>
      <c r="AB58" s="74" t="str">
        <f>IFERROR(__xludf.DUMMYFUNCTION("""COMPUTED_VALUE"""),"")</f>
        <v/>
      </c>
    </row>
    <row r="59">
      <c r="A59" s="109">
        <f>IFERROR(__xludf.DUMMYFUNCTION("""COMPUTED_VALUE"""),45925.00809685185)</f>
        <v>45925.0081</v>
      </c>
      <c r="B59" s="110" t="str">
        <f>IFERROR(__xludf.DUMMYFUNCTION("""COMPUTED_VALUE"""),"Kaylie Forgue")</f>
        <v>Kaylie Forgue</v>
      </c>
      <c r="C59" s="74" t="b">
        <f>IFERROR(__xludf.DUMMYFUNCTION("""COMPUTED_VALUE"""),FALSE)</f>
        <v>0</v>
      </c>
      <c r="D59" s="74"/>
      <c r="E59" s="82"/>
      <c r="F59" s="74"/>
      <c r="G59" s="82"/>
      <c r="H59" s="111">
        <f>IFERROR(__xludf.DUMMYFUNCTION("""COMPUTED_VALUE"""),155.0)</f>
        <v>155</v>
      </c>
      <c r="I59" s="112"/>
      <c r="J59" s="113" t="str">
        <f>IFERROR(__xludf.DUMMYFUNCTION("""COMPUTED_VALUE"""),"Dinner")</f>
        <v>Dinner</v>
      </c>
      <c r="K59" s="113">
        <f>IFERROR(__xludf.DUMMYFUNCTION("""COMPUTED_VALUE"""),45924.0)</f>
        <v>45924</v>
      </c>
      <c r="L59" s="74" t="str">
        <f>IFERROR(__xludf.DUMMYFUNCTION("""COMPUTED_VALUE"""),"Wednesday")</f>
        <v>Wednesday</v>
      </c>
      <c r="M59" s="74" t="str">
        <f>IFERROR(__xludf.DUMMYFUNCTION("""COMPUTED_VALUE"""),"MF")</f>
        <v>MF</v>
      </c>
      <c r="N59" s="114"/>
      <c r="O59" s="115">
        <f>IFERROR(__xludf.DUMMYFUNCTION("""COMPUTED_VALUE"""),221.0)</f>
        <v>221</v>
      </c>
      <c r="P59" s="74">
        <f>IFERROR(__xludf.DUMMYFUNCTION("""COMPUTED_VALUE"""),385.0)</f>
        <v>385</v>
      </c>
      <c r="Q59" s="92"/>
      <c r="R59" s="92"/>
      <c r="S59" s="63"/>
      <c r="T59" s="63"/>
      <c r="U59" s="116">
        <f>IFERROR(__xludf.DUMMYFUNCTION("""COMPUTED_VALUE"""),606.0)</f>
        <v>606</v>
      </c>
      <c r="V59" s="92"/>
      <c r="W59" s="116"/>
      <c r="X59" s="64"/>
      <c r="Y59" s="114"/>
      <c r="Z59" s="118">
        <f>IFERROR(__xludf.DUMMYFUNCTION("""COMPUTED_VALUE"""),3773.0)</f>
        <v>3773</v>
      </c>
      <c r="AA59" s="118">
        <f>IFERROR(__xludf.DUMMYFUNCTION("""COMPUTED_VALUE"""),4357.0)</f>
        <v>4357</v>
      </c>
      <c r="AB59" s="118">
        <f>IFERROR(__xludf.DUMMYFUNCTION("""COMPUTED_VALUE"""),8130.0)</f>
        <v>8130</v>
      </c>
    </row>
    <row r="60">
      <c r="A60" s="109">
        <f>IFERROR(__xludf.DUMMYFUNCTION("""COMPUTED_VALUE"""),45925.55766491898)</f>
        <v>45925.55766</v>
      </c>
      <c r="B60" s="110" t="str">
        <f>IFERROR(__xludf.DUMMYFUNCTION("""COMPUTED_VALUE"""),"Maureen Surgot")</f>
        <v>Maureen Surgot</v>
      </c>
      <c r="C60" s="74" t="b">
        <f>IFERROR(__xludf.DUMMYFUNCTION("""COMPUTED_VALUE"""),FALSE)</f>
        <v>0</v>
      </c>
      <c r="D60" s="74"/>
      <c r="E60" s="82"/>
      <c r="F60" s="74"/>
      <c r="G60" s="82"/>
      <c r="H60" s="111">
        <f>IFERROR(__xludf.DUMMYFUNCTION("""COMPUTED_VALUE"""),67.0)</f>
        <v>67</v>
      </c>
      <c r="I60" s="112"/>
      <c r="J60" s="113" t="str">
        <f>IFERROR(__xludf.DUMMYFUNCTION("""COMPUTED_VALUE"""),"Lunch")</f>
        <v>Lunch</v>
      </c>
      <c r="K60" s="113">
        <f>IFERROR(__xludf.DUMMYFUNCTION("""COMPUTED_VALUE"""),45925.0)</f>
        <v>45925</v>
      </c>
      <c r="L60" s="74" t="str">
        <f>IFERROR(__xludf.DUMMYFUNCTION("""COMPUTED_VALUE"""),"Thursday")</f>
        <v>Thursday</v>
      </c>
      <c r="M60" s="74" t="str">
        <f>IFERROR(__xludf.DUMMYFUNCTION("""COMPUTED_VALUE"""),"MF")</f>
        <v>MF</v>
      </c>
      <c r="N60" s="114"/>
      <c r="O60" s="115" t="str">
        <f>IFERROR(__xludf.DUMMYFUNCTION("""COMPUTED_VALUE"""),"")</f>
        <v/>
      </c>
      <c r="P60" s="74" t="str">
        <f>IFERROR(__xludf.DUMMYFUNCTION("""COMPUTED_VALUE"""),"")</f>
        <v/>
      </c>
      <c r="Q60" s="92"/>
      <c r="R60" s="92"/>
      <c r="S60" s="63"/>
      <c r="T60" s="63"/>
      <c r="U60" s="116" t="str">
        <f>IFERROR(__xludf.DUMMYFUNCTION("""COMPUTED_VALUE"""),"")</f>
        <v/>
      </c>
      <c r="V60" s="92"/>
      <c r="W60" s="116"/>
      <c r="X60" s="64"/>
      <c r="Y60" s="114"/>
      <c r="Z60" s="118" t="str">
        <f>IFERROR(__xludf.DUMMYFUNCTION("""COMPUTED_VALUE"""),"")</f>
        <v/>
      </c>
      <c r="AA60" s="118" t="str">
        <f>IFERROR(__xludf.DUMMYFUNCTION("""COMPUTED_VALUE"""),"")</f>
        <v/>
      </c>
      <c r="AB60" s="74" t="str">
        <f>IFERROR(__xludf.DUMMYFUNCTION("""COMPUTED_VALUE"""),"")</f>
        <v/>
      </c>
    </row>
    <row r="61">
      <c r="A61" s="109">
        <f>IFERROR(__xludf.DUMMYFUNCTION("""COMPUTED_VALUE"""),45925.58611790509)</f>
        <v>45925.58612</v>
      </c>
      <c r="B61" s="110" t="str">
        <f>IFERROR(__xludf.DUMMYFUNCTION("""COMPUTED_VALUE"""),"Greta Traynor")</f>
        <v>Greta Traynor</v>
      </c>
      <c r="C61" s="74" t="b">
        <f>IFERROR(__xludf.DUMMYFUNCTION("""COMPUTED_VALUE"""),FALSE)</f>
        <v>0</v>
      </c>
      <c r="D61" s="74"/>
      <c r="E61" s="82"/>
      <c r="F61" s="74"/>
      <c r="G61" s="82"/>
      <c r="H61" s="111">
        <f>IFERROR(__xludf.DUMMYFUNCTION("""COMPUTED_VALUE"""),35.0)</f>
        <v>35</v>
      </c>
      <c r="I61" s="112"/>
      <c r="J61" s="113" t="str">
        <f>IFERROR(__xludf.DUMMYFUNCTION("""COMPUTED_VALUE"""),"Lunch")</f>
        <v>Lunch</v>
      </c>
      <c r="K61" s="113">
        <f>IFERROR(__xludf.DUMMYFUNCTION("""COMPUTED_VALUE"""),45925.0)</f>
        <v>45925</v>
      </c>
      <c r="L61" s="74" t="str">
        <f>IFERROR(__xludf.DUMMYFUNCTION("""COMPUTED_VALUE"""),"Thursday")</f>
        <v>Thursday</v>
      </c>
      <c r="M61" s="74" t="str">
        <f>IFERROR(__xludf.DUMMYFUNCTION("""COMPUTED_VALUE"""),"BF")</f>
        <v>BF</v>
      </c>
      <c r="N61" s="114"/>
      <c r="O61" s="115" t="str">
        <f>IFERROR(__xludf.DUMMYFUNCTION("""COMPUTED_VALUE"""),"")</f>
        <v/>
      </c>
      <c r="P61" s="74" t="str">
        <f>IFERROR(__xludf.DUMMYFUNCTION("""COMPUTED_VALUE"""),"")</f>
        <v/>
      </c>
      <c r="Q61" s="92"/>
      <c r="R61" s="92"/>
      <c r="S61" s="63"/>
      <c r="T61" s="63"/>
      <c r="U61" s="116" t="str">
        <f>IFERROR(__xludf.DUMMYFUNCTION("""COMPUTED_VALUE"""),"")</f>
        <v/>
      </c>
      <c r="V61" s="92"/>
      <c r="W61" s="116"/>
      <c r="X61" s="64"/>
      <c r="Y61" s="114"/>
      <c r="Z61" s="118" t="str">
        <f>IFERROR(__xludf.DUMMYFUNCTION("""COMPUTED_VALUE"""),"")</f>
        <v/>
      </c>
      <c r="AA61" s="118" t="str">
        <f>IFERROR(__xludf.DUMMYFUNCTION("""COMPUTED_VALUE"""),"")</f>
        <v/>
      </c>
      <c r="AB61" s="74" t="str">
        <f>IFERROR(__xludf.DUMMYFUNCTION("""COMPUTED_VALUE"""),"")</f>
        <v/>
      </c>
    </row>
    <row r="62">
      <c r="A62" s="109">
        <f>IFERROR(__xludf.DUMMYFUNCTION("""COMPUTED_VALUE"""),45925.63684927083)</f>
        <v>45925.63685</v>
      </c>
      <c r="B62" s="110" t="str">
        <f>IFERROR(__xludf.DUMMYFUNCTION("""COMPUTED_VALUE"""),"Brynn Hornig")</f>
        <v>Brynn Hornig</v>
      </c>
      <c r="C62" s="74" t="b">
        <f>IFERROR(__xludf.DUMMYFUNCTION("""COMPUTED_VALUE"""),FALSE)</f>
        <v>0</v>
      </c>
      <c r="D62" s="74"/>
      <c r="E62" s="82"/>
      <c r="F62" s="74"/>
      <c r="G62" s="82"/>
      <c r="H62" s="111">
        <f>IFERROR(__xludf.DUMMYFUNCTION("""COMPUTED_VALUE"""),66.0)</f>
        <v>66</v>
      </c>
      <c r="I62" s="112"/>
      <c r="J62" s="113" t="str">
        <f>IFERROR(__xludf.DUMMYFUNCTION("""COMPUTED_VALUE"""),"Lunch")</f>
        <v>Lunch</v>
      </c>
      <c r="K62" s="113">
        <f>IFERROR(__xludf.DUMMYFUNCTION("""COMPUTED_VALUE"""),45925.0)</f>
        <v>45925</v>
      </c>
      <c r="L62" s="74" t="str">
        <f>IFERROR(__xludf.DUMMYFUNCTION("""COMPUTED_VALUE"""),"Thursday")</f>
        <v>Thursday</v>
      </c>
      <c r="M62" s="74" t="str">
        <f>IFERROR(__xludf.DUMMYFUNCTION("""COMPUTED_VALUE"""),"MF")</f>
        <v>MF</v>
      </c>
      <c r="N62" s="114"/>
      <c r="O62" s="115" t="str">
        <f>IFERROR(__xludf.DUMMYFUNCTION("""COMPUTED_VALUE"""),"")</f>
        <v/>
      </c>
      <c r="P62" s="74" t="str">
        <f>IFERROR(__xludf.DUMMYFUNCTION("""COMPUTED_VALUE"""),"")</f>
        <v/>
      </c>
      <c r="Q62" s="92"/>
      <c r="R62" s="92"/>
      <c r="S62" s="63"/>
      <c r="T62" s="63"/>
      <c r="U62" s="116" t="str">
        <f>IFERROR(__xludf.DUMMYFUNCTION("""COMPUTED_VALUE"""),"")</f>
        <v/>
      </c>
      <c r="V62" s="92"/>
      <c r="W62" s="116"/>
      <c r="X62" s="64"/>
      <c r="Y62" s="114"/>
      <c r="Z62" s="118" t="str">
        <f>IFERROR(__xludf.DUMMYFUNCTION("""COMPUTED_VALUE"""),"")</f>
        <v/>
      </c>
      <c r="AA62" s="118" t="str">
        <f>IFERROR(__xludf.DUMMYFUNCTION("""COMPUTED_VALUE"""),"")</f>
        <v/>
      </c>
      <c r="AB62" s="74" t="str">
        <f>IFERROR(__xludf.DUMMYFUNCTION("""COMPUTED_VALUE"""),"")</f>
        <v/>
      </c>
    </row>
    <row r="63">
      <c r="A63" s="109">
        <f>IFERROR(__xludf.DUMMYFUNCTION("""COMPUTED_VALUE"""),45925.701045127316)</f>
        <v>45925.70105</v>
      </c>
      <c r="B63" s="110" t="str">
        <f>IFERROR(__xludf.DUMMYFUNCTION("""COMPUTED_VALUE"""),"Emmett Khan")</f>
        <v>Emmett Khan</v>
      </c>
      <c r="C63" s="74" t="b">
        <f>IFERROR(__xludf.DUMMYFUNCTION("""COMPUTED_VALUE"""),FALSE)</f>
        <v>0</v>
      </c>
      <c r="D63" s="74"/>
      <c r="E63" s="82"/>
      <c r="F63" s="74"/>
      <c r="G63" s="82"/>
      <c r="H63" s="111">
        <f>IFERROR(__xludf.DUMMYFUNCTION("""COMPUTED_VALUE"""),88.0)</f>
        <v>88</v>
      </c>
      <c r="I63" s="112"/>
      <c r="J63" s="113" t="str">
        <f>IFERROR(__xludf.DUMMYFUNCTION("""COMPUTED_VALUE"""),"Lunch")</f>
        <v>Lunch</v>
      </c>
      <c r="K63" s="113">
        <f>IFERROR(__xludf.DUMMYFUNCTION("""COMPUTED_VALUE"""),45925.0)</f>
        <v>45925</v>
      </c>
      <c r="L63" s="74" t="str">
        <f>IFERROR(__xludf.DUMMYFUNCTION("""COMPUTED_VALUE"""),"Thursday")</f>
        <v>Thursday</v>
      </c>
      <c r="M63" s="74" t="str">
        <f>IFERROR(__xludf.DUMMYFUNCTION("""COMPUTED_VALUE"""),"BF")</f>
        <v>BF</v>
      </c>
      <c r="N63" s="114"/>
      <c r="O63" s="115" t="str">
        <f>IFERROR(__xludf.DUMMYFUNCTION("""COMPUTED_VALUE"""),"")</f>
        <v/>
      </c>
      <c r="P63" s="74" t="str">
        <f>IFERROR(__xludf.DUMMYFUNCTION("""COMPUTED_VALUE"""),"")</f>
        <v/>
      </c>
      <c r="Q63" s="92"/>
      <c r="R63" s="92"/>
      <c r="S63" s="63"/>
      <c r="T63" s="63"/>
      <c r="U63" s="116" t="str">
        <f>IFERROR(__xludf.DUMMYFUNCTION("""COMPUTED_VALUE"""),"")</f>
        <v/>
      </c>
      <c r="V63" s="92"/>
      <c r="W63" s="116"/>
      <c r="X63" s="64"/>
      <c r="Y63" s="114"/>
      <c r="Z63" s="118" t="str">
        <f>IFERROR(__xludf.DUMMYFUNCTION("""COMPUTED_VALUE"""),"")</f>
        <v/>
      </c>
      <c r="AA63" s="118" t="str">
        <f>IFERROR(__xludf.DUMMYFUNCTION("""COMPUTED_VALUE"""),"")</f>
        <v/>
      </c>
      <c r="AB63" s="74" t="str">
        <f>IFERROR(__xludf.DUMMYFUNCTION("""COMPUTED_VALUE"""),"")</f>
        <v/>
      </c>
    </row>
    <row r="64">
      <c r="A64" s="109">
        <f>IFERROR(__xludf.DUMMYFUNCTION("""COMPUTED_VALUE"""),45925.738830069444)</f>
        <v>45925.73883</v>
      </c>
      <c r="B64" s="110" t="str">
        <f>IFERROR(__xludf.DUMMYFUNCTION("""COMPUTED_VALUE"""),"Orpheus Wilson")</f>
        <v>Orpheus Wilson</v>
      </c>
      <c r="C64" s="74" t="b">
        <f>IFERROR(__xludf.DUMMYFUNCTION("""COMPUTED_VALUE"""),FALSE)</f>
        <v>0</v>
      </c>
      <c r="D64" s="74"/>
      <c r="E64" s="82"/>
      <c r="F64" s="74"/>
      <c r="G64" s="82"/>
      <c r="H64" s="111">
        <f>IFERROR(__xludf.DUMMYFUNCTION("""COMPUTED_VALUE"""),92.0)</f>
        <v>92</v>
      </c>
      <c r="I64" s="112"/>
      <c r="J64" s="113" t="str">
        <f>IFERROR(__xludf.DUMMYFUNCTION("""COMPUTED_VALUE"""),"Dinner")</f>
        <v>Dinner</v>
      </c>
      <c r="K64" s="113">
        <f>IFERROR(__xludf.DUMMYFUNCTION("""COMPUTED_VALUE"""),45925.0)</f>
        <v>45925</v>
      </c>
      <c r="L64" s="74" t="str">
        <f>IFERROR(__xludf.DUMMYFUNCTION("""COMPUTED_VALUE"""),"Thursday")</f>
        <v>Thursday</v>
      </c>
      <c r="M64" s="74" t="str">
        <f>IFERROR(__xludf.DUMMYFUNCTION("""COMPUTED_VALUE"""),"MF")</f>
        <v>MF</v>
      </c>
      <c r="N64" s="114"/>
      <c r="O64" s="115" t="str">
        <f>IFERROR(__xludf.DUMMYFUNCTION("""COMPUTED_VALUE"""),"")</f>
        <v/>
      </c>
      <c r="P64" s="74" t="str">
        <f>IFERROR(__xludf.DUMMYFUNCTION("""COMPUTED_VALUE"""),"")</f>
        <v/>
      </c>
      <c r="Q64" s="92"/>
      <c r="R64" s="92"/>
      <c r="S64" s="63"/>
      <c r="T64" s="63"/>
      <c r="U64" s="116" t="str">
        <f>IFERROR(__xludf.DUMMYFUNCTION("""COMPUTED_VALUE"""),"")</f>
        <v/>
      </c>
      <c r="V64" s="92"/>
      <c r="W64" s="116"/>
      <c r="X64" s="64"/>
      <c r="Y64" s="114"/>
      <c r="Z64" s="118" t="str">
        <f>IFERROR(__xludf.DUMMYFUNCTION("""COMPUTED_VALUE"""),"")</f>
        <v/>
      </c>
      <c r="AA64" s="118" t="str">
        <f>IFERROR(__xludf.DUMMYFUNCTION("""COMPUTED_VALUE"""),"")</f>
        <v/>
      </c>
      <c r="AB64" s="74" t="str">
        <f>IFERROR(__xludf.DUMMYFUNCTION("""COMPUTED_VALUE"""),"")</f>
        <v/>
      </c>
    </row>
    <row r="65">
      <c r="A65" s="109">
        <f>IFERROR(__xludf.DUMMYFUNCTION("""COMPUTED_VALUE"""),45926.03161115741)</f>
        <v>45926.03161</v>
      </c>
      <c r="B65" s="110" t="str">
        <f>IFERROR(__xludf.DUMMYFUNCTION("""COMPUTED_VALUE"""),"Emmett Khan")</f>
        <v>Emmett Khan</v>
      </c>
      <c r="C65" s="74" t="b">
        <f>IFERROR(__xludf.DUMMYFUNCTION("""COMPUTED_VALUE"""),FALSE)</f>
        <v>0</v>
      </c>
      <c r="D65" s="74"/>
      <c r="E65" s="82"/>
      <c r="F65" s="74"/>
      <c r="G65" s="82"/>
      <c r="H65" s="111">
        <f>IFERROR(__xludf.DUMMYFUNCTION("""COMPUTED_VALUE"""),80.0)</f>
        <v>80</v>
      </c>
      <c r="I65" s="112"/>
      <c r="J65" s="113" t="str">
        <f>IFERROR(__xludf.DUMMYFUNCTION("""COMPUTED_VALUE"""),"Dinner")</f>
        <v>Dinner</v>
      </c>
      <c r="K65" s="113">
        <f>IFERROR(__xludf.DUMMYFUNCTION("""COMPUTED_VALUE"""),45925.0)</f>
        <v>45925</v>
      </c>
      <c r="L65" s="74" t="str">
        <f>IFERROR(__xludf.DUMMYFUNCTION("""COMPUTED_VALUE"""),"Thursday")</f>
        <v>Thursday</v>
      </c>
      <c r="M65" s="74" t="str">
        <f>IFERROR(__xludf.DUMMYFUNCTION("""COMPUTED_VALUE"""),"BF")</f>
        <v>BF</v>
      </c>
      <c r="N65" s="114"/>
      <c r="O65" s="115">
        <f>IFERROR(__xludf.DUMMYFUNCTION("""COMPUTED_VALUE"""),225.0)</f>
        <v>225</v>
      </c>
      <c r="P65" s="74">
        <f>IFERROR(__xludf.DUMMYFUNCTION("""COMPUTED_VALUE"""),203.0)</f>
        <v>203</v>
      </c>
      <c r="Q65" s="92"/>
      <c r="R65" s="92"/>
      <c r="S65" s="63"/>
      <c r="T65" s="63"/>
      <c r="U65" s="116">
        <f>IFERROR(__xludf.DUMMYFUNCTION("""COMPUTED_VALUE"""),428.0)</f>
        <v>428</v>
      </c>
      <c r="V65" s="92"/>
      <c r="W65" s="116"/>
      <c r="X65" s="64"/>
      <c r="Y65" s="114"/>
      <c r="Z65" s="118">
        <f>IFERROR(__xludf.DUMMYFUNCTION("""COMPUTED_VALUE"""),3654.0)</f>
        <v>3654</v>
      </c>
      <c r="AA65" s="118">
        <f>IFERROR(__xludf.DUMMYFUNCTION("""COMPUTED_VALUE"""),3984.0)</f>
        <v>3984</v>
      </c>
      <c r="AB65" s="118">
        <f>IFERROR(__xludf.DUMMYFUNCTION("""COMPUTED_VALUE"""),7638.0)</f>
        <v>7638</v>
      </c>
    </row>
    <row r="66">
      <c r="A66" s="109">
        <f>IFERROR(__xludf.DUMMYFUNCTION("""COMPUTED_VALUE"""),45926.54273179398)</f>
        <v>45926.54273</v>
      </c>
      <c r="B66" s="110" t="str">
        <f>IFERROR(__xludf.DUMMYFUNCTION("""COMPUTED_VALUE"""),"Orpheus Wilson")</f>
        <v>Orpheus Wilson</v>
      </c>
      <c r="C66" s="74" t="b">
        <f>IFERROR(__xludf.DUMMYFUNCTION("""COMPUTED_VALUE"""),FALSE)</f>
        <v>0</v>
      </c>
      <c r="D66" s="74"/>
      <c r="E66" s="82"/>
      <c r="F66" s="74"/>
      <c r="G66" s="82"/>
      <c r="H66" s="111">
        <f>IFERROR(__xludf.DUMMYFUNCTION("""COMPUTED_VALUE"""),128.0)</f>
        <v>128</v>
      </c>
      <c r="I66" s="112"/>
      <c r="J66" s="113" t="str">
        <f>IFERROR(__xludf.DUMMYFUNCTION("""COMPUTED_VALUE"""),"Lunch")</f>
        <v>Lunch</v>
      </c>
      <c r="K66" s="113">
        <f>IFERROR(__xludf.DUMMYFUNCTION("""COMPUTED_VALUE"""),45926.0)</f>
        <v>45926</v>
      </c>
      <c r="L66" s="74" t="str">
        <f>IFERROR(__xludf.DUMMYFUNCTION("""COMPUTED_VALUE"""),"Friday")</f>
        <v>Friday</v>
      </c>
      <c r="M66" s="74" t="str">
        <f>IFERROR(__xludf.DUMMYFUNCTION("""COMPUTED_VALUE"""),"MF")</f>
        <v>MF</v>
      </c>
      <c r="N66" s="114"/>
      <c r="O66" s="115" t="str">
        <f>IFERROR(__xludf.DUMMYFUNCTION("""COMPUTED_VALUE"""),"")</f>
        <v/>
      </c>
      <c r="P66" s="74" t="str">
        <f>IFERROR(__xludf.DUMMYFUNCTION("""COMPUTED_VALUE"""),"")</f>
        <v/>
      </c>
      <c r="Q66" s="92"/>
      <c r="R66" s="92"/>
      <c r="S66" s="63"/>
      <c r="T66" s="63"/>
      <c r="U66" s="116" t="str">
        <f>IFERROR(__xludf.DUMMYFUNCTION("""COMPUTED_VALUE"""),"")</f>
        <v/>
      </c>
      <c r="V66" s="92"/>
      <c r="W66" s="116"/>
      <c r="X66" s="64"/>
      <c r="Y66" s="114"/>
      <c r="Z66" s="118" t="str">
        <f>IFERROR(__xludf.DUMMYFUNCTION("""COMPUTED_VALUE"""),"")</f>
        <v/>
      </c>
      <c r="AA66" s="118" t="str">
        <f>IFERROR(__xludf.DUMMYFUNCTION("""COMPUTED_VALUE"""),"")</f>
        <v/>
      </c>
      <c r="AB66" s="74" t="str">
        <f>IFERROR(__xludf.DUMMYFUNCTION("""COMPUTED_VALUE"""),"")</f>
        <v/>
      </c>
    </row>
    <row r="67">
      <c r="A67" s="123">
        <f>IFERROR(__xludf.DUMMYFUNCTION("""COMPUTED_VALUE"""),45926.59229166667)</f>
        <v>45926.59229</v>
      </c>
      <c r="B67" s="81" t="str">
        <f>IFERROR(__xludf.DUMMYFUNCTION("""COMPUTED_VALUE"""),"Greta Traynor")</f>
        <v>Greta Traynor</v>
      </c>
      <c r="C67" s="74" t="b">
        <f>IFERROR(__xludf.DUMMYFUNCTION("""COMPUTED_VALUE"""),FALSE)</f>
        <v>0</v>
      </c>
      <c r="D67" s="74"/>
      <c r="E67" s="82"/>
      <c r="F67" s="74"/>
      <c r="G67" s="82"/>
      <c r="H67" s="111">
        <f>IFERROR(__xludf.DUMMYFUNCTION("""COMPUTED_VALUE"""),50.0)</f>
        <v>50</v>
      </c>
      <c r="I67" s="112"/>
      <c r="J67" s="74" t="str">
        <f>IFERROR(__xludf.DUMMYFUNCTION("""COMPUTED_VALUE"""),"Lunch")</f>
        <v>Lunch</v>
      </c>
      <c r="K67" s="113">
        <f>IFERROR(__xludf.DUMMYFUNCTION("""COMPUTED_VALUE"""),45926.0)</f>
        <v>45926</v>
      </c>
      <c r="L67" s="74" t="str">
        <f>IFERROR(__xludf.DUMMYFUNCTION("""COMPUTED_VALUE"""),"Friday")</f>
        <v>Friday</v>
      </c>
      <c r="M67" s="74" t="str">
        <f>IFERROR(__xludf.DUMMYFUNCTION("""COMPUTED_VALUE"""),"BF")</f>
        <v>BF</v>
      </c>
      <c r="N67" s="114"/>
      <c r="O67" s="115" t="str">
        <f>IFERROR(__xludf.DUMMYFUNCTION("""COMPUTED_VALUE"""),"")</f>
        <v/>
      </c>
      <c r="P67" s="74" t="str">
        <f>IFERROR(__xludf.DUMMYFUNCTION("""COMPUTED_VALUE"""),"")</f>
        <v/>
      </c>
      <c r="Q67" s="92"/>
      <c r="R67" s="92"/>
      <c r="S67" s="63"/>
      <c r="T67" s="63"/>
      <c r="U67" s="116" t="str">
        <f>IFERROR(__xludf.DUMMYFUNCTION("""COMPUTED_VALUE"""),"")</f>
        <v/>
      </c>
      <c r="V67" s="92"/>
      <c r="W67" s="116"/>
      <c r="X67" s="64"/>
      <c r="Y67" s="114"/>
      <c r="Z67" s="118" t="str">
        <f>IFERROR(__xludf.DUMMYFUNCTION("""COMPUTED_VALUE"""),"")</f>
        <v/>
      </c>
      <c r="AA67" s="118" t="str">
        <f>IFERROR(__xludf.DUMMYFUNCTION("""COMPUTED_VALUE"""),"")</f>
        <v/>
      </c>
      <c r="AB67" s="74" t="str">
        <f>IFERROR(__xludf.DUMMYFUNCTION("""COMPUTED_VALUE"""),"")</f>
        <v/>
      </c>
    </row>
    <row r="68">
      <c r="A68" s="123">
        <f>IFERROR(__xludf.DUMMYFUNCTION("""COMPUTED_VALUE"""),45926.738599537035)</f>
        <v>45926.7386</v>
      </c>
      <c r="B68" s="81" t="str">
        <f>IFERROR(__xludf.DUMMYFUNCTION("""COMPUTED_VALUE"""),"Orpheus Wilson")</f>
        <v>Orpheus Wilson</v>
      </c>
      <c r="C68" s="74" t="b">
        <f>IFERROR(__xludf.DUMMYFUNCTION("""COMPUTED_VALUE"""),FALSE)</f>
        <v>0</v>
      </c>
      <c r="D68" s="74"/>
      <c r="E68" s="82"/>
      <c r="F68" s="74"/>
      <c r="G68" s="82"/>
      <c r="H68" s="111">
        <f>IFERROR(__xludf.DUMMYFUNCTION("""COMPUTED_VALUE"""),12.0)</f>
        <v>12</v>
      </c>
      <c r="I68" s="112"/>
      <c r="J68" s="74" t="str">
        <f>IFERROR(__xludf.DUMMYFUNCTION("""COMPUTED_VALUE"""),"Lunch")</f>
        <v>Lunch</v>
      </c>
      <c r="K68" s="113">
        <f>IFERROR(__xludf.DUMMYFUNCTION("""COMPUTED_VALUE"""),45926.0)</f>
        <v>45926</v>
      </c>
      <c r="L68" s="74" t="str">
        <f>IFERROR(__xludf.DUMMYFUNCTION("""COMPUTED_VALUE"""),"Friday")</f>
        <v>Friday</v>
      </c>
      <c r="M68" s="74" t="str">
        <f>IFERROR(__xludf.DUMMYFUNCTION("""COMPUTED_VALUE"""),"MF")</f>
        <v>MF</v>
      </c>
      <c r="N68" s="114"/>
      <c r="O68" s="115" t="str">
        <f>IFERROR(__xludf.DUMMYFUNCTION("""COMPUTED_VALUE"""),"")</f>
        <v/>
      </c>
      <c r="P68" s="74" t="str">
        <f>IFERROR(__xludf.DUMMYFUNCTION("""COMPUTED_VALUE"""),"")</f>
        <v/>
      </c>
      <c r="Q68" s="92"/>
      <c r="R68" s="92"/>
      <c r="S68" s="63"/>
      <c r="T68" s="63"/>
      <c r="U68" s="116" t="str">
        <f>IFERROR(__xludf.DUMMYFUNCTION("""COMPUTED_VALUE"""),"")</f>
        <v/>
      </c>
      <c r="V68" s="92"/>
      <c r="W68" s="116"/>
      <c r="X68" s="64"/>
      <c r="Y68" s="114"/>
      <c r="Z68" s="118" t="str">
        <f>IFERROR(__xludf.DUMMYFUNCTION("""COMPUTED_VALUE"""),"")</f>
        <v/>
      </c>
      <c r="AA68" s="118" t="str">
        <f>IFERROR(__xludf.DUMMYFUNCTION("""COMPUTED_VALUE"""),"")</f>
        <v/>
      </c>
      <c r="AB68" s="74" t="str">
        <f>IFERROR(__xludf.DUMMYFUNCTION("""COMPUTED_VALUE"""),"")</f>
        <v/>
      </c>
    </row>
    <row r="69">
      <c r="A69" s="123">
        <f>IFERROR(__xludf.DUMMYFUNCTION("""COMPUTED_VALUE"""),45926.766122685185)</f>
        <v>45926.76612</v>
      </c>
      <c r="B69" s="81" t="str">
        <f>IFERROR(__xludf.DUMMYFUNCTION("""COMPUTED_VALUE"""),"Emmett Khan")</f>
        <v>Emmett Khan</v>
      </c>
      <c r="C69" s="74" t="b">
        <f>IFERROR(__xludf.DUMMYFUNCTION("""COMPUTED_VALUE"""),FALSE)</f>
        <v>0</v>
      </c>
      <c r="D69" s="74"/>
      <c r="E69" s="82"/>
      <c r="F69" s="74"/>
      <c r="G69" s="82"/>
      <c r="H69" s="111">
        <f>IFERROR(__xludf.DUMMYFUNCTION("""COMPUTED_VALUE"""),121.0)</f>
        <v>121</v>
      </c>
      <c r="I69" s="112"/>
      <c r="J69" s="74" t="str">
        <f>IFERROR(__xludf.DUMMYFUNCTION("""COMPUTED_VALUE"""),"Dinner")</f>
        <v>Dinner</v>
      </c>
      <c r="K69" s="113">
        <f>IFERROR(__xludf.DUMMYFUNCTION("""COMPUTED_VALUE"""),45926.0)</f>
        <v>45926</v>
      </c>
      <c r="L69" s="74" t="str">
        <f>IFERROR(__xludf.DUMMYFUNCTION("""COMPUTED_VALUE"""),"Friday")</f>
        <v>Friday</v>
      </c>
      <c r="M69" s="74" t="str">
        <f>IFERROR(__xludf.DUMMYFUNCTION("""COMPUTED_VALUE"""),"BF")</f>
        <v>BF</v>
      </c>
      <c r="N69" s="114"/>
      <c r="O69" s="115">
        <f>IFERROR(__xludf.DUMMYFUNCTION("""COMPUTED_VALUE"""),140.0)</f>
        <v>140</v>
      </c>
      <c r="P69" s="74">
        <f>IFERROR(__xludf.DUMMYFUNCTION("""COMPUTED_VALUE"""),171.0)</f>
        <v>171</v>
      </c>
      <c r="Q69" s="92"/>
      <c r="R69" s="92"/>
      <c r="S69" s="63"/>
      <c r="T69" s="63"/>
      <c r="U69" s="116">
        <f>IFERROR(__xludf.DUMMYFUNCTION("""COMPUTED_VALUE"""),311.0)</f>
        <v>311</v>
      </c>
      <c r="V69" s="92"/>
      <c r="W69" s="116"/>
      <c r="X69" s="116"/>
      <c r="Y69" s="114"/>
      <c r="Z69" s="118">
        <f>IFERROR(__xludf.DUMMYFUNCTION("""COMPUTED_VALUE"""),3897.0)</f>
        <v>3897</v>
      </c>
      <c r="AA69" s="118">
        <f>IFERROR(__xludf.DUMMYFUNCTION("""COMPUTED_VALUE"""),2219.0)</f>
        <v>2219</v>
      </c>
      <c r="AB69" s="118">
        <f>IFERROR(__xludf.DUMMYFUNCTION("""COMPUTED_VALUE"""),6116.0)</f>
        <v>6116</v>
      </c>
    </row>
    <row r="70">
      <c r="A70" s="124">
        <f>IFERROR(__xludf.DUMMYFUNCTION("""COMPUTED_VALUE"""),45929.5878816551)</f>
        <v>45929.58788</v>
      </c>
      <c r="B70" s="81" t="str">
        <f>IFERROR(__xludf.DUMMYFUNCTION("""COMPUTED_VALUE"""),"Emma Korsu")</f>
        <v>Emma Korsu</v>
      </c>
      <c r="C70" s="125" t="b">
        <f>IFERROR(__xludf.DUMMYFUNCTION("""COMPUTED_VALUE"""),FALSE)</f>
        <v>0</v>
      </c>
      <c r="D70" s="126">
        <f>IFERROR(__xludf.DUMMYFUNCTION("""COMPUTED_VALUE"""),0.5006944444444444)</f>
        <v>0.5006944444</v>
      </c>
      <c r="E70" s="127">
        <f>IFERROR(__xludf.DUMMYFUNCTION("""COMPUTED_VALUE"""),0.0722222222197969)</f>
        <v>0.07222222222</v>
      </c>
      <c r="F70" s="128">
        <f>IFERROR(__xludf.DUMMYFUNCTION("""COMPUTED_VALUE"""),0.5729166666642413)</f>
        <v>0.5729166667</v>
      </c>
      <c r="G70" s="127">
        <f>IFERROR(__xludf.DUMMYFUNCTION("""COMPUTED_VALUE"""),0.0722222222197969)</f>
        <v>0.07222222222</v>
      </c>
      <c r="H70" s="129">
        <f>IFERROR(__xludf.DUMMYFUNCTION("""COMPUTED_VALUE"""),125.0)</f>
        <v>125</v>
      </c>
      <c r="I70" s="130">
        <f>IFERROR(__xludf.DUMMYFUNCTION("""COMPUTED_VALUE"""),72.11538461780634)</f>
        <v>72.11538462</v>
      </c>
      <c r="J70" s="131" t="str">
        <f>IFERROR(__xludf.DUMMYFUNCTION("""COMPUTED_VALUE"""),"Lunch")</f>
        <v>Lunch</v>
      </c>
      <c r="K70" s="132">
        <f>IFERROR(__xludf.DUMMYFUNCTION("""COMPUTED_VALUE"""),45929.0)</f>
        <v>45929</v>
      </c>
      <c r="L70" s="131" t="str">
        <f>IFERROR(__xludf.DUMMYFUNCTION("""COMPUTED_VALUE"""),"Monday")</f>
        <v>Monday</v>
      </c>
      <c r="M70" s="131" t="str">
        <f>IFERROR(__xludf.DUMMYFUNCTION("""COMPUTED_VALUE"""),"BF")</f>
        <v>BF</v>
      </c>
      <c r="N70" s="114">
        <f>IFERROR(__xludf.DUMMYFUNCTION("""COMPUTED_VALUE"""),1.8571729123244591)</f>
        <v>1.857172912</v>
      </c>
      <c r="O70" s="68" t="str">
        <f>IFERROR(__xludf.DUMMYFUNCTION("""COMPUTED_VALUE"""),"")</f>
        <v/>
      </c>
      <c r="P70" s="65" t="str">
        <f>IFERROR(__xludf.DUMMYFUNCTION("""COMPUTED_VALUE"""),"")</f>
        <v/>
      </c>
      <c r="Q70" s="133" t="str">
        <f>IFERROR(__xludf.DUMMYFUNCTION("""COMPUTED_VALUE"""),"")</f>
        <v/>
      </c>
      <c r="R70" s="133" t="str">
        <f>IFERROR(__xludf.DUMMYFUNCTION("""COMPUTED_VALUE"""),"")</f>
        <v/>
      </c>
      <c r="S70" s="90" t="str">
        <f>IFERROR(__xludf.DUMMYFUNCTION("""COMPUTED_VALUE"""),"")</f>
        <v/>
      </c>
      <c r="T70" s="90" t="str">
        <f>IFERROR(__xludf.DUMMYFUNCTION("""COMPUTED_VALUE"""),"")</f>
        <v/>
      </c>
      <c r="U70" s="134" t="str">
        <f>IFERROR(__xludf.DUMMYFUNCTION("""COMPUTED_VALUE"""),"")</f>
        <v/>
      </c>
      <c r="V70" s="133" t="str">
        <f>IFERROR(__xludf.DUMMYFUNCTION("""COMPUTED_VALUE"""),"")</f>
        <v/>
      </c>
      <c r="W70" s="134"/>
      <c r="X70" s="135" t="str">
        <f>IFERROR(__xludf.DUMMYFUNCTION("""COMPUTED_VALUE"""),"")</f>
        <v/>
      </c>
      <c r="Y70" s="136" t="str">
        <f>IFERROR(__xludf.DUMMYFUNCTION("""COMPUTED_VALUE"""),"")</f>
        <v/>
      </c>
      <c r="Z70" s="125" t="str">
        <f>IFERROR(__xludf.DUMMYFUNCTION("""COMPUTED_VALUE"""),"")</f>
        <v/>
      </c>
      <c r="AA70" s="125" t="str">
        <f>IFERROR(__xludf.DUMMYFUNCTION("""COMPUTED_VALUE"""),"")</f>
        <v/>
      </c>
      <c r="AB70" s="85" t="str">
        <f>IFERROR(__xludf.DUMMYFUNCTION("""COMPUTED_VALUE"""),"")</f>
        <v/>
      </c>
      <c r="AC70" s="125"/>
      <c r="AD70" s="125"/>
      <c r="AE70" s="125"/>
    </row>
    <row r="71">
      <c r="A71" s="109">
        <f>IFERROR(__xludf.DUMMYFUNCTION("""COMPUTED_VALUE"""),45929.60392553241)</f>
        <v>45929.60393</v>
      </c>
      <c r="B71" s="81" t="str">
        <f>IFERROR(__xludf.DUMMYFUNCTION("""COMPUTED_VALUE"""),"Orpheus Wilson")</f>
        <v>Orpheus Wilson</v>
      </c>
      <c r="C71" s="74" t="b">
        <f>IFERROR(__xludf.DUMMYFUNCTION("""COMPUTED_VALUE"""),FALSE)</f>
        <v>0</v>
      </c>
      <c r="D71" s="137">
        <f>IFERROR(__xludf.DUMMYFUNCTION("""COMPUTED_VALUE"""),0.47916666666424135)</f>
        <v>0.4791666667</v>
      </c>
      <c r="E71" s="82">
        <f>IFERROR(__xludf.DUMMYFUNCTION("""COMPUTED_VALUE"""),0.08333333333575865)</f>
        <v>0.08333333334</v>
      </c>
      <c r="F71" s="137">
        <f>IFERROR(__xludf.DUMMYFUNCTION("""COMPUTED_VALUE"""),0.5625)</f>
        <v>0.5625</v>
      </c>
      <c r="G71" s="82">
        <f>IFERROR(__xludf.DUMMYFUNCTION("""COMPUTED_VALUE"""),0.08333333333575865)</f>
        <v>0.08333333334</v>
      </c>
      <c r="H71" s="74">
        <f>IFERROR(__xludf.DUMMYFUNCTION("""COMPUTED_VALUE"""),131.0)</f>
        <v>131</v>
      </c>
      <c r="I71" s="112">
        <f>IFERROR(__xludf.DUMMYFUNCTION("""COMPUTED_VALUE"""),65.4999999980937)</f>
        <v>65.5</v>
      </c>
      <c r="J71" s="74" t="str">
        <f>IFERROR(__xludf.DUMMYFUNCTION("""COMPUTED_VALUE"""),"Lunch")</f>
        <v>Lunch</v>
      </c>
      <c r="K71" s="113">
        <f>IFERROR(__xludf.DUMMYFUNCTION("""COMPUTED_VALUE"""),45929.0)</f>
        <v>45929</v>
      </c>
      <c r="L71" s="74" t="str">
        <f>IFERROR(__xludf.DUMMYFUNCTION("""COMPUTED_VALUE"""),"Monday")</f>
        <v>Monday</v>
      </c>
      <c r="M71" s="74" t="str">
        <f>IFERROR(__xludf.DUMMYFUNCTION("""COMPUTED_VALUE"""),"MF")</f>
        <v>MF</v>
      </c>
      <c r="N71" s="114">
        <f>IFERROR(__xludf.DUMMYFUNCTION("""COMPUTED_VALUE"""),1.3620622316303916)</f>
        <v>1.362062232</v>
      </c>
      <c r="O71" s="115" t="str">
        <f>IFERROR(__xludf.DUMMYFUNCTION("""COMPUTED_VALUE"""),"")</f>
        <v/>
      </c>
      <c r="P71" s="74" t="str">
        <f>IFERROR(__xludf.DUMMYFUNCTION("""COMPUTED_VALUE"""),"")</f>
        <v/>
      </c>
      <c r="Q71" s="92" t="str">
        <f>IFERROR(__xludf.DUMMYFUNCTION("""COMPUTED_VALUE"""),"")</f>
        <v/>
      </c>
      <c r="R71" s="92" t="str">
        <f>IFERROR(__xludf.DUMMYFUNCTION("""COMPUTED_VALUE"""),"")</f>
        <v/>
      </c>
      <c r="S71" s="63" t="str">
        <f>IFERROR(__xludf.DUMMYFUNCTION("""COMPUTED_VALUE"""),"")</f>
        <v/>
      </c>
      <c r="T71" s="63" t="str">
        <f>IFERROR(__xludf.DUMMYFUNCTION("""COMPUTED_VALUE"""),"")</f>
        <v/>
      </c>
      <c r="U71" s="116" t="str">
        <f>IFERROR(__xludf.DUMMYFUNCTION("""COMPUTED_VALUE"""),"")</f>
        <v/>
      </c>
      <c r="V71" s="92" t="str">
        <f>IFERROR(__xludf.DUMMYFUNCTION("""COMPUTED_VALUE"""),"")</f>
        <v/>
      </c>
      <c r="W71" s="64"/>
      <c r="X71" s="63" t="str">
        <f>IFERROR(__xludf.DUMMYFUNCTION("""COMPUTED_VALUE"""),"")</f>
        <v/>
      </c>
      <c r="Y71" s="114" t="str">
        <f>IFERROR(__xludf.DUMMYFUNCTION("""COMPUTED_VALUE"""),"")</f>
        <v/>
      </c>
      <c r="Z71" s="118" t="str">
        <f>IFERROR(__xludf.DUMMYFUNCTION("""COMPUTED_VALUE"""),"")</f>
        <v/>
      </c>
      <c r="AA71" s="118" t="str">
        <f>IFERROR(__xludf.DUMMYFUNCTION("""COMPUTED_VALUE"""),"")</f>
        <v/>
      </c>
      <c r="AB71" s="74" t="str">
        <f>IFERROR(__xludf.DUMMYFUNCTION("""COMPUTED_VALUE"""),"")</f>
        <v/>
      </c>
    </row>
    <row r="72">
      <c r="A72" s="109">
        <f>IFERROR(__xludf.DUMMYFUNCTION("""COMPUTED_VALUE"""),45929.636537280094)</f>
        <v>45929.63654</v>
      </c>
      <c r="B72" s="81" t="str">
        <f>IFERROR(__xludf.DUMMYFUNCTION("""COMPUTED_VALUE"""),"Greta Traynor")</f>
        <v>Greta Traynor</v>
      </c>
      <c r="C72" s="74" t="b">
        <f>IFERROR(__xludf.DUMMYFUNCTION("""COMPUTED_VALUE"""),FALSE)</f>
        <v>0</v>
      </c>
      <c r="D72" s="137">
        <f>IFERROR(__xludf.DUMMYFUNCTION("""COMPUTED_VALUE"""),0.5625)</f>
        <v>0.5625</v>
      </c>
      <c r="E72" s="82">
        <f>IFERROR(__xludf.DUMMYFUNCTION("""COMPUTED_VALUE"""),0.06944444444525288)</f>
        <v>0.06944444445</v>
      </c>
      <c r="F72" s="137">
        <f>IFERROR(__xludf.DUMMYFUNCTION("""COMPUTED_VALUE"""),0.6319444444452529)</f>
        <v>0.6319444444</v>
      </c>
      <c r="G72" s="82">
        <f>IFERROR(__xludf.DUMMYFUNCTION("""COMPUTED_VALUE"""),0.06944444444525288)</f>
        <v>0.06944444445</v>
      </c>
      <c r="H72" s="115">
        <f>IFERROR(__xludf.DUMMYFUNCTION("""COMPUTED_VALUE"""),41.0)</f>
        <v>41</v>
      </c>
      <c r="I72" s="112">
        <f>IFERROR(__xludf.DUMMYFUNCTION("""COMPUTED_VALUE"""),24.599999999713617)</f>
        <v>24.6</v>
      </c>
      <c r="J72" s="74" t="str">
        <f>IFERROR(__xludf.DUMMYFUNCTION("""COMPUTED_VALUE"""),"Lunch")</f>
        <v>Lunch</v>
      </c>
      <c r="K72" s="113">
        <f>IFERROR(__xludf.DUMMYFUNCTION("""COMPUTED_VALUE"""),45929.0)</f>
        <v>45929</v>
      </c>
      <c r="L72" s="74" t="str">
        <f>IFERROR(__xludf.DUMMYFUNCTION("""COMPUTED_VALUE"""),"Monday")</f>
        <v>Monday</v>
      </c>
      <c r="M72" s="74" t="str">
        <f>IFERROR(__xludf.DUMMYFUNCTION("""COMPUTED_VALUE"""),"MF")</f>
        <v>MF</v>
      </c>
      <c r="N72" s="114">
        <f>IFERROR(__xludf.DUMMYFUNCTION("""COMPUTED_VALUE"""),0.5115531434914922)</f>
        <v>0.5115531435</v>
      </c>
      <c r="O72" s="115" t="str">
        <f>IFERROR(__xludf.DUMMYFUNCTION("""COMPUTED_VALUE"""),"")</f>
        <v/>
      </c>
      <c r="P72" s="74" t="str">
        <f>IFERROR(__xludf.DUMMYFUNCTION("""COMPUTED_VALUE"""),"")</f>
        <v/>
      </c>
      <c r="Q72" s="92" t="str">
        <f>IFERROR(__xludf.DUMMYFUNCTION("""COMPUTED_VALUE"""),"")</f>
        <v/>
      </c>
      <c r="R72" s="92" t="str">
        <f>IFERROR(__xludf.DUMMYFUNCTION("""COMPUTED_VALUE"""),"")</f>
        <v/>
      </c>
      <c r="S72" s="63" t="str">
        <f>IFERROR(__xludf.DUMMYFUNCTION("""COMPUTED_VALUE"""),"")</f>
        <v/>
      </c>
      <c r="T72" s="63" t="str">
        <f>IFERROR(__xludf.DUMMYFUNCTION("""COMPUTED_VALUE"""),"")</f>
        <v/>
      </c>
      <c r="U72" s="116" t="str">
        <f>IFERROR(__xludf.DUMMYFUNCTION("""COMPUTED_VALUE"""),"")</f>
        <v/>
      </c>
      <c r="V72" s="92" t="str">
        <f>IFERROR(__xludf.DUMMYFUNCTION("""COMPUTED_VALUE"""),"")</f>
        <v/>
      </c>
      <c r="W72" s="64"/>
      <c r="X72" s="64" t="str">
        <f>IFERROR(__xludf.DUMMYFUNCTION("""COMPUTED_VALUE"""),"")</f>
        <v/>
      </c>
      <c r="Y72" s="114" t="str">
        <f>IFERROR(__xludf.DUMMYFUNCTION("""COMPUTED_VALUE"""),"")</f>
        <v/>
      </c>
      <c r="Z72" s="118" t="str">
        <f>IFERROR(__xludf.DUMMYFUNCTION("""COMPUTED_VALUE"""),"")</f>
        <v/>
      </c>
      <c r="AA72" s="118" t="str">
        <f>IFERROR(__xludf.DUMMYFUNCTION("""COMPUTED_VALUE"""),"")</f>
        <v/>
      </c>
      <c r="AB72" s="74" t="str">
        <f>IFERROR(__xludf.DUMMYFUNCTION("""COMPUTED_VALUE"""),"")</f>
        <v/>
      </c>
    </row>
    <row r="73">
      <c r="A73" s="109">
        <f>IFERROR(__xludf.DUMMYFUNCTION("""COMPUTED_VALUE"""),45929.6543308449)</f>
        <v>45929.65433</v>
      </c>
      <c r="B73" s="81" t="str">
        <f>IFERROR(__xludf.DUMMYFUNCTION("""COMPUTED_VALUE"""),"Emma Korsu")</f>
        <v>Emma Korsu</v>
      </c>
      <c r="C73" s="74" t="b">
        <f>IFERROR(__xludf.DUMMYFUNCTION("""COMPUTED_VALUE"""),FALSE)</f>
        <v>0</v>
      </c>
      <c r="D73" s="137">
        <f>IFERROR(__xludf.DUMMYFUNCTION("""COMPUTED_VALUE"""),0.5743055555555555)</f>
        <v>0.5743055556</v>
      </c>
      <c r="E73" s="82">
        <f>IFERROR(__xludf.DUMMYFUNCTION("""COMPUTED_VALUE"""),0.07916666666666672)</f>
        <v>0.07916666667</v>
      </c>
      <c r="F73" s="137">
        <f>IFERROR(__xludf.DUMMYFUNCTION("""COMPUTED_VALUE"""),0.6534722222222222)</f>
        <v>0.6534722222</v>
      </c>
      <c r="G73" s="82">
        <f>IFERROR(__xludf.DUMMYFUNCTION("""COMPUTED_VALUE"""),0.07916666666666672)</f>
        <v>0.07916666667</v>
      </c>
      <c r="H73" s="115">
        <f>IFERROR(__xludf.DUMMYFUNCTION("""COMPUTED_VALUE"""),135.0)</f>
        <v>135</v>
      </c>
      <c r="I73" s="112">
        <f>IFERROR(__xludf.DUMMYFUNCTION("""COMPUTED_VALUE"""),71.05263157894733)</f>
        <v>71.05263158</v>
      </c>
      <c r="J73" s="74" t="str">
        <f>IFERROR(__xludf.DUMMYFUNCTION("""COMPUTED_VALUE"""),"Lunch")</f>
        <v>Lunch</v>
      </c>
      <c r="K73" s="113">
        <f>IFERROR(__xludf.DUMMYFUNCTION("""COMPUTED_VALUE"""),45929.0)</f>
        <v>45929</v>
      </c>
      <c r="L73" s="74" t="str">
        <f>IFERROR(__xludf.DUMMYFUNCTION("""COMPUTED_VALUE"""),"Monday")</f>
        <v>Monday</v>
      </c>
      <c r="M73" s="74" t="str">
        <f>IFERROR(__xludf.DUMMYFUNCTION("""COMPUTED_VALUE"""),"BF")</f>
        <v>BF</v>
      </c>
      <c r="N73" s="114">
        <f>IFERROR(__xludf.DUMMYFUNCTION("""COMPUTED_VALUE"""),1.8298040482919138)</f>
        <v>1.829804048</v>
      </c>
      <c r="O73" s="115" t="str">
        <f>IFERROR(__xludf.DUMMYFUNCTION("""COMPUTED_VALUE"""),"")</f>
        <v/>
      </c>
      <c r="P73" s="74" t="str">
        <f>IFERROR(__xludf.DUMMYFUNCTION("""COMPUTED_VALUE"""),"")</f>
        <v/>
      </c>
      <c r="Q73" s="92" t="str">
        <f>IFERROR(__xludf.DUMMYFUNCTION("""COMPUTED_VALUE"""),"")</f>
        <v/>
      </c>
      <c r="R73" s="92" t="str">
        <f>IFERROR(__xludf.DUMMYFUNCTION("""COMPUTED_VALUE"""),"")</f>
        <v/>
      </c>
      <c r="S73" s="63" t="str">
        <f>IFERROR(__xludf.DUMMYFUNCTION("""COMPUTED_VALUE"""),"")</f>
        <v/>
      </c>
      <c r="T73" s="63" t="str">
        <f>IFERROR(__xludf.DUMMYFUNCTION("""COMPUTED_VALUE"""),"")</f>
        <v/>
      </c>
      <c r="U73" s="116" t="str">
        <f>IFERROR(__xludf.DUMMYFUNCTION("""COMPUTED_VALUE"""),"")</f>
        <v/>
      </c>
      <c r="V73" s="92" t="str">
        <f>IFERROR(__xludf.DUMMYFUNCTION("""COMPUTED_VALUE"""),"")</f>
        <v/>
      </c>
      <c r="W73" s="64"/>
      <c r="X73" s="64" t="str">
        <f>IFERROR(__xludf.DUMMYFUNCTION("""COMPUTED_VALUE"""),"")</f>
        <v/>
      </c>
      <c r="Y73" s="114" t="str">
        <f>IFERROR(__xludf.DUMMYFUNCTION("""COMPUTED_VALUE"""),"")</f>
        <v/>
      </c>
      <c r="Z73" s="74" t="str">
        <f>IFERROR(__xludf.DUMMYFUNCTION("""COMPUTED_VALUE"""),"")</f>
        <v/>
      </c>
      <c r="AA73" s="118" t="str">
        <f>IFERROR(__xludf.DUMMYFUNCTION("""COMPUTED_VALUE"""),"")</f>
        <v/>
      </c>
      <c r="AB73" s="74" t="str">
        <f>IFERROR(__xludf.DUMMYFUNCTION("""COMPUTED_VALUE"""),"")</f>
        <v/>
      </c>
    </row>
    <row r="74">
      <c r="A74" s="109">
        <f>IFERROR(__xludf.DUMMYFUNCTION("""COMPUTED_VALUE"""),45929.76752918982)</f>
        <v>45929.76753</v>
      </c>
      <c r="B74" s="81" t="str">
        <f>IFERROR(__xludf.DUMMYFUNCTION("""COMPUTED_VALUE"""),"Maureen Surgot")</f>
        <v>Maureen Surgot</v>
      </c>
      <c r="C74" s="74" t="b">
        <f>IFERROR(__xludf.DUMMYFUNCTION("""COMPUTED_VALUE"""),FALSE)</f>
        <v>0</v>
      </c>
      <c r="D74" s="137">
        <f>IFERROR(__xludf.DUMMYFUNCTION("""COMPUTED_VALUE"""),0.6666666666642413)</f>
        <v>0.6666666667</v>
      </c>
      <c r="E74" s="82">
        <f>IFERROR(__xludf.DUMMYFUNCTION("""COMPUTED_VALUE"""),0.1041666666715173)</f>
        <v>0.1041666667</v>
      </c>
      <c r="F74" s="137">
        <f>IFERROR(__xludf.DUMMYFUNCTION("""COMPUTED_VALUE"""),0.7708333333357587)</f>
        <v>0.7708333333</v>
      </c>
      <c r="G74" s="82">
        <f>IFERROR(__xludf.DUMMYFUNCTION("""COMPUTED_VALUE"""),0.1041666666715173)</f>
        <v>0.1041666667</v>
      </c>
      <c r="H74" s="115">
        <f>IFERROR(__xludf.DUMMYFUNCTION("""COMPUTED_VALUE"""),72.0)</f>
        <v>72</v>
      </c>
      <c r="I74" s="112">
        <f>IFERROR(__xludf.DUMMYFUNCTION("""COMPUTED_VALUE"""),28.799999998658894)</f>
        <v>28.8</v>
      </c>
      <c r="J74" s="74" t="str">
        <f>IFERROR(__xludf.DUMMYFUNCTION("""COMPUTED_VALUE"""),"Dinner")</f>
        <v>Dinner</v>
      </c>
      <c r="K74" s="113">
        <f>IFERROR(__xludf.DUMMYFUNCTION("""COMPUTED_VALUE"""),45929.0)</f>
        <v>45929</v>
      </c>
      <c r="L74" s="74" t="str">
        <f>IFERROR(__xludf.DUMMYFUNCTION("""COMPUTED_VALUE"""),"Monday")</f>
        <v>Monday</v>
      </c>
      <c r="M74" s="74" t="str">
        <f>IFERROR(__xludf.DUMMYFUNCTION("""COMPUTED_VALUE"""),"MF")</f>
        <v>MF</v>
      </c>
      <c r="N74" s="114">
        <f>IFERROR(__xludf.DUMMYFUNCTION("""COMPUTED_VALUE"""),0.5675036012459851)</f>
        <v>0.5675036012</v>
      </c>
      <c r="O74" s="115" t="str">
        <f>IFERROR(__xludf.DUMMYFUNCTION("""COMPUTED_VALUE"""),"")</f>
        <v/>
      </c>
      <c r="P74" s="74" t="str">
        <f>IFERROR(__xludf.DUMMYFUNCTION("""COMPUTED_VALUE"""),"")</f>
        <v/>
      </c>
      <c r="Q74" s="92" t="str">
        <f>IFERROR(__xludf.DUMMYFUNCTION("""COMPUTED_VALUE"""),"")</f>
        <v/>
      </c>
      <c r="R74" s="92" t="str">
        <f>IFERROR(__xludf.DUMMYFUNCTION("""COMPUTED_VALUE"""),"")</f>
        <v/>
      </c>
      <c r="S74" s="63" t="str">
        <f>IFERROR(__xludf.DUMMYFUNCTION("""COMPUTED_VALUE"""),"")</f>
        <v/>
      </c>
      <c r="T74" s="63" t="str">
        <f>IFERROR(__xludf.DUMMYFUNCTION("""COMPUTED_VALUE"""),"")</f>
        <v/>
      </c>
      <c r="U74" s="116" t="str">
        <f>IFERROR(__xludf.DUMMYFUNCTION("""COMPUTED_VALUE"""),"")</f>
        <v/>
      </c>
      <c r="V74" s="92" t="str">
        <f>IFERROR(__xludf.DUMMYFUNCTION("""COMPUTED_VALUE"""),"")</f>
        <v/>
      </c>
      <c r="W74" s="64"/>
      <c r="X74" s="64" t="str">
        <f>IFERROR(__xludf.DUMMYFUNCTION("""COMPUTED_VALUE"""),"")</f>
        <v/>
      </c>
      <c r="Y74" s="114" t="str">
        <f>IFERROR(__xludf.DUMMYFUNCTION("""COMPUTED_VALUE"""),"")</f>
        <v/>
      </c>
      <c r="Z74" s="118" t="str">
        <f>IFERROR(__xludf.DUMMYFUNCTION("""COMPUTED_VALUE"""),"")</f>
        <v/>
      </c>
      <c r="AA74" s="118" t="str">
        <f>IFERROR(__xludf.DUMMYFUNCTION("""COMPUTED_VALUE"""),"")</f>
        <v/>
      </c>
      <c r="AB74" s="74" t="str">
        <f>IFERROR(__xludf.DUMMYFUNCTION("""COMPUTED_VALUE"""),"")</f>
        <v/>
      </c>
    </row>
    <row r="75">
      <c r="A75" s="109">
        <f>IFERROR(__xludf.DUMMYFUNCTION("""COMPUTED_VALUE"""),45929.86280107639)</f>
        <v>45929.8628</v>
      </c>
      <c r="B75" s="81" t="str">
        <f>IFERROR(__xludf.DUMMYFUNCTION("""COMPUTED_VALUE"""),"Kaylie Forgue")</f>
        <v>Kaylie Forgue</v>
      </c>
      <c r="C75" s="74" t="b">
        <f>IFERROR(__xludf.DUMMYFUNCTION("""COMPUTED_VALUE"""),FALSE)</f>
        <v>0</v>
      </c>
      <c r="D75" s="137">
        <f>IFERROR(__xludf.DUMMYFUNCTION("""COMPUTED_VALUE"""),0.6875)</f>
        <v>0.6875</v>
      </c>
      <c r="E75" s="82">
        <f>IFERROR(__xludf.DUMMYFUNCTION("""COMPUTED_VALUE"""),0.17013888889050577)</f>
        <v>0.1701388889</v>
      </c>
      <c r="F75" s="137">
        <f>IFERROR(__xludf.DUMMYFUNCTION("""COMPUTED_VALUE"""),0.8576388888905058)</f>
        <v>0.8576388889</v>
      </c>
      <c r="G75" s="82">
        <f>IFERROR(__xludf.DUMMYFUNCTION("""COMPUTED_VALUE"""),0.17013888889050577)</f>
        <v>0.1701388889</v>
      </c>
      <c r="H75" s="115">
        <f>IFERROR(__xludf.DUMMYFUNCTION("""COMPUTED_VALUE"""),174.0)</f>
        <v>174</v>
      </c>
      <c r="I75" s="112">
        <f>IFERROR(__xludf.DUMMYFUNCTION("""COMPUTED_VALUE"""),42.61224489755423)</f>
        <v>42.6122449</v>
      </c>
      <c r="J75" s="74" t="str">
        <f>IFERROR(__xludf.DUMMYFUNCTION("""COMPUTED_VALUE"""),"Dinner")</f>
        <v>Dinner</v>
      </c>
      <c r="K75" s="113">
        <f>IFERROR(__xludf.DUMMYFUNCTION("""COMPUTED_VALUE"""),45929.0)</f>
        <v>45929</v>
      </c>
      <c r="L75" s="74" t="str">
        <f>IFERROR(__xludf.DUMMYFUNCTION("""COMPUTED_VALUE"""),"Monday")</f>
        <v>Monday</v>
      </c>
      <c r="M75" s="74" t="str">
        <f>IFERROR(__xludf.DUMMYFUNCTION("""COMPUTED_VALUE"""),"BF")</f>
        <v>BF</v>
      </c>
      <c r="N75" s="114">
        <f>IFERROR(__xludf.DUMMYFUNCTION("""COMPUTED_VALUE"""),1.0056347003957662)</f>
        <v>1.0056347</v>
      </c>
      <c r="O75" s="115">
        <f>IFERROR(__xludf.DUMMYFUNCTION("""COMPUTED_VALUE"""),244.0)</f>
        <v>244</v>
      </c>
      <c r="P75" s="74">
        <f>IFERROR(__xludf.DUMMYFUNCTION("""COMPUTED_VALUE"""),434.0)</f>
        <v>434</v>
      </c>
      <c r="Q75" s="92">
        <f>IFERROR(__xludf.DUMMYFUNCTION("""COMPUTED_VALUE"""),0.25694444445252884)</f>
        <v>0.2569444445</v>
      </c>
      <c r="R75" s="92">
        <f>IFERROR(__xludf.DUMMYFUNCTION("""COMPUTED_VALUE"""),0.3215277777769694)</f>
        <v>0.3215277778</v>
      </c>
      <c r="S75" s="63">
        <f>IFERROR(__xludf.DUMMYFUNCTION("""COMPUTED_VALUE"""),39.6333333321554)</f>
        <v>39.63333333</v>
      </c>
      <c r="T75" s="63">
        <f>IFERROR(__xludf.DUMMYFUNCTION("""COMPUTED_VALUE"""),61.92675369810264)</f>
        <v>61.9267537</v>
      </c>
      <c r="U75" s="116">
        <f>IFERROR(__xludf.DUMMYFUNCTION("""COMPUTED_VALUE"""),678.0)</f>
        <v>678</v>
      </c>
      <c r="V75" s="92">
        <f>IFERROR(__xludf.DUMMYFUNCTION("""COMPUTED_VALUE"""),0.5784722222294982)</f>
        <v>0.5784722222</v>
      </c>
      <c r="W75" s="64">
        <f>IFERROR(__xludf.DUMMYFUNCTION("""COMPUTED_VALUE"""),48.83553421307122)</f>
        <v>48.83553421</v>
      </c>
      <c r="X75" s="64">
        <f>IFERROR(__xludf.DUMMYFUNCTION("""COMPUTED_VALUE"""),50.780043515129016)</f>
        <v>50.78004352</v>
      </c>
      <c r="Y75" s="114">
        <f>IFERROR(__xludf.DUMMYFUNCTION("""COMPUTED_VALUE"""),1.1268254785011442)</f>
        <v>1.126825479</v>
      </c>
      <c r="Z75" s="118">
        <f>IFERROR(__xludf.DUMMYFUNCTION("""COMPUTED_VALUE"""),4249.0)</f>
        <v>4249</v>
      </c>
      <c r="AA75" s="118">
        <f>IFERROR(__xludf.DUMMYFUNCTION("""COMPUTED_VALUE"""),4535.0)</f>
        <v>4535</v>
      </c>
      <c r="AB75" s="118">
        <f>IFERROR(__xludf.DUMMYFUNCTION("""COMPUTED_VALUE"""),8784.0)</f>
        <v>8784</v>
      </c>
    </row>
    <row r="76">
      <c r="A76" s="109">
        <f>IFERROR(__xludf.DUMMYFUNCTION("""COMPUTED_VALUE"""),45930.48107159723)</f>
        <v>45930.48107</v>
      </c>
      <c r="B76" s="81" t="str">
        <f>IFERROR(__xludf.DUMMYFUNCTION("""COMPUTED_VALUE"""),"Emmett Khan")</f>
        <v>Emmett Khan</v>
      </c>
      <c r="C76" s="74" t="b">
        <f>IFERROR(__xludf.DUMMYFUNCTION("""COMPUTED_VALUE"""),FALSE)</f>
        <v>0</v>
      </c>
      <c r="D76" s="137">
        <f>IFERROR(__xludf.DUMMYFUNCTION("""COMPUTED_VALUE"""),0.39583333333575865)</f>
        <v>0.3958333333</v>
      </c>
      <c r="E76" s="82">
        <f>IFERROR(__xludf.DUMMYFUNCTION("""COMPUTED_VALUE"""),0.0833333333284827)</f>
        <v>0.08333333333</v>
      </c>
      <c r="F76" s="137">
        <f>IFERROR(__xludf.DUMMYFUNCTION("""COMPUTED_VALUE"""),0.47916666666424135)</f>
        <v>0.4791666667</v>
      </c>
      <c r="G76" s="82">
        <f>IFERROR(__xludf.DUMMYFUNCTION("""COMPUTED_VALUE"""),0.0833333333284827)</f>
        <v>0.08333333333</v>
      </c>
      <c r="H76" s="115">
        <f>IFERROR(__xludf.DUMMYFUNCTION("""COMPUTED_VALUE"""),145.0)</f>
        <v>145</v>
      </c>
      <c r="I76" s="112">
        <f>IFERROR(__xludf.DUMMYFUNCTION("""COMPUTED_VALUE"""),72.50000000422006)</f>
        <v>72.5</v>
      </c>
      <c r="J76" s="74" t="str">
        <f>IFERROR(__xludf.DUMMYFUNCTION("""COMPUTED_VALUE"""),"Breakfast/Lunch")</f>
        <v>Breakfast/Lunch</v>
      </c>
      <c r="K76" s="113">
        <f>IFERROR(__xludf.DUMMYFUNCTION("""COMPUTED_VALUE"""),45930.0)</f>
        <v>45930</v>
      </c>
      <c r="L76" s="74" t="str">
        <f>IFERROR(__xludf.DUMMYFUNCTION("""COMPUTED_VALUE"""),"Tuesday")</f>
        <v>Tuesday</v>
      </c>
      <c r="M76" s="74" t="str">
        <f>IFERROR(__xludf.DUMMYFUNCTION("""COMPUTED_VALUE"""),"BF")</f>
        <v>BF</v>
      </c>
      <c r="N76" s="114">
        <f>IFERROR(__xludf.DUMMYFUNCTION("""COMPUTED_VALUE"""),1.273207137244001)</f>
        <v>1.273207137</v>
      </c>
      <c r="O76" s="115" t="str">
        <f>IFERROR(__xludf.DUMMYFUNCTION("""COMPUTED_VALUE"""),"")</f>
        <v/>
      </c>
      <c r="P76" s="74" t="str">
        <f>IFERROR(__xludf.DUMMYFUNCTION("""COMPUTED_VALUE"""),"")</f>
        <v/>
      </c>
      <c r="Q76" s="92" t="str">
        <f>IFERROR(__xludf.DUMMYFUNCTION("""COMPUTED_VALUE"""),"")</f>
        <v/>
      </c>
      <c r="R76" s="92" t="str">
        <f>IFERROR(__xludf.DUMMYFUNCTION("""COMPUTED_VALUE"""),"")</f>
        <v/>
      </c>
      <c r="S76" s="63" t="str">
        <f>IFERROR(__xludf.DUMMYFUNCTION("""COMPUTED_VALUE"""),"")</f>
        <v/>
      </c>
      <c r="T76" s="63" t="str">
        <f>IFERROR(__xludf.DUMMYFUNCTION("""COMPUTED_VALUE"""),"")</f>
        <v/>
      </c>
      <c r="U76" s="116" t="str">
        <f>IFERROR(__xludf.DUMMYFUNCTION("""COMPUTED_VALUE"""),"")</f>
        <v/>
      </c>
      <c r="V76" s="92" t="str">
        <f>IFERROR(__xludf.DUMMYFUNCTION("""COMPUTED_VALUE"""),"")</f>
        <v/>
      </c>
      <c r="W76" s="64" t="str">
        <f>IFERROR(__xludf.DUMMYFUNCTION("""COMPUTED_VALUE"""),"")</f>
        <v/>
      </c>
      <c r="X76" s="64" t="str">
        <f>IFERROR(__xludf.DUMMYFUNCTION("""COMPUTED_VALUE"""),"")</f>
        <v/>
      </c>
      <c r="Y76" s="114" t="str">
        <f>IFERROR(__xludf.DUMMYFUNCTION("""COMPUTED_VALUE"""),"")</f>
        <v/>
      </c>
      <c r="Z76" s="118" t="str">
        <f>IFERROR(__xludf.DUMMYFUNCTION("""COMPUTED_VALUE"""),"")</f>
        <v/>
      </c>
      <c r="AA76" s="118" t="str">
        <f>IFERROR(__xludf.DUMMYFUNCTION("""COMPUTED_VALUE"""),"")</f>
        <v/>
      </c>
      <c r="AB76" s="74" t="str">
        <f>IFERROR(__xludf.DUMMYFUNCTION("""COMPUTED_VALUE"""),"")</f>
        <v/>
      </c>
    </row>
    <row r="77">
      <c r="A77" s="109">
        <f>IFERROR(__xludf.DUMMYFUNCTION("""COMPUTED_VALUE"""),45930.63410646991)</f>
        <v>45930.63411</v>
      </c>
      <c r="B77" s="81" t="str">
        <f>IFERROR(__xludf.DUMMYFUNCTION("""COMPUTED_VALUE"""),"Maureen Surgot")</f>
        <v>Maureen Surgot</v>
      </c>
      <c r="C77" s="74" t="b">
        <f>IFERROR(__xludf.DUMMYFUNCTION("""COMPUTED_VALUE"""),FALSE)</f>
        <v>0</v>
      </c>
      <c r="D77" s="137">
        <f>IFERROR(__xludf.DUMMYFUNCTION("""COMPUTED_VALUE"""),0.47916666666424135)</f>
        <v>0.4791666667</v>
      </c>
      <c r="E77" s="82">
        <f>IFERROR(__xludf.DUMMYFUNCTION("""COMPUTED_VALUE"""),0.15625)</f>
        <v>0.15625</v>
      </c>
      <c r="F77" s="137">
        <f>IFERROR(__xludf.DUMMYFUNCTION("""COMPUTED_VALUE"""),0.6354166666642413)</f>
        <v>0.6354166667</v>
      </c>
      <c r="G77" s="82">
        <f>IFERROR(__xludf.DUMMYFUNCTION("""COMPUTED_VALUE"""),0.15625)</f>
        <v>0.15625</v>
      </c>
      <c r="H77" s="115">
        <f>IFERROR(__xludf.DUMMYFUNCTION("""COMPUTED_VALUE"""),154.0)</f>
        <v>154</v>
      </c>
      <c r="I77" s="112">
        <f>IFERROR(__xludf.DUMMYFUNCTION("""COMPUTED_VALUE"""),41.06666666666667)</f>
        <v>41.06666667</v>
      </c>
      <c r="J77" s="74" t="str">
        <f>IFERROR(__xludf.DUMMYFUNCTION("""COMPUTED_VALUE"""),"Lunch")</f>
        <v>Lunch</v>
      </c>
      <c r="K77" s="113">
        <f>IFERROR(__xludf.DUMMYFUNCTION("""COMPUTED_VALUE"""),45930.0)</f>
        <v>45930</v>
      </c>
      <c r="L77" s="74" t="str">
        <f>IFERROR(__xludf.DUMMYFUNCTION("""COMPUTED_VALUE"""),"Tuesday")</f>
        <v>Tuesday</v>
      </c>
      <c r="M77" s="74" t="str">
        <f>IFERROR(__xludf.DUMMYFUNCTION("""COMPUTED_VALUE"""),"MF")</f>
        <v>MF</v>
      </c>
      <c r="N77" s="114">
        <f>IFERROR(__xludf.DUMMYFUNCTION("""COMPUTED_VALUE"""),0.8539748953778528)</f>
        <v>0.8539748954</v>
      </c>
      <c r="O77" s="74" t="str">
        <f>IFERROR(__xludf.DUMMYFUNCTION("""COMPUTED_VALUE"""),"")</f>
        <v/>
      </c>
      <c r="P77" s="74" t="str">
        <f>IFERROR(__xludf.DUMMYFUNCTION("""COMPUTED_VALUE"""),"")</f>
        <v/>
      </c>
      <c r="Q77" s="92" t="str">
        <f>IFERROR(__xludf.DUMMYFUNCTION("""COMPUTED_VALUE"""),"")</f>
        <v/>
      </c>
      <c r="R77" s="92" t="str">
        <f>IFERROR(__xludf.DUMMYFUNCTION("""COMPUTED_VALUE"""),"")</f>
        <v/>
      </c>
      <c r="S77" s="63" t="str">
        <f>IFERROR(__xludf.DUMMYFUNCTION("""COMPUTED_VALUE"""),"")</f>
        <v/>
      </c>
      <c r="T77" s="63" t="str">
        <f>IFERROR(__xludf.DUMMYFUNCTION("""COMPUTED_VALUE"""),"")</f>
        <v/>
      </c>
      <c r="U77" s="116" t="str">
        <f>IFERROR(__xludf.DUMMYFUNCTION("""COMPUTED_VALUE"""),"")</f>
        <v/>
      </c>
      <c r="V77" s="92" t="str">
        <f>IFERROR(__xludf.DUMMYFUNCTION("""COMPUTED_VALUE"""),"")</f>
        <v/>
      </c>
      <c r="W77" s="64" t="str">
        <f>IFERROR(__xludf.DUMMYFUNCTION("""COMPUTED_VALUE"""),"")</f>
        <v/>
      </c>
      <c r="X77" s="64" t="str">
        <f>IFERROR(__xludf.DUMMYFUNCTION("""COMPUTED_VALUE"""),"")</f>
        <v/>
      </c>
      <c r="Y77" s="114" t="str">
        <f>IFERROR(__xludf.DUMMYFUNCTION("""COMPUTED_VALUE"""),"")</f>
        <v/>
      </c>
      <c r="Z77" s="118" t="str">
        <f>IFERROR(__xludf.DUMMYFUNCTION("""COMPUTED_VALUE"""),"")</f>
        <v/>
      </c>
      <c r="AA77" s="118" t="str">
        <f>IFERROR(__xludf.DUMMYFUNCTION("""COMPUTED_VALUE"""),"")</f>
        <v/>
      </c>
      <c r="AB77" s="74" t="str">
        <f>IFERROR(__xludf.DUMMYFUNCTION("""COMPUTED_VALUE"""),"")</f>
        <v/>
      </c>
    </row>
    <row r="78">
      <c r="A78" s="109">
        <f>IFERROR(__xludf.DUMMYFUNCTION("""COMPUTED_VALUE"""),45930.656473379626)</f>
        <v>45930.65647</v>
      </c>
      <c r="B78" s="81" t="str">
        <f>IFERROR(__xludf.DUMMYFUNCTION("""COMPUTED_VALUE"""),"Brynn Hornig")</f>
        <v>Brynn Hornig</v>
      </c>
      <c r="C78" s="74" t="b">
        <f>IFERROR(__xludf.DUMMYFUNCTION("""COMPUTED_VALUE"""),FALSE)</f>
        <v>0</v>
      </c>
      <c r="D78" s="137">
        <f>IFERROR(__xludf.DUMMYFUNCTION("""COMPUTED_VALUE"""),0.5208333333357587)</f>
        <v>0.5208333333</v>
      </c>
      <c r="E78" s="82">
        <f>IFERROR(__xludf.DUMMYFUNCTION("""COMPUTED_VALUE"""),0.13541666666424135)</f>
        <v>0.1354166667</v>
      </c>
      <c r="F78" s="137">
        <f>IFERROR(__xludf.DUMMYFUNCTION("""COMPUTED_VALUE"""),0.65625)</f>
        <v>0.65625</v>
      </c>
      <c r="G78" s="82">
        <f>IFERROR(__xludf.DUMMYFUNCTION("""COMPUTED_VALUE"""),0.13541666666424135)</f>
        <v>0.1354166667</v>
      </c>
      <c r="H78" s="115">
        <f>IFERROR(__xludf.DUMMYFUNCTION("""COMPUTED_VALUE"""),87.0)</f>
        <v>87</v>
      </c>
      <c r="I78" s="112">
        <f>IFERROR(__xludf.DUMMYFUNCTION("""COMPUTED_VALUE"""),26.76923076971021)</f>
        <v>26.76923077</v>
      </c>
      <c r="J78" s="54" t="str">
        <f>IFERROR(__xludf.DUMMYFUNCTION("""COMPUTED_VALUE"""),"Lunch")</f>
        <v>Lunch</v>
      </c>
      <c r="K78" s="54">
        <f>IFERROR(__xludf.DUMMYFUNCTION("""COMPUTED_VALUE"""),45930.0)</f>
        <v>45930</v>
      </c>
      <c r="L78" s="74" t="str">
        <f>IFERROR(__xludf.DUMMYFUNCTION("""COMPUTED_VALUE"""),"Tuesday")</f>
        <v>Tuesday</v>
      </c>
      <c r="M78" s="74" t="str">
        <f>IFERROR(__xludf.DUMMYFUNCTION("""COMPUTED_VALUE"""),"BF")</f>
        <v>BF</v>
      </c>
      <c r="N78" s="114">
        <f>IFERROR(__xludf.DUMMYFUNCTION("""COMPUTED_VALUE"""),0.6893825850440358)</f>
        <v>0.689382585</v>
      </c>
      <c r="O78" s="115" t="str">
        <f>IFERROR(__xludf.DUMMYFUNCTION("""COMPUTED_VALUE"""),"")</f>
        <v/>
      </c>
      <c r="P78" s="74" t="str">
        <f>IFERROR(__xludf.DUMMYFUNCTION("""COMPUTED_VALUE"""),"")</f>
        <v/>
      </c>
      <c r="Q78" s="92" t="str">
        <f>IFERROR(__xludf.DUMMYFUNCTION("""COMPUTED_VALUE"""),"")</f>
        <v/>
      </c>
      <c r="R78" s="92" t="str">
        <f>IFERROR(__xludf.DUMMYFUNCTION("""COMPUTED_VALUE"""),"")</f>
        <v/>
      </c>
      <c r="S78" s="63" t="str">
        <f>IFERROR(__xludf.DUMMYFUNCTION("""COMPUTED_VALUE"""),"")</f>
        <v/>
      </c>
      <c r="T78" s="63" t="str">
        <f>IFERROR(__xludf.DUMMYFUNCTION("""COMPUTED_VALUE"""),"")</f>
        <v/>
      </c>
      <c r="U78" s="116" t="str">
        <f>IFERROR(__xludf.DUMMYFUNCTION("""COMPUTED_VALUE"""),"")</f>
        <v/>
      </c>
      <c r="V78" s="92" t="str">
        <f>IFERROR(__xludf.DUMMYFUNCTION("""COMPUTED_VALUE"""),"")</f>
        <v/>
      </c>
      <c r="W78" s="64" t="str">
        <f>IFERROR(__xludf.DUMMYFUNCTION("""COMPUTED_VALUE"""),"")</f>
        <v/>
      </c>
      <c r="X78" s="64" t="str">
        <f>IFERROR(__xludf.DUMMYFUNCTION("""COMPUTED_VALUE"""),"")</f>
        <v/>
      </c>
      <c r="Y78" s="114" t="str">
        <f>IFERROR(__xludf.DUMMYFUNCTION("""COMPUTED_VALUE"""),"")</f>
        <v/>
      </c>
      <c r="Z78" s="118" t="str">
        <f>IFERROR(__xludf.DUMMYFUNCTION("""COMPUTED_VALUE"""),"")</f>
        <v/>
      </c>
      <c r="AA78" s="118" t="str">
        <f>IFERROR(__xludf.DUMMYFUNCTION("""COMPUTED_VALUE"""),"")</f>
        <v/>
      </c>
      <c r="AB78" s="74" t="str">
        <f>IFERROR(__xludf.DUMMYFUNCTION("""COMPUTED_VALUE"""),"")</f>
        <v/>
      </c>
    </row>
    <row r="79">
      <c r="A79" s="109">
        <f>IFERROR(__xludf.DUMMYFUNCTION("""COMPUTED_VALUE"""),45930.834974513884)</f>
        <v>45930.83497</v>
      </c>
      <c r="B79" s="81" t="str">
        <f>IFERROR(__xludf.DUMMYFUNCTION("""COMPUTED_VALUE"""),"Leisly Aceituno")</f>
        <v>Leisly Aceituno</v>
      </c>
      <c r="C79" s="74" t="b">
        <f>IFERROR(__xludf.DUMMYFUNCTION("""COMPUTED_VALUE"""),FALSE)</f>
        <v>0</v>
      </c>
      <c r="D79" s="137">
        <f>IFERROR(__xludf.DUMMYFUNCTION("""COMPUTED_VALUE"""),0.7083333333357587)</f>
        <v>0.7083333333</v>
      </c>
      <c r="E79" s="82">
        <f>IFERROR(__xludf.DUMMYFUNCTION("""COMPUTED_VALUE"""),0.04166666666424135)</f>
        <v>0.04166666666</v>
      </c>
      <c r="F79" s="137">
        <f>IFERROR(__xludf.DUMMYFUNCTION("""COMPUTED_VALUE"""),0.75)</f>
        <v>0.75</v>
      </c>
      <c r="G79" s="82">
        <f>IFERROR(__xludf.DUMMYFUNCTION("""COMPUTED_VALUE"""),0.04166666666424135)</f>
        <v>0.04166666666</v>
      </c>
      <c r="H79" s="115">
        <f>IFERROR(__xludf.DUMMYFUNCTION("""COMPUTED_VALUE"""),76.0)</f>
        <v>76</v>
      </c>
      <c r="I79" s="112">
        <f>IFERROR(__xludf.DUMMYFUNCTION("""COMPUTED_VALUE"""),76.00000000442378)</f>
        <v>76</v>
      </c>
      <c r="J79" s="74" t="str">
        <f>IFERROR(__xludf.DUMMYFUNCTION("""COMPUTED_VALUE"""),"Dinner")</f>
        <v>Dinner</v>
      </c>
      <c r="K79" s="113">
        <f>IFERROR(__xludf.DUMMYFUNCTION("""COMPUTED_VALUE"""),45930.0)</f>
        <v>45930</v>
      </c>
      <c r="L79" s="74" t="str">
        <f>IFERROR(__xludf.DUMMYFUNCTION("""COMPUTED_VALUE"""),"Tuesday")</f>
        <v>Tuesday</v>
      </c>
      <c r="M79" s="74" t="str">
        <f>IFERROR(__xludf.DUMMYFUNCTION("""COMPUTED_VALUE"""),"MF")</f>
        <v>MF</v>
      </c>
      <c r="N79" s="114">
        <f>IFERROR(__xludf.DUMMYFUNCTION("""COMPUTED_VALUE"""),1.4975789478893677)</f>
        <v>1.497578948</v>
      </c>
      <c r="O79" s="115" t="str">
        <f>IFERROR(__xludf.DUMMYFUNCTION("""COMPUTED_VALUE"""),"")</f>
        <v/>
      </c>
      <c r="P79" s="74" t="str">
        <f>IFERROR(__xludf.DUMMYFUNCTION("""COMPUTED_VALUE"""),"")</f>
        <v/>
      </c>
      <c r="Q79" s="92" t="str">
        <f>IFERROR(__xludf.DUMMYFUNCTION("""COMPUTED_VALUE"""),"")</f>
        <v/>
      </c>
      <c r="R79" s="92" t="str">
        <f>IFERROR(__xludf.DUMMYFUNCTION("""COMPUTED_VALUE"""),"")</f>
        <v/>
      </c>
      <c r="S79" s="63" t="str">
        <f>IFERROR(__xludf.DUMMYFUNCTION("""COMPUTED_VALUE"""),"")</f>
        <v/>
      </c>
      <c r="T79" s="63" t="str">
        <f>IFERROR(__xludf.DUMMYFUNCTION("""COMPUTED_VALUE"""),"")</f>
        <v/>
      </c>
      <c r="U79" s="116" t="str">
        <f>IFERROR(__xludf.DUMMYFUNCTION("""COMPUTED_VALUE"""),"")</f>
        <v/>
      </c>
      <c r="V79" s="92" t="str">
        <f>IFERROR(__xludf.DUMMYFUNCTION("""COMPUTED_VALUE"""),"")</f>
        <v/>
      </c>
      <c r="W79" s="64" t="str">
        <f>IFERROR(__xludf.DUMMYFUNCTION("""COMPUTED_VALUE"""),"")</f>
        <v/>
      </c>
      <c r="X79" s="64" t="str">
        <f>IFERROR(__xludf.DUMMYFUNCTION("""COMPUTED_VALUE"""),"")</f>
        <v/>
      </c>
      <c r="Y79" s="114" t="str">
        <f>IFERROR(__xludf.DUMMYFUNCTION("""COMPUTED_VALUE"""),"")</f>
        <v/>
      </c>
      <c r="Z79" s="118" t="str">
        <f>IFERROR(__xludf.DUMMYFUNCTION("""COMPUTED_VALUE"""),"")</f>
        <v/>
      </c>
      <c r="AA79" s="118" t="str">
        <f>IFERROR(__xludf.DUMMYFUNCTION("""COMPUTED_VALUE"""),"")</f>
        <v/>
      </c>
      <c r="AB79" s="74" t="str">
        <f>IFERROR(__xludf.DUMMYFUNCTION("""COMPUTED_VALUE"""),"")</f>
        <v/>
      </c>
    </row>
    <row r="80">
      <c r="A80" s="109">
        <f>IFERROR(__xludf.DUMMYFUNCTION("""COMPUTED_VALUE"""),45930.86365579861)</f>
        <v>45930.86366</v>
      </c>
      <c r="B80" s="81" t="str">
        <f>IFERROR(__xludf.DUMMYFUNCTION("""COMPUTED_VALUE"""),"Kaylie Forgue")</f>
        <v>Kaylie Forgue</v>
      </c>
      <c r="C80" s="74" t="b">
        <f>IFERROR(__xludf.DUMMYFUNCTION("""COMPUTED_VALUE"""),FALSE)</f>
        <v>0</v>
      </c>
      <c r="D80" s="137">
        <f>IFERROR(__xludf.DUMMYFUNCTION("""COMPUTED_VALUE"""),0.7881944444452529)</f>
        <v>0.7881944444</v>
      </c>
      <c r="E80" s="82">
        <f>IFERROR(__xludf.DUMMYFUNCTION("""COMPUTED_VALUE"""),0.07291666666424135)</f>
        <v>0.07291666666</v>
      </c>
      <c r="F80" s="137">
        <f>IFERROR(__xludf.DUMMYFUNCTION("""COMPUTED_VALUE"""),0.8611111111094942)</f>
        <v>0.8611111111</v>
      </c>
      <c r="G80" s="82">
        <f>IFERROR(__xludf.DUMMYFUNCTION("""COMPUTED_VALUE"""),0.07291666666424135)</f>
        <v>0.07291666666</v>
      </c>
      <c r="H80" s="115">
        <f>IFERROR(__xludf.DUMMYFUNCTION("""COMPUTED_VALUE"""),81.0)</f>
        <v>81</v>
      </c>
      <c r="I80" s="112">
        <f>IFERROR(__xludf.DUMMYFUNCTION("""COMPUTED_VALUE"""),46.28571428725382)</f>
        <v>46.28571429</v>
      </c>
      <c r="J80" s="74" t="str">
        <f>IFERROR(__xludf.DUMMYFUNCTION("""COMPUTED_VALUE"""),"Dinner")</f>
        <v>Dinner</v>
      </c>
      <c r="K80" s="113">
        <f>IFERROR(__xludf.DUMMYFUNCTION("""COMPUTED_VALUE"""),45930.0)</f>
        <v>45930</v>
      </c>
      <c r="L80" s="74" t="str">
        <f>IFERROR(__xludf.DUMMYFUNCTION("""COMPUTED_VALUE"""),"Tuesday")</f>
        <v>Tuesday</v>
      </c>
      <c r="M80" s="74" t="str">
        <f>IFERROR(__xludf.DUMMYFUNCTION("""COMPUTED_VALUE"""),"BF")</f>
        <v>BF</v>
      </c>
      <c r="N80" s="114">
        <f>IFERROR(__xludf.DUMMYFUNCTION("""COMPUTED_VALUE"""),1.0923273470283212)</f>
        <v>1.092327347</v>
      </c>
      <c r="O80" s="115">
        <f>IFERROR(__xludf.DUMMYFUNCTION("""COMPUTED_VALUE"""),230.0)</f>
        <v>230</v>
      </c>
      <c r="P80" s="74">
        <f>IFERROR(__xludf.DUMMYFUNCTION("""COMPUTED_VALUE"""),313.0)</f>
        <v>313</v>
      </c>
      <c r="Q80" s="92">
        <f>IFERROR(__xludf.DUMMYFUNCTION("""COMPUTED_VALUE"""),0.19791666666424135)</f>
        <v>0.1979166667</v>
      </c>
      <c r="R80" s="92">
        <f>IFERROR(__xludf.DUMMYFUNCTION("""COMPUTED_VALUE"""),0.2916666666569654)</f>
        <v>0.2916666667</v>
      </c>
      <c r="S80" s="63">
        <f>IFERROR(__xludf.DUMMYFUNCTION("""COMPUTED_VALUE"""),58.53333333554522)</f>
        <v>58.53333334</v>
      </c>
      <c r="T80" s="63">
        <f>IFERROR(__xludf.DUMMYFUNCTION("""COMPUTED_VALUE"""),48.51831502039469)</f>
        <v>48.51831502</v>
      </c>
      <c r="U80" s="116">
        <f>IFERROR(__xludf.DUMMYFUNCTION("""COMPUTED_VALUE"""),543.0)</f>
        <v>543</v>
      </c>
      <c r="V80" s="92">
        <f>IFERROR(__xludf.DUMMYFUNCTION("""COMPUTED_VALUE"""),0.48958333332120674)</f>
        <v>0.4895833333</v>
      </c>
      <c r="W80" s="64">
        <f>IFERROR(__xludf.DUMMYFUNCTION("""COMPUTED_VALUE"""),46.21276595859146)</f>
        <v>46.21276596</v>
      </c>
      <c r="X80" s="64">
        <f>IFERROR(__xludf.DUMMYFUNCTION("""COMPUTED_VALUE"""),52.5243223464549)</f>
        <v>52.52432235</v>
      </c>
      <c r="Y80" s="114">
        <f>IFERROR(__xludf.DUMMYFUNCTION("""COMPUTED_VALUE"""),1.0764030898893155)</f>
        <v>1.07640309</v>
      </c>
      <c r="Z80" s="118">
        <f>IFERROR(__xludf.DUMMYFUNCTION("""COMPUTED_VALUE"""),4587.0)</f>
        <v>4587</v>
      </c>
      <c r="AA80" s="118">
        <f>IFERROR(__xludf.DUMMYFUNCTION("""COMPUTED_VALUE"""),3747.0)</f>
        <v>3747</v>
      </c>
      <c r="AB80" s="118">
        <f>IFERROR(__xludf.DUMMYFUNCTION("""COMPUTED_VALUE"""),8334.0)</f>
        <v>8334</v>
      </c>
    </row>
    <row r="81">
      <c r="A81" s="109">
        <f>IFERROR(__xludf.DUMMYFUNCTION("""COMPUTED_VALUE"""),45931.63286474537)</f>
        <v>45931.63286</v>
      </c>
      <c r="B81" s="81" t="str">
        <f>IFERROR(__xludf.DUMMYFUNCTION("""COMPUTED_VALUE"""),"Greta Traynor")</f>
        <v>Greta Traynor</v>
      </c>
      <c r="C81" s="74" t="b">
        <f>IFERROR(__xludf.DUMMYFUNCTION("""COMPUTED_VALUE"""),FALSE)</f>
        <v>0</v>
      </c>
      <c r="D81" s="137">
        <f>IFERROR(__xludf.DUMMYFUNCTION("""COMPUTED_VALUE"""),0.5652777777795563)</f>
        <v>0.5652777778</v>
      </c>
      <c r="E81" s="82">
        <f>IFERROR(__xludf.DUMMYFUNCTION("""COMPUTED_VALUE"""),0.06666666666569654)</f>
        <v>0.06666666667</v>
      </c>
      <c r="F81" s="137">
        <f>IFERROR(__xludf.DUMMYFUNCTION("""COMPUTED_VALUE"""),0.6319444444452529)</f>
        <v>0.6319444444</v>
      </c>
      <c r="G81" s="82">
        <f>IFERROR(__xludf.DUMMYFUNCTION("""COMPUTED_VALUE"""),0.06666666666569654)</f>
        <v>0.06666666667</v>
      </c>
      <c r="H81" s="115">
        <f>IFERROR(__xludf.DUMMYFUNCTION("""COMPUTED_VALUE"""),65.0)</f>
        <v>65</v>
      </c>
      <c r="I81" s="112">
        <f>IFERROR(__xludf.DUMMYFUNCTION("""COMPUTED_VALUE"""),40.62500000059117)</f>
        <v>40.625</v>
      </c>
      <c r="J81" s="74" t="str">
        <f>IFERROR(__xludf.DUMMYFUNCTION("""COMPUTED_VALUE"""),"Lunch")</f>
        <v>Lunch</v>
      </c>
      <c r="K81" s="113">
        <f>IFERROR(__xludf.DUMMYFUNCTION("""COMPUTED_VALUE"""),45931.0)</f>
        <v>45931</v>
      </c>
      <c r="L81" s="74" t="str">
        <f>IFERROR(__xludf.DUMMYFUNCTION("""COMPUTED_VALUE"""),"Wednesday")</f>
        <v>Wednesday</v>
      </c>
      <c r="M81" s="74" t="str">
        <f>IFERROR(__xludf.DUMMYFUNCTION("""COMPUTED_VALUE"""),"MF")</f>
        <v>MF</v>
      </c>
      <c r="N81" s="114">
        <f>IFERROR(__xludf.DUMMYFUNCTION("""COMPUTED_VALUE"""),0.8447905062961878)</f>
        <v>0.8447905063</v>
      </c>
      <c r="O81" s="115" t="str">
        <f>IFERROR(__xludf.DUMMYFUNCTION("""COMPUTED_VALUE"""),"")</f>
        <v/>
      </c>
      <c r="P81" s="74" t="str">
        <f>IFERROR(__xludf.DUMMYFUNCTION("""COMPUTED_VALUE"""),"")</f>
        <v/>
      </c>
      <c r="Q81" s="92" t="str">
        <f>IFERROR(__xludf.DUMMYFUNCTION("""COMPUTED_VALUE"""),"")</f>
        <v/>
      </c>
      <c r="R81" s="92" t="str">
        <f>IFERROR(__xludf.DUMMYFUNCTION("""COMPUTED_VALUE"""),"")</f>
        <v/>
      </c>
      <c r="S81" s="63" t="str">
        <f>IFERROR(__xludf.DUMMYFUNCTION("""COMPUTED_VALUE"""),"")</f>
        <v/>
      </c>
      <c r="T81" s="63" t="str">
        <f>IFERROR(__xludf.DUMMYFUNCTION("""COMPUTED_VALUE"""),"")</f>
        <v/>
      </c>
      <c r="U81" s="116" t="str">
        <f>IFERROR(__xludf.DUMMYFUNCTION("""COMPUTED_VALUE"""),"")</f>
        <v/>
      </c>
      <c r="V81" s="92" t="str">
        <f>IFERROR(__xludf.DUMMYFUNCTION("""COMPUTED_VALUE"""),"")</f>
        <v/>
      </c>
      <c r="W81" s="64" t="str">
        <f>IFERROR(__xludf.DUMMYFUNCTION("""COMPUTED_VALUE"""),"")</f>
        <v/>
      </c>
      <c r="X81" s="64" t="str">
        <f>IFERROR(__xludf.DUMMYFUNCTION("""COMPUTED_VALUE"""),"")</f>
        <v/>
      </c>
      <c r="Y81" s="114" t="str">
        <f>IFERROR(__xludf.DUMMYFUNCTION("""COMPUTED_VALUE"""),"")</f>
        <v/>
      </c>
      <c r="Z81" s="118" t="str">
        <f>IFERROR(__xludf.DUMMYFUNCTION("""COMPUTED_VALUE"""),"")</f>
        <v/>
      </c>
      <c r="AA81" s="118" t="str">
        <f>IFERROR(__xludf.DUMMYFUNCTION("""COMPUTED_VALUE"""),"")</f>
        <v/>
      </c>
      <c r="AB81" s="74" t="str">
        <f>IFERROR(__xludf.DUMMYFUNCTION("""COMPUTED_VALUE"""),"")</f>
        <v/>
      </c>
    </row>
    <row r="82">
      <c r="A82" s="109">
        <f>IFERROR(__xludf.DUMMYFUNCTION("""COMPUTED_VALUE"""),45931.71469287037)</f>
        <v>45931.71469</v>
      </c>
      <c r="B82" s="81" t="str">
        <f>IFERROR(__xludf.DUMMYFUNCTION("""COMPUTED_VALUE"""),"Orpheus Wilson")</f>
        <v>Orpheus Wilson</v>
      </c>
      <c r="C82" s="74" t="b">
        <f>IFERROR(__xludf.DUMMYFUNCTION("""COMPUTED_VALUE"""),FALSE)</f>
        <v>0</v>
      </c>
      <c r="D82" s="137">
        <f>IFERROR(__xludf.DUMMYFUNCTION("""COMPUTED_VALUE"""),0.6909722222189885)</f>
        <v>0.6909722222</v>
      </c>
      <c r="E82" s="82">
        <f>IFERROR(__xludf.DUMMYFUNCTION("""COMPUTED_VALUE"""),0.022916666668606922)</f>
        <v>0.02291666667</v>
      </c>
      <c r="F82" s="137">
        <f>IFERROR(__xludf.DUMMYFUNCTION("""COMPUTED_VALUE"""),0.7138888888875954)</f>
        <v>0.7138888889</v>
      </c>
      <c r="G82" s="82">
        <f>IFERROR(__xludf.DUMMYFUNCTION("""COMPUTED_VALUE"""),0.05208333333575865)</f>
        <v>0.05208333334</v>
      </c>
      <c r="H82" s="115">
        <f>IFERROR(__xludf.DUMMYFUNCTION("""COMPUTED_VALUE"""),34.0)</f>
        <v>34</v>
      </c>
      <c r="I82" s="112">
        <f>IFERROR(__xludf.DUMMYFUNCTION("""COMPUTED_VALUE"""),27.1999999987334)</f>
        <v>27.2</v>
      </c>
      <c r="J82" s="74" t="str">
        <f>IFERROR(__xludf.DUMMYFUNCTION("""COMPUTED_VALUE"""),"Dinner")</f>
        <v>Dinner</v>
      </c>
      <c r="K82" s="113">
        <f>IFERROR(__xludf.DUMMYFUNCTION("""COMPUTED_VALUE"""),45931.0)</f>
        <v>45931</v>
      </c>
      <c r="L82" s="74" t="str">
        <f>IFERROR(__xludf.DUMMYFUNCTION("""COMPUTED_VALUE"""),"Wednesday")</f>
        <v>Wednesday</v>
      </c>
      <c r="M82" s="74" t="str">
        <f>IFERROR(__xludf.DUMMYFUNCTION("""COMPUTED_VALUE"""),"MF")</f>
        <v>MF</v>
      </c>
      <c r="N82" s="114">
        <f>IFERROR(__xludf.DUMMYFUNCTION("""COMPUTED_VALUE"""),0.5359756233989859)</f>
        <v>0.5359756234</v>
      </c>
      <c r="O82" s="115" t="str">
        <f>IFERROR(__xludf.DUMMYFUNCTION("""COMPUTED_VALUE"""),"")</f>
        <v/>
      </c>
      <c r="P82" s="74" t="str">
        <f>IFERROR(__xludf.DUMMYFUNCTION("""COMPUTED_VALUE"""),"")</f>
        <v/>
      </c>
      <c r="Q82" s="92" t="str">
        <f>IFERROR(__xludf.DUMMYFUNCTION("""COMPUTED_VALUE"""),"")</f>
        <v/>
      </c>
      <c r="R82" s="92" t="str">
        <f>IFERROR(__xludf.DUMMYFUNCTION("""COMPUTED_VALUE"""),"")</f>
        <v/>
      </c>
      <c r="S82" s="63" t="str">
        <f>IFERROR(__xludf.DUMMYFUNCTION("""COMPUTED_VALUE"""),"")</f>
        <v/>
      </c>
      <c r="T82" s="63" t="str">
        <f>IFERROR(__xludf.DUMMYFUNCTION("""COMPUTED_VALUE"""),"")</f>
        <v/>
      </c>
      <c r="U82" s="116" t="str">
        <f>IFERROR(__xludf.DUMMYFUNCTION("""COMPUTED_VALUE"""),"")</f>
        <v/>
      </c>
      <c r="V82" s="92" t="str">
        <f>IFERROR(__xludf.DUMMYFUNCTION("""COMPUTED_VALUE"""),"")</f>
        <v/>
      </c>
      <c r="W82" s="64" t="str">
        <f>IFERROR(__xludf.DUMMYFUNCTION("""COMPUTED_VALUE"""),"")</f>
        <v/>
      </c>
      <c r="X82" s="64" t="str">
        <f>IFERROR(__xludf.DUMMYFUNCTION("""COMPUTED_VALUE"""),"")</f>
        <v/>
      </c>
      <c r="Y82" s="114" t="str">
        <f>IFERROR(__xludf.DUMMYFUNCTION("""COMPUTED_VALUE"""),"")</f>
        <v/>
      </c>
      <c r="Z82" s="118" t="str">
        <f>IFERROR(__xludf.DUMMYFUNCTION("""COMPUTED_VALUE"""),"")</f>
        <v/>
      </c>
      <c r="AA82" s="118" t="str">
        <f>IFERROR(__xludf.DUMMYFUNCTION("""COMPUTED_VALUE"""),"")</f>
        <v/>
      </c>
      <c r="AB82" s="74" t="str">
        <f>IFERROR(__xludf.DUMMYFUNCTION("""COMPUTED_VALUE"""),"")</f>
        <v/>
      </c>
    </row>
    <row r="83">
      <c r="A83" s="109">
        <f>IFERROR(__xludf.DUMMYFUNCTION("""COMPUTED_VALUE"""),45931.74758456019)</f>
        <v>45931.74758</v>
      </c>
      <c r="B83" s="81" t="str">
        <f>IFERROR(__xludf.DUMMYFUNCTION("""COMPUTED_VALUE"""),"Orpheus Wilson")</f>
        <v>Orpheus Wilson</v>
      </c>
      <c r="C83" s="74" t="b">
        <f>IFERROR(__xludf.DUMMYFUNCTION("""COMPUTED_VALUE"""),TRUE)</f>
        <v>1</v>
      </c>
      <c r="D83" s="137">
        <f>IFERROR(__xludf.DUMMYFUNCTION("""COMPUTED_VALUE"""),0.7180555555532919)</f>
        <v>0.7180555556</v>
      </c>
      <c r="E83" s="82">
        <f>IFERROR(__xludf.DUMMYFUNCTION("""COMPUTED_VALUE"""),0.02916666666715173)</f>
        <v>0.02916666667</v>
      </c>
      <c r="F83" s="137">
        <f>IFERROR(__xludf.DUMMYFUNCTION("""COMPUTED_VALUE"""),0.7472222222204437)</f>
        <v>0.7472222222</v>
      </c>
      <c r="G83" s="82" t="str">
        <f>IFERROR(__xludf.DUMMYFUNCTION("""COMPUTED_VALUE"""),"")</f>
        <v/>
      </c>
      <c r="H83" s="115">
        <f>IFERROR(__xludf.DUMMYFUNCTION("""COMPUTED_VALUE"""),51.0)</f>
        <v>51</v>
      </c>
      <c r="I83" s="112" t="str">
        <f>IFERROR(__xludf.DUMMYFUNCTION("""COMPUTED_VALUE"""),"")</f>
        <v/>
      </c>
      <c r="J83" s="74" t="str">
        <f>IFERROR(__xludf.DUMMYFUNCTION("""COMPUTED_VALUE"""),"Dinner")</f>
        <v>Dinner</v>
      </c>
      <c r="K83" s="113">
        <f>IFERROR(__xludf.DUMMYFUNCTION("""COMPUTED_VALUE"""),45931.0)</f>
        <v>45931</v>
      </c>
      <c r="L83" s="74" t="str">
        <f>IFERROR(__xludf.DUMMYFUNCTION("""COMPUTED_VALUE"""),"Wednesday")</f>
        <v>Wednesday</v>
      </c>
      <c r="M83" s="74" t="str">
        <f>IFERROR(__xludf.DUMMYFUNCTION("""COMPUTED_VALUE"""),"MF")</f>
        <v>MF</v>
      </c>
      <c r="N83" s="114" t="str">
        <f>IFERROR(__xludf.DUMMYFUNCTION("""COMPUTED_VALUE"""),"")</f>
        <v/>
      </c>
      <c r="O83" s="74" t="str">
        <f>IFERROR(__xludf.DUMMYFUNCTION("""COMPUTED_VALUE"""),"")</f>
        <v/>
      </c>
      <c r="P83" s="74" t="str">
        <f>IFERROR(__xludf.DUMMYFUNCTION("""COMPUTED_VALUE"""),"")</f>
        <v/>
      </c>
      <c r="Q83" s="92" t="str">
        <f>IFERROR(__xludf.DUMMYFUNCTION("""COMPUTED_VALUE"""),"")</f>
        <v/>
      </c>
      <c r="R83" s="92" t="str">
        <f>IFERROR(__xludf.DUMMYFUNCTION("""COMPUTED_VALUE"""),"")</f>
        <v/>
      </c>
      <c r="S83" s="63" t="str">
        <f>IFERROR(__xludf.DUMMYFUNCTION("""COMPUTED_VALUE"""),"")</f>
        <v/>
      </c>
      <c r="T83" s="63" t="str">
        <f>IFERROR(__xludf.DUMMYFUNCTION("""COMPUTED_VALUE"""),"")</f>
        <v/>
      </c>
      <c r="U83" s="116" t="str">
        <f>IFERROR(__xludf.DUMMYFUNCTION("""COMPUTED_VALUE"""),"")</f>
        <v/>
      </c>
      <c r="V83" s="92" t="str">
        <f>IFERROR(__xludf.DUMMYFUNCTION("""COMPUTED_VALUE"""),"")</f>
        <v/>
      </c>
      <c r="W83" s="64" t="str">
        <f>IFERROR(__xludf.DUMMYFUNCTION("""COMPUTED_VALUE"""),"")</f>
        <v/>
      </c>
      <c r="X83" s="64" t="str">
        <f>IFERROR(__xludf.DUMMYFUNCTION("""COMPUTED_VALUE"""),"")</f>
        <v/>
      </c>
      <c r="Y83" s="114" t="str">
        <f>IFERROR(__xludf.DUMMYFUNCTION("""COMPUTED_VALUE"""),"")</f>
        <v/>
      </c>
      <c r="Z83" s="118" t="str">
        <f>IFERROR(__xludf.DUMMYFUNCTION("""COMPUTED_VALUE"""),"")</f>
        <v/>
      </c>
      <c r="AA83" s="118" t="str">
        <f>IFERROR(__xludf.DUMMYFUNCTION("""COMPUTED_VALUE"""),"")</f>
        <v/>
      </c>
      <c r="AB83" s="74" t="str">
        <f>IFERROR(__xludf.DUMMYFUNCTION("""COMPUTED_VALUE"""),"")</f>
        <v/>
      </c>
    </row>
    <row r="84">
      <c r="A84" s="109">
        <f>IFERROR(__xludf.DUMMYFUNCTION("""COMPUTED_VALUE"""),45931.7501309838)</f>
        <v>45931.75013</v>
      </c>
      <c r="B84" s="81" t="str">
        <f>IFERROR(__xludf.DUMMYFUNCTION("""COMPUTED_VALUE"""),"Sarah Wilme")</f>
        <v>Sarah Wilme</v>
      </c>
      <c r="C84" s="74" t="b">
        <f>IFERROR(__xludf.DUMMYFUNCTION("""COMPUTED_VALUE"""),FALSE)</f>
        <v>0</v>
      </c>
      <c r="D84" s="137">
        <f>IFERROR(__xludf.DUMMYFUNCTION("""COMPUTED_VALUE"""),0.5319444444444444)</f>
        <v>0.5319444444</v>
      </c>
      <c r="E84" s="82">
        <f>IFERROR(__xludf.DUMMYFUNCTION("""COMPUTED_VALUE"""),0.09305555555555556)</f>
        <v>0.09305555556</v>
      </c>
      <c r="F84" s="137">
        <f>IFERROR(__xludf.DUMMYFUNCTION("""COMPUTED_VALUE"""),0.625)</f>
        <v>0.625</v>
      </c>
      <c r="G84" s="82">
        <f>IFERROR(__xludf.DUMMYFUNCTION("""COMPUTED_VALUE"""),0.15555555555555556)</f>
        <v>0.1555555556</v>
      </c>
      <c r="H84" s="115">
        <f>IFERROR(__xludf.DUMMYFUNCTION("""COMPUTED_VALUE"""),75.0)</f>
        <v>75</v>
      </c>
      <c r="I84" s="112">
        <f>IFERROR(__xludf.DUMMYFUNCTION("""COMPUTED_VALUE"""),20.089285714285715)</f>
        <v>20.08928571</v>
      </c>
      <c r="J84" s="74" t="str">
        <f>IFERROR(__xludf.DUMMYFUNCTION("""COMPUTED_VALUE"""),"Lunch")</f>
        <v>Lunch</v>
      </c>
      <c r="K84" s="113">
        <f>IFERROR(__xludf.DUMMYFUNCTION("""COMPUTED_VALUE"""),45931.0)</f>
        <v>45931</v>
      </c>
      <c r="L84" s="74" t="str">
        <f>IFERROR(__xludf.DUMMYFUNCTION("""COMPUTED_VALUE"""),"Wednesday")</f>
        <v>Wednesday</v>
      </c>
      <c r="M84" s="74" t="str">
        <f>IFERROR(__xludf.DUMMYFUNCTION("""COMPUTED_VALUE"""),"BF")</f>
        <v>BF</v>
      </c>
      <c r="N84" s="114">
        <f>IFERROR(__xludf.DUMMYFUNCTION("""COMPUTED_VALUE"""),0.5173553112730116)</f>
        <v>0.5173553113</v>
      </c>
      <c r="O84" s="74" t="str">
        <f>IFERROR(__xludf.DUMMYFUNCTION("""COMPUTED_VALUE"""),"")</f>
        <v/>
      </c>
      <c r="P84" s="74" t="str">
        <f>IFERROR(__xludf.DUMMYFUNCTION("""COMPUTED_VALUE"""),"")</f>
        <v/>
      </c>
      <c r="Q84" s="92" t="str">
        <f>IFERROR(__xludf.DUMMYFUNCTION("""COMPUTED_VALUE"""),"")</f>
        <v/>
      </c>
      <c r="R84" s="92" t="str">
        <f>IFERROR(__xludf.DUMMYFUNCTION("""COMPUTED_VALUE"""),"")</f>
        <v/>
      </c>
      <c r="S84" s="63" t="str">
        <f>IFERROR(__xludf.DUMMYFUNCTION("""COMPUTED_VALUE"""),"")</f>
        <v/>
      </c>
      <c r="T84" s="63" t="str">
        <f>IFERROR(__xludf.DUMMYFUNCTION("""COMPUTED_VALUE"""),"")</f>
        <v/>
      </c>
      <c r="U84" s="116" t="str">
        <f>IFERROR(__xludf.DUMMYFUNCTION("""COMPUTED_VALUE"""),"")</f>
        <v/>
      </c>
      <c r="V84" s="82" t="str">
        <f>IFERROR(__xludf.DUMMYFUNCTION("""COMPUTED_VALUE"""),"")</f>
        <v/>
      </c>
      <c r="W84" s="64" t="str">
        <f>IFERROR(__xludf.DUMMYFUNCTION("""COMPUTED_VALUE"""),"")</f>
        <v/>
      </c>
      <c r="X84" s="64" t="str">
        <f>IFERROR(__xludf.DUMMYFUNCTION("""COMPUTED_VALUE"""),"")</f>
        <v/>
      </c>
      <c r="Y84" s="114" t="str">
        <f>IFERROR(__xludf.DUMMYFUNCTION("""COMPUTED_VALUE"""),"")</f>
        <v/>
      </c>
      <c r="Z84" s="118" t="str">
        <f>IFERROR(__xludf.DUMMYFUNCTION("""COMPUTED_VALUE"""),"")</f>
        <v/>
      </c>
      <c r="AA84" s="118" t="str">
        <f>IFERROR(__xludf.DUMMYFUNCTION("""COMPUTED_VALUE"""),"")</f>
        <v/>
      </c>
      <c r="AB84" s="74" t="str">
        <f>IFERROR(__xludf.DUMMYFUNCTION("""COMPUTED_VALUE"""),"")</f>
        <v/>
      </c>
    </row>
    <row r="85">
      <c r="A85" s="109">
        <f>IFERROR(__xludf.DUMMYFUNCTION("""COMPUTED_VALUE"""),45931.7501309838)</f>
        <v>45931.75013</v>
      </c>
      <c r="B85" s="81" t="str">
        <f>IFERROR(__xludf.DUMMYFUNCTION("""COMPUTED_VALUE"""),"Sarah Wilme")</f>
        <v>Sarah Wilme</v>
      </c>
      <c r="C85" s="74" t="b">
        <f>IFERROR(__xludf.DUMMYFUNCTION("""COMPUTED_VALUE"""),TRUE)</f>
        <v>1</v>
      </c>
      <c r="D85" s="137">
        <f>IFERROR(__xludf.DUMMYFUNCTION("""COMPUTED_VALUE"""),0.6875)</f>
        <v>0.6875</v>
      </c>
      <c r="E85" s="82">
        <f>IFERROR(__xludf.DUMMYFUNCTION("""COMPUTED_VALUE"""),0.0625)</f>
        <v>0.0625</v>
      </c>
      <c r="F85" s="137">
        <f>IFERROR(__xludf.DUMMYFUNCTION("""COMPUTED_VALUE"""),0.75)</f>
        <v>0.75</v>
      </c>
      <c r="G85" s="82" t="str">
        <f>IFERROR(__xludf.DUMMYFUNCTION("""COMPUTED_VALUE"""),"")</f>
        <v/>
      </c>
      <c r="H85" s="115">
        <f>IFERROR(__xludf.DUMMYFUNCTION("""COMPUTED_VALUE"""),75.0)</f>
        <v>75</v>
      </c>
      <c r="I85" s="112" t="str">
        <f>IFERROR(__xludf.DUMMYFUNCTION("""COMPUTED_VALUE"""),"")</f>
        <v/>
      </c>
      <c r="J85" s="74" t="str">
        <f>IFERROR(__xludf.DUMMYFUNCTION("""COMPUTED_VALUE"""),"Dinner")</f>
        <v>Dinner</v>
      </c>
      <c r="K85" s="113">
        <f>IFERROR(__xludf.DUMMYFUNCTION("""COMPUTED_VALUE"""),45931.0)</f>
        <v>45931</v>
      </c>
      <c r="L85" s="74" t="str">
        <f>IFERROR(__xludf.DUMMYFUNCTION("""COMPUTED_VALUE"""),"Wednesday")</f>
        <v>Wednesday</v>
      </c>
      <c r="M85" s="74" t="str">
        <f>IFERROR(__xludf.DUMMYFUNCTION("""COMPUTED_VALUE"""),"BF")</f>
        <v>BF</v>
      </c>
      <c r="N85" s="114" t="str">
        <f>IFERROR(__xludf.DUMMYFUNCTION("""COMPUTED_VALUE"""),"")</f>
        <v/>
      </c>
      <c r="O85" s="74" t="str">
        <f>IFERROR(__xludf.DUMMYFUNCTION("""COMPUTED_VALUE"""),"")</f>
        <v/>
      </c>
      <c r="P85" s="74" t="str">
        <f>IFERROR(__xludf.DUMMYFUNCTION("""COMPUTED_VALUE"""),"")</f>
        <v/>
      </c>
      <c r="Q85" s="92" t="str">
        <f>IFERROR(__xludf.DUMMYFUNCTION("""COMPUTED_VALUE"""),"")</f>
        <v/>
      </c>
      <c r="R85" s="92" t="str">
        <f>IFERROR(__xludf.DUMMYFUNCTION("""COMPUTED_VALUE"""),"")</f>
        <v/>
      </c>
      <c r="S85" s="63" t="str">
        <f>IFERROR(__xludf.DUMMYFUNCTION("""COMPUTED_VALUE"""),"")</f>
        <v/>
      </c>
      <c r="T85" s="63" t="str">
        <f>IFERROR(__xludf.DUMMYFUNCTION("""COMPUTED_VALUE"""),"")</f>
        <v/>
      </c>
      <c r="U85" s="116" t="str">
        <f>IFERROR(__xludf.DUMMYFUNCTION("""COMPUTED_VALUE"""),"")</f>
        <v/>
      </c>
      <c r="V85" s="82" t="str">
        <f>IFERROR(__xludf.DUMMYFUNCTION("""COMPUTED_VALUE"""),"")</f>
        <v/>
      </c>
      <c r="W85" s="64" t="str">
        <f>IFERROR(__xludf.DUMMYFUNCTION("""COMPUTED_VALUE"""),"")</f>
        <v/>
      </c>
      <c r="X85" s="64" t="str">
        <f>IFERROR(__xludf.DUMMYFUNCTION("""COMPUTED_VALUE"""),"")</f>
        <v/>
      </c>
      <c r="Y85" s="114" t="str">
        <f>IFERROR(__xludf.DUMMYFUNCTION("""COMPUTED_VALUE"""),"")</f>
        <v/>
      </c>
      <c r="Z85" s="118" t="str">
        <f>IFERROR(__xludf.DUMMYFUNCTION("""COMPUTED_VALUE"""),"")</f>
        <v/>
      </c>
      <c r="AA85" s="118" t="str">
        <f>IFERROR(__xludf.DUMMYFUNCTION("""COMPUTED_VALUE"""),"")</f>
        <v/>
      </c>
      <c r="AB85" s="74" t="str">
        <f>IFERROR(__xludf.DUMMYFUNCTION("""COMPUTED_VALUE"""),"")</f>
        <v/>
      </c>
    </row>
    <row r="86">
      <c r="A86" s="109">
        <f>IFERROR(__xludf.DUMMYFUNCTION("""COMPUTED_VALUE"""),45931.782387060186)</f>
        <v>45931.78239</v>
      </c>
      <c r="B86" s="81" t="str">
        <f>IFERROR(__xludf.DUMMYFUNCTION("""COMPUTED_VALUE"""),"Emma Korsu")</f>
        <v>Emma Korsu</v>
      </c>
      <c r="C86" s="74" t="b">
        <f>IFERROR(__xludf.DUMMYFUNCTION("""COMPUTED_VALUE"""),FALSE)</f>
        <v>0</v>
      </c>
      <c r="D86" s="137">
        <f>IFERROR(__xludf.DUMMYFUNCTION("""COMPUTED_VALUE"""),0.7493055555532919)</f>
        <v>0.7493055556</v>
      </c>
      <c r="E86" s="82">
        <f>IFERROR(__xludf.DUMMYFUNCTION("""COMPUTED_VALUE"""),0.031944444446708076)</f>
        <v>0.03194444445</v>
      </c>
      <c r="F86" s="137">
        <f>IFERROR(__xludf.DUMMYFUNCTION("""COMPUTED_VALUE"""),0.78125)</f>
        <v>0.78125</v>
      </c>
      <c r="G86" s="82">
        <f>IFERROR(__xludf.DUMMYFUNCTION("""COMPUTED_VALUE"""),0.10902777778327521)</f>
        <v>0.1090277778</v>
      </c>
      <c r="H86" s="115">
        <f>IFERROR(__xludf.DUMMYFUNCTION("""COMPUTED_VALUE"""),33.0)</f>
        <v>33</v>
      </c>
      <c r="I86" s="112">
        <f>IFERROR(__xludf.DUMMYFUNCTION("""COMPUTED_VALUE"""),12.611464967516966)</f>
        <v>12.61146497</v>
      </c>
      <c r="J86" s="74" t="str">
        <f>IFERROR(__xludf.DUMMYFUNCTION("""COMPUTED_VALUE"""),"Dinner")</f>
        <v>Dinner</v>
      </c>
      <c r="K86" s="113">
        <f>IFERROR(__xludf.DUMMYFUNCTION("""COMPUTED_VALUE"""),45931.0)</f>
        <v>45931</v>
      </c>
      <c r="L86" s="74" t="str">
        <f>IFERROR(__xludf.DUMMYFUNCTION("""COMPUTED_VALUE"""),"Wednesday")</f>
        <v>Wednesday</v>
      </c>
      <c r="M86" s="74" t="str">
        <f>IFERROR(__xludf.DUMMYFUNCTION("""COMPUTED_VALUE"""),"BF")</f>
        <v>BF</v>
      </c>
      <c r="N86" s="114">
        <f>IFERROR(__xludf.DUMMYFUNCTION("""COMPUTED_VALUE"""),0.297626347183801)</f>
        <v>0.2976263472</v>
      </c>
      <c r="O86" s="74" t="str">
        <f>IFERROR(__xludf.DUMMYFUNCTION("""COMPUTED_VALUE"""),"")</f>
        <v/>
      </c>
      <c r="P86" s="74" t="str">
        <f>IFERROR(__xludf.DUMMYFUNCTION("""COMPUTED_VALUE"""),"")</f>
        <v/>
      </c>
      <c r="Q86" s="92" t="str">
        <f>IFERROR(__xludf.DUMMYFUNCTION("""COMPUTED_VALUE"""),"")</f>
        <v/>
      </c>
      <c r="R86" s="92" t="str">
        <f>IFERROR(__xludf.DUMMYFUNCTION("""COMPUTED_VALUE"""),"")</f>
        <v/>
      </c>
      <c r="S86" s="63" t="str">
        <f>IFERROR(__xludf.DUMMYFUNCTION("""COMPUTED_VALUE"""),"")</f>
        <v/>
      </c>
      <c r="T86" s="63" t="str">
        <f>IFERROR(__xludf.DUMMYFUNCTION("""COMPUTED_VALUE"""),"")</f>
        <v/>
      </c>
      <c r="U86" s="116" t="str">
        <f>IFERROR(__xludf.DUMMYFUNCTION("""COMPUTED_VALUE"""),"")</f>
        <v/>
      </c>
      <c r="V86" s="82" t="str">
        <f>IFERROR(__xludf.DUMMYFUNCTION("""COMPUTED_VALUE"""),"")</f>
        <v/>
      </c>
      <c r="W86" s="64" t="str">
        <f>IFERROR(__xludf.DUMMYFUNCTION("""COMPUTED_VALUE"""),"")</f>
        <v/>
      </c>
      <c r="X86" s="64" t="str">
        <f>IFERROR(__xludf.DUMMYFUNCTION("""COMPUTED_VALUE"""),"")</f>
        <v/>
      </c>
      <c r="Y86" s="114" t="str">
        <f>IFERROR(__xludf.DUMMYFUNCTION("""COMPUTED_VALUE"""),"")</f>
        <v/>
      </c>
      <c r="Z86" s="118" t="str">
        <f>IFERROR(__xludf.DUMMYFUNCTION("""COMPUTED_VALUE"""),"")</f>
        <v/>
      </c>
      <c r="AA86" s="118" t="str">
        <f>IFERROR(__xludf.DUMMYFUNCTION("""COMPUTED_VALUE"""),"")</f>
        <v/>
      </c>
      <c r="AB86" s="74" t="str">
        <f>IFERROR(__xludf.DUMMYFUNCTION("""COMPUTED_VALUE"""),"")</f>
        <v/>
      </c>
    </row>
    <row r="87">
      <c r="A87" s="109">
        <f>IFERROR(__xludf.DUMMYFUNCTION("""COMPUTED_VALUE"""),45931.862662534724)</f>
        <v>45931.86266</v>
      </c>
      <c r="B87" s="81" t="str">
        <f>IFERROR(__xludf.DUMMYFUNCTION("""COMPUTED_VALUE"""),"Emma Korsu")</f>
        <v>Emma Korsu</v>
      </c>
      <c r="C87" s="74" t="b">
        <f>IFERROR(__xludf.DUMMYFUNCTION("""COMPUTED_VALUE"""),TRUE)</f>
        <v>1</v>
      </c>
      <c r="D87" s="137">
        <f>IFERROR(__xludf.DUMMYFUNCTION("""COMPUTED_VALUE"""),0.7847222222189885)</f>
        <v>0.7847222222</v>
      </c>
      <c r="E87" s="82">
        <f>IFERROR(__xludf.DUMMYFUNCTION("""COMPUTED_VALUE"""),0.07708333333656714)</f>
        <v>0.07708333334</v>
      </c>
      <c r="F87" s="137">
        <f>IFERROR(__xludf.DUMMYFUNCTION("""COMPUTED_VALUE"""),0.8618055555555556)</f>
        <v>0.8618055556</v>
      </c>
      <c r="G87" s="82" t="str">
        <f>IFERROR(__xludf.DUMMYFUNCTION("""COMPUTED_VALUE"""),"")</f>
        <v/>
      </c>
      <c r="H87" s="115">
        <f>IFERROR(__xludf.DUMMYFUNCTION("""COMPUTED_VALUE"""),65.0)</f>
        <v>65</v>
      </c>
      <c r="I87" s="112" t="str">
        <f>IFERROR(__xludf.DUMMYFUNCTION("""COMPUTED_VALUE"""),"")</f>
        <v/>
      </c>
      <c r="J87" s="74" t="str">
        <f>IFERROR(__xludf.DUMMYFUNCTION("""COMPUTED_VALUE"""),"Dinner")</f>
        <v>Dinner</v>
      </c>
      <c r="K87" s="113">
        <f>IFERROR(__xludf.DUMMYFUNCTION("""COMPUTED_VALUE"""),45931.0)</f>
        <v>45931</v>
      </c>
      <c r="L87" s="74" t="str">
        <f>IFERROR(__xludf.DUMMYFUNCTION("""COMPUTED_VALUE"""),"Wednesday")</f>
        <v>Wednesday</v>
      </c>
      <c r="M87" s="74" t="str">
        <f>IFERROR(__xludf.DUMMYFUNCTION("""COMPUTED_VALUE"""),"BF")</f>
        <v>BF</v>
      </c>
      <c r="N87" s="114" t="str">
        <f>IFERROR(__xludf.DUMMYFUNCTION("""COMPUTED_VALUE"""),"")</f>
        <v/>
      </c>
      <c r="O87" s="74" t="str">
        <f>IFERROR(__xludf.DUMMYFUNCTION("""COMPUTED_VALUE"""),"")</f>
        <v/>
      </c>
      <c r="P87" s="74" t="str">
        <f>IFERROR(__xludf.DUMMYFUNCTION("""COMPUTED_VALUE"""),"")</f>
        <v/>
      </c>
      <c r="Q87" s="92" t="str">
        <f>IFERROR(__xludf.DUMMYFUNCTION("""COMPUTED_VALUE"""),"")</f>
        <v/>
      </c>
      <c r="R87" s="92" t="str">
        <f>IFERROR(__xludf.DUMMYFUNCTION("""COMPUTED_VALUE"""),"")</f>
        <v/>
      </c>
      <c r="S87" s="63" t="str">
        <f>IFERROR(__xludf.DUMMYFUNCTION("""COMPUTED_VALUE"""),"")</f>
        <v/>
      </c>
      <c r="T87" s="63" t="str">
        <f>IFERROR(__xludf.DUMMYFUNCTION("""COMPUTED_VALUE"""),"")</f>
        <v/>
      </c>
      <c r="U87" s="116" t="str">
        <f>IFERROR(__xludf.DUMMYFUNCTION("""COMPUTED_VALUE"""),"")</f>
        <v/>
      </c>
      <c r="V87" s="92" t="str">
        <f>IFERROR(__xludf.DUMMYFUNCTION("""COMPUTED_VALUE"""),"")</f>
        <v/>
      </c>
      <c r="W87" s="64" t="str">
        <f>IFERROR(__xludf.DUMMYFUNCTION("""COMPUTED_VALUE"""),"")</f>
        <v/>
      </c>
      <c r="X87" s="64" t="str">
        <f>IFERROR(__xludf.DUMMYFUNCTION("""COMPUTED_VALUE"""),"")</f>
        <v/>
      </c>
      <c r="Y87" s="114" t="str">
        <f>IFERROR(__xludf.DUMMYFUNCTION("""COMPUTED_VALUE"""),"")</f>
        <v/>
      </c>
      <c r="Z87" s="118" t="str">
        <f>IFERROR(__xludf.DUMMYFUNCTION("""COMPUTED_VALUE"""),"")</f>
        <v/>
      </c>
      <c r="AA87" s="118" t="str">
        <f>IFERROR(__xludf.DUMMYFUNCTION("""COMPUTED_VALUE"""),"")</f>
        <v/>
      </c>
      <c r="AB87" s="74" t="str">
        <f>IFERROR(__xludf.DUMMYFUNCTION("""COMPUTED_VALUE"""),"")</f>
        <v/>
      </c>
      <c r="AC87" s="64"/>
      <c r="AD87" s="64"/>
      <c r="AE87" s="64"/>
    </row>
    <row r="88">
      <c r="A88" s="109">
        <f>IFERROR(__xludf.DUMMYFUNCTION("""COMPUTED_VALUE"""),45932.45394765046)</f>
        <v>45932.45395</v>
      </c>
      <c r="B88" s="81" t="str">
        <f>IFERROR(__xludf.DUMMYFUNCTION("""COMPUTED_VALUE"""),"Kaylie Forgue")</f>
        <v>Kaylie Forgue</v>
      </c>
      <c r="C88" s="74" t="b">
        <f>IFERROR(__xludf.DUMMYFUNCTION("""COMPUTED_VALUE"""),FALSE)</f>
        <v>0</v>
      </c>
      <c r="D88" s="137">
        <f>IFERROR(__xludf.DUMMYFUNCTION("""COMPUTED_VALUE"""),0.7465277777810115)</f>
        <v>0.7465277778</v>
      </c>
      <c r="E88" s="82">
        <f>IFERROR(__xludf.DUMMYFUNCTION("""COMPUTED_VALUE"""),0.12152777777373558)</f>
        <v>0.1215277778</v>
      </c>
      <c r="F88" s="137">
        <f>IFERROR(__xludf.DUMMYFUNCTION("""COMPUTED_VALUE"""),0.8680555555547471)</f>
        <v>0.8680555556</v>
      </c>
      <c r="G88" s="82">
        <f>IFERROR(__xludf.DUMMYFUNCTION("""COMPUTED_VALUE"""),0.12152777777373558)</f>
        <v>0.1215277778</v>
      </c>
      <c r="H88" s="115">
        <f>IFERROR(__xludf.DUMMYFUNCTION("""COMPUTED_VALUE"""),126.0)</f>
        <v>126</v>
      </c>
      <c r="I88" s="112">
        <f>IFERROR(__xludf.DUMMYFUNCTION("""COMPUTED_VALUE"""),43.2000000014369)</f>
        <v>43.2</v>
      </c>
      <c r="J88" s="74" t="str">
        <f>IFERROR(__xludf.DUMMYFUNCTION("""COMPUTED_VALUE"""),"Dinner")</f>
        <v>Dinner</v>
      </c>
      <c r="K88" s="113">
        <f>IFERROR(__xludf.DUMMYFUNCTION("""COMPUTED_VALUE"""),45931.0)</f>
        <v>45931</v>
      </c>
      <c r="L88" s="74" t="str">
        <f>IFERROR(__xludf.DUMMYFUNCTION("""COMPUTED_VALUE"""),"Wednesday")</f>
        <v>Wednesday</v>
      </c>
      <c r="M88" s="74" t="str">
        <f>IFERROR(__xludf.DUMMYFUNCTION("""COMPUTED_VALUE"""),"MF")</f>
        <v>MF</v>
      </c>
      <c r="N88" s="114">
        <f>IFERROR(__xludf.DUMMYFUNCTION("""COMPUTED_VALUE"""),0.8512554019369314)</f>
        <v>0.8512554019</v>
      </c>
      <c r="O88" s="74">
        <f>IFERROR(__xludf.DUMMYFUNCTION("""COMPUTED_VALUE"""),276.0)</f>
        <v>276</v>
      </c>
      <c r="P88" s="74">
        <f>IFERROR(__xludf.DUMMYFUNCTION("""COMPUTED_VALUE"""),248.0)</f>
        <v>248</v>
      </c>
      <c r="Q88" s="92">
        <f>IFERROR(__xludf.DUMMYFUNCTION("""COMPUTED_VALUE"""),0.24027777777519077)</f>
        <v>0.2402777778</v>
      </c>
      <c r="R88" s="92">
        <f>IFERROR(__xludf.DUMMYFUNCTION("""COMPUTED_VALUE"""),0.2645833333388308)</f>
        <v>0.2645833333</v>
      </c>
      <c r="S88" s="63">
        <f>IFERROR(__xludf.DUMMYFUNCTION("""COMPUTED_VALUE"""),37.00833333358716)</f>
        <v>37.00833333</v>
      </c>
      <c r="T88" s="63">
        <f>IFERROR(__xludf.DUMMYFUNCTION("""COMPUTED_VALUE"""),16.35037534090134)</f>
        <v>16.35037534</v>
      </c>
      <c r="U88" s="116">
        <f>IFERROR(__xludf.DUMMYFUNCTION("""COMPUTED_VALUE"""),524.0)</f>
        <v>524</v>
      </c>
      <c r="V88" s="82">
        <f>IFERROR(__xludf.DUMMYFUNCTION("""COMPUTED_VALUE"""),0.5048611111140215)</f>
        <v>0.5048611111</v>
      </c>
      <c r="W88" s="64">
        <f>IFERROR(__xludf.DUMMYFUNCTION("""COMPUTED_VALUE"""),43.24621733125001)</f>
        <v>43.24621733</v>
      </c>
      <c r="X88" s="64">
        <f>IFERROR(__xludf.DUMMYFUNCTION("""COMPUTED_VALUE"""),28.74515013651283)</f>
        <v>28.74515014</v>
      </c>
      <c r="Y88" s="114">
        <f>IFERROR(__xludf.DUMMYFUNCTION("""COMPUTED_VALUE"""),0.38993513853549366)</f>
        <v>0.3899351385</v>
      </c>
      <c r="Z88" s="118">
        <f>IFERROR(__xludf.DUMMYFUNCTION("""COMPUTED_VALUE"""),4566.0)</f>
        <v>4566</v>
      </c>
      <c r="AA88" s="118">
        <f>IFERROR(__xludf.DUMMYFUNCTION("""COMPUTED_VALUE"""),3778.0)</f>
        <v>3778</v>
      </c>
      <c r="AB88" s="118">
        <f>IFERROR(__xludf.DUMMYFUNCTION("""COMPUTED_VALUE"""),8344.0)</f>
        <v>8344</v>
      </c>
    </row>
    <row r="89">
      <c r="A89" s="109">
        <f>IFERROR(__xludf.DUMMYFUNCTION("""COMPUTED_VALUE"""),45932.44201378472)</f>
        <v>45932.44201</v>
      </c>
      <c r="B89" s="81" t="str">
        <f>IFERROR(__xludf.DUMMYFUNCTION("""COMPUTED_VALUE"""),"Evan Morgan")</f>
        <v>Evan Morgan</v>
      </c>
      <c r="C89" s="74" t="b">
        <f>IFERROR(__xludf.DUMMYFUNCTION("""COMPUTED_VALUE"""),FALSE)</f>
        <v>0</v>
      </c>
      <c r="D89" s="137">
        <f>IFERROR(__xludf.DUMMYFUNCTION("""COMPUTED_VALUE"""),0.29166666666424135)</f>
        <v>0.2916666667</v>
      </c>
      <c r="E89" s="82">
        <f>IFERROR(__xludf.DUMMYFUNCTION("""COMPUTED_VALUE"""),0.11805555555474712)</f>
        <v>0.1180555556</v>
      </c>
      <c r="F89" s="137">
        <f>IFERROR(__xludf.DUMMYFUNCTION("""COMPUTED_VALUE"""),0.40972222221898846)</f>
        <v>0.4097222222</v>
      </c>
      <c r="G89" s="82">
        <f>IFERROR(__xludf.DUMMYFUNCTION("""COMPUTED_VALUE"""),0.1354166666715173)</f>
        <v>0.1354166667</v>
      </c>
      <c r="H89" s="115">
        <f>IFERROR(__xludf.DUMMYFUNCTION("""COMPUTED_VALUE"""),78.0)</f>
        <v>78</v>
      </c>
      <c r="I89" s="112">
        <f>IFERROR(__xludf.DUMMYFUNCTION("""COMPUTED_VALUE"""),23.999999999140318)</f>
        <v>24</v>
      </c>
      <c r="J89" s="74" t="str">
        <f>IFERROR(__xludf.DUMMYFUNCTION("""COMPUTED_VALUE"""),"Breakfast")</f>
        <v>Breakfast</v>
      </c>
      <c r="K89" s="113">
        <f>IFERROR(__xludf.DUMMYFUNCTION("""COMPUTED_VALUE"""),45932.0)</f>
        <v>45932</v>
      </c>
      <c r="L89" s="74" t="str">
        <f>IFERROR(__xludf.DUMMYFUNCTION("""COMPUTED_VALUE"""),"Thursday")</f>
        <v>Thursday</v>
      </c>
      <c r="M89" s="74" t="str">
        <f>IFERROR(__xludf.DUMMYFUNCTION("""COMPUTED_VALUE"""),"BF")</f>
        <v>BF</v>
      </c>
      <c r="N89" s="114">
        <f>IFERROR(__xludf.DUMMYFUNCTION("""COMPUTED_VALUE"""),1.0164281745543278)</f>
        <v>1.016428175</v>
      </c>
      <c r="O89" s="74" t="str">
        <f>IFERROR(__xludf.DUMMYFUNCTION("""COMPUTED_VALUE"""),"")</f>
        <v/>
      </c>
      <c r="P89" s="74" t="str">
        <f>IFERROR(__xludf.DUMMYFUNCTION("""COMPUTED_VALUE"""),"")</f>
        <v/>
      </c>
      <c r="Q89" s="92" t="str">
        <f>IFERROR(__xludf.DUMMYFUNCTION("""COMPUTED_VALUE"""),"")</f>
        <v/>
      </c>
      <c r="R89" s="92" t="str">
        <f>IFERROR(__xludf.DUMMYFUNCTION("""COMPUTED_VALUE"""),"")</f>
        <v/>
      </c>
      <c r="S89" s="63" t="str">
        <f>IFERROR(__xludf.DUMMYFUNCTION("""COMPUTED_VALUE"""),"")</f>
        <v/>
      </c>
      <c r="T89" s="63" t="str">
        <f>IFERROR(__xludf.DUMMYFUNCTION("""COMPUTED_VALUE"""),"")</f>
        <v/>
      </c>
      <c r="U89" s="116" t="str">
        <f>IFERROR(__xludf.DUMMYFUNCTION("""COMPUTED_VALUE"""),"")</f>
        <v/>
      </c>
      <c r="V89" s="82" t="str">
        <f>IFERROR(__xludf.DUMMYFUNCTION("""COMPUTED_VALUE"""),"")</f>
        <v/>
      </c>
      <c r="W89" s="64" t="str">
        <f>IFERROR(__xludf.DUMMYFUNCTION("""COMPUTED_VALUE"""),"")</f>
        <v/>
      </c>
      <c r="X89" s="64" t="str">
        <f>IFERROR(__xludf.DUMMYFUNCTION("""COMPUTED_VALUE"""),"")</f>
        <v/>
      </c>
      <c r="Y89" s="114" t="str">
        <f>IFERROR(__xludf.DUMMYFUNCTION("""COMPUTED_VALUE"""),"")</f>
        <v/>
      </c>
      <c r="Z89" s="118" t="str">
        <f>IFERROR(__xludf.DUMMYFUNCTION("""COMPUTED_VALUE"""),"")</f>
        <v/>
      </c>
      <c r="AA89" s="118" t="str">
        <f>IFERROR(__xludf.DUMMYFUNCTION("""COMPUTED_VALUE"""),"")</f>
        <v/>
      </c>
      <c r="AB89" s="74" t="str">
        <f>IFERROR(__xludf.DUMMYFUNCTION("""COMPUTED_VALUE"""),"")</f>
        <v/>
      </c>
    </row>
    <row r="90">
      <c r="A90" s="109">
        <f>IFERROR(__xludf.DUMMYFUNCTION("""COMPUTED_VALUE"""),45932.44268378472)</f>
        <v>45932.44268</v>
      </c>
      <c r="B90" s="81" t="str">
        <f>IFERROR(__xludf.DUMMYFUNCTION("""COMPUTED_VALUE"""),"Evan Morgan")</f>
        <v>Evan Morgan</v>
      </c>
      <c r="C90" s="74" t="b">
        <f>IFERROR(__xludf.DUMMYFUNCTION("""COMPUTED_VALUE"""),TRUE)</f>
        <v>1</v>
      </c>
      <c r="D90" s="137">
        <f>IFERROR(__xludf.DUMMYFUNCTION("""COMPUTED_VALUE"""),0.41666666666424135)</f>
        <v>0.4166666667</v>
      </c>
      <c r="E90" s="82">
        <f>IFERROR(__xludf.DUMMYFUNCTION("""COMPUTED_VALUE"""),0.01736111111677019)</f>
        <v>0.01736111112</v>
      </c>
      <c r="F90" s="137">
        <f>IFERROR(__xludf.DUMMYFUNCTION("""COMPUTED_VALUE"""),0.43402777778101154)</f>
        <v>0.4340277778</v>
      </c>
      <c r="G90" s="82" t="str">
        <f>IFERROR(__xludf.DUMMYFUNCTION("""COMPUTED_VALUE"""),"")</f>
        <v/>
      </c>
      <c r="H90" s="115">
        <f>IFERROR(__xludf.DUMMYFUNCTION("""COMPUTED_VALUE"""),18.0)</f>
        <v>18</v>
      </c>
      <c r="I90" s="112" t="str">
        <f>IFERROR(__xludf.DUMMYFUNCTION("""COMPUTED_VALUE"""),"")</f>
        <v/>
      </c>
      <c r="J90" s="74" t="str">
        <f>IFERROR(__xludf.DUMMYFUNCTION("""COMPUTED_VALUE"""),"Breakfast")</f>
        <v>Breakfast</v>
      </c>
      <c r="K90" s="113">
        <f>IFERROR(__xludf.DUMMYFUNCTION("""COMPUTED_VALUE"""),45932.0)</f>
        <v>45932</v>
      </c>
      <c r="L90" s="74" t="str">
        <f>IFERROR(__xludf.DUMMYFUNCTION("""COMPUTED_VALUE"""),"Thursday")</f>
        <v>Thursday</v>
      </c>
      <c r="M90" s="74" t="str">
        <f>IFERROR(__xludf.DUMMYFUNCTION("""COMPUTED_VALUE"""),"BF")</f>
        <v>BF</v>
      </c>
      <c r="N90" s="114" t="str">
        <f>IFERROR(__xludf.DUMMYFUNCTION("""COMPUTED_VALUE"""),"")</f>
        <v/>
      </c>
      <c r="O90" s="74" t="str">
        <f>IFERROR(__xludf.DUMMYFUNCTION("""COMPUTED_VALUE"""),"")</f>
        <v/>
      </c>
      <c r="P90" s="74" t="str">
        <f>IFERROR(__xludf.DUMMYFUNCTION("""COMPUTED_VALUE"""),"")</f>
        <v/>
      </c>
      <c r="Q90" s="92" t="str">
        <f>IFERROR(__xludf.DUMMYFUNCTION("""COMPUTED_VALUE"""),"")</f>
        <v/>
      </c>
      <c r="R90" s="92" t="str">
        <f>IFERROR(__xludf.DUMMYFUNCTION("""COMPUTED_VALUE"""),"")</f>
        <v/>
      </c>
      <c r="S90" s="63" t="str">
        <f>IFERROR(__xludf.DUMMYFUNCTION("""COMPUTED_VALUE"""),"")</f>
        <v/>
      </c>
      <c r="T90" s="63" t="str">
        <f>IFERROR(__xludf.DUMMYFUNCTION("""COMPUTED_VALUE"""),"")</f>
        <v/>
      </c>
      <c r="U90" s="116" t="str">
        <f>IFERROR(__xludf.DUMMYFUNCTION("""COMPUTED_VALUE"""),"")</f>
        <v/>
      </c>
      <c r="V90" s="82" t="str">
        <f>IFERROR(__xludf.DUMMYFUNCTION("""COMPUTED_VALUE"""),"")</f>
        <v/>
      </c>
      <c r="W90" s="64" t="str">
        <f>IFERROR(__xludf.DUMMYFUNCTION("""COMPUTED_VALUE"""),"")</f>
        <v/>
      </c>
      <c r="X90" s="64" t="str">
        <f>IFERROR(__xludf.DUMMYFUNCTION("""COMPUTED_VALUE"""),"")</f>
        <v/>
      </c>
      <c r="Y90" s="114" t="str">
        <f>IFERROR(__xludf.DUMMYFUNCTION("""COMPUTED_VALUE"""),"")</f>
        <v/>
      </c>
      <c r="Z90" s="118" t="str">
        <f>IFERROR(__xludf.DUMMYFUNCTION("""COMPUTED_VALUE"""),"")</f>
        <v/>
      </c>
      <c r="AA90" s="118" t="str">
        <f>IFERROR(__xludf.DUMMYFUNCTION("""COMPUTED_VALUE"""),"")</f>
        <v/>
      </c>
      <c r="AB90" s="74" t="str">
        <f>IFERROR(__xludf.DUMMYFUNCTION("""COMPUTED_VALUE"""),"")</f>
        <v/>
      </c>
    </row>
    <row r="91">
      <c r="A91" s="109">
        <f>IFERROR(__xludf.DUMMYFUNCTION("""COMPUTED_VALUE"""),45932.560558032405)</f>
        <v>45932.56056</v>
      </c>
      <c r="B91" s="81" t="str">
        <f>IFERROR(__xludf.DUMMYFUNCTION("""COMPUTED_VALUE"""),"Maureen Surgot")</f>
        <v>Maureen Surgot</v>
      </c>
      <c r="C91" s="74" t="b">
        <f>IFERROR(__xludf.DUMMYFUNCTION("""COMPUTED_VALUE"""),FALSE)</f>
        <v>0</v>
      </c>
      <c r="D91" s="137">
        <f>IFERROR(__xludf.DUMMYFUNCTION("""COMPUTED_VALUE"""),0.47916666666424135)</f>
        <v>0.4791666667</v>
      </c>
      <c r="E91" s="82">
        <f>IFERROR(__xludf.DUMMYFUNCTION("""COMPUTED_VALUE"""),0.08333333333575865)</f>
        <v>0.08333333334</v>
      </c>
      <c r="F91" s="137">
        <f>IFERROR(__xludf.DUMMYFUNCTION("""COMPUTED_VALUE"""),0.5625)</f>
        <v>0.5625</v>
      </c>
      <c r="G91" s="82">
        <f>IFERROR(__xludf.DUMMYFUNCTION("""COMPUTED_VALUE"""),0.08333333333575865)</f>
        <v>0.08333333334</v>
      </c>
      <c r="H91" s="115">
        <f>IFERROR(__xludf.DUMMYFUNCTION("""COMPUTED_VALUE"""),83.0)</f>
        <v>83</v>
      </c>
      <c r="I91" s="112">
        <f>IFERROR(__xludf.DUMMYFUNCTION("""COMPUTED_VALUE"""),41.49999999879219)</f>
        <v>41.5</v>
      </c>
      <c r="J91" s="74" t="str">
        <f>IFERROR(__xludf.DUMMYFUNCTION("""COMPUTED_VALUE"""),"Lunch")</f>
        <v>Lunch</v>
      </c>
      <c r="K91" s="113">
        <f>IFERROR(__xludf.DUMMYFUNCTION("""COMPUTED_VALUE"""),45932.0)</f>
        <v>45932</v>
      </c>
      <c r="L91" s="74" t="str">
        <f>IFERROR(__xludf.DUMMYFUNCTION("""COMPUTED_VALUE"""),"Thursday")</f>
        <v>Thursday</v>
      </c>
      <c r="M91" s="74" t="str">
        <f>IFERROR(__xludf.DUMMYFUNCTION("""COMPUTED_VALUE"""),"MF")</f>
        <v>MF</v>
      </c>
      <c r="N91" s="114">
        <f>IFERROR(__xludf.DUMMYFUNCTION("""COMPUTED_VALUE"""),0.8629859940864314)</f>
        <v>0.8629859941</v>
      </c>
      <c r="O91" s="74" t="str">
        <f>IFERROR(__xludf.DUMMYFUNCTION("""COMPUTED_VALUE"""),"")</f>
        <v/>
      </c>
      <c r="P91" s="74" t="str">
        <f>IFERROR(__xludf.DUMMYFUNCTION("""COMPUTED_VALUE"""),"")</f>
        <v/>
      </c>
      <c r="Q91" s="92" t="str">
        <f>IFERROR(__xludf.DUMMYFUNCTION("""COMPUTED_VALUE"""),"")</f>
        <v/>
      </c>
      <c r="R91" s="92" t="str">
        <f>IFERROR(__xludf.DUMMYFUNCTION("""COMPUTED_VALUE"""),"")</f>
        <v/>
      </c>
      <c r="S91" s="63" t="str">
        <f>IFERROR(__xludf.DUMMYFUNCTION("""COMPUTED_VALUE"""),"")</f>
        <v/>
      </c>
      <c r="T91" s="63" t="str">
        <f>IFERROR(__xludf.DUMMYFUNCTION("""COMPUTED_VALUE"""),"")</f>
        <v/>
      </c>
      <c r="U91" s="116" t="str">
        <f>IFERROR(__xludf.DUMMYFUNCTION("""COMPUTED_VALUE"""),"")</f>
        <v/>
      </c>
      <c r="V91" s="92" t="str">
        <f>IFERROR(__xludf.DUMMYFUNCTION("""COMPUTED_VALUE"""),"")</f>
        <v/>
      </c>
      <c r="W91" s="64" t="str">
        <f>IFERROR(__xludf.DUMMYFUNCTION("""COMPUTED_VALUE"""),"")</f>
        <v/>
      </c>
      <c r="X91" s="64" t="str">
        <f>IFERROR(__xludf.DUMMYFUNCTION("""COMPUTED_VALUE"""),"")</f>
        <v/>
      </c>
      <c r="Y91" s="114" t="str">
        <f>IFERROR(__xludf.DUMMYFUNCTION("""COMPUTED_VALUE"""),"")</f>
        <v/>
      </c>
      <c r="Z91" s="118" t="str">
        <f>IFERROR(__xludf.DUMMYFUNCTION("""COMPUTED_VALUE"""),"")</f>
        <v/>
      </c>
      <c r="AA91" s="118" t="str">
        <f>IFERROR(__xludf.DUMMYFUNCTION("""COMPUTED_VALUE"""),"")</f>
        <v/>
      </c>
      <c r="AB91" s="74" t="str">
        <f>IFERROR(__xludf.DUMMYFUNCTION("""COMPUTED_VALUE"""),"")</f>
        <v/>
      </c>
    </row>
    <row r="92">
      <c r="A92" s="109">
        <f>IFERROR(__xludf.DUMMYFUNCTION("""COMPUTED_VALUE"""),45932.63620483797)</f>
        <v>45932.6362</v>
      </c>
      <c r="B92" s="81" t="str">
        <f>IFERROR(__xludf.DUMMYFUNCTION("""COMPUTED_VALUE"""),"Brynn Hornig")</f>
        <v>Brynn Hornig</v>
      </c>
      <c r="C92" s="74" t="b">
        <f>IFERROR(__xludf.DUMMYFUNCTION("""COMPUTED_VALUE"""),FALSE)</f>
        <v>0</v>
      </c>
      <c r="D92" s="137">
        <f>IFERROR(__xludf.DUMMYFUNCTION("""COMPUTED_VALUE"""),0.5625)</f>
        <v>0.5625</v>
      </c>
      <c r="E92" s="82">
        <f>IFERROR(__xludf.DUMMYFUNCTION("""COMPUTED_VALUE"""),0.07291666666424135)</f>
        <v>0.07291666666</v>
      </c>
      <c r="F92" s="137">
        <f>IFERROR(__xludf.DUMMYFUNCTION("""COMPUTED_VALUE"""),0.6354166666642413)</f>
        <v>0.6354166667</v>
      </c>
      <c r="G92" s="82">
        <f>IFERROR(__xludf.DUMMYFUNCTION("""COMPUTED_VALUE"""),0.07291666666424135)</f>
        <v>0.07291666666</v>
      </c>
      <c r="H92" s="115">
        <f>IFERROR(__xludf.DUMMYFUNCTION("""COMPUTED_VALUE"""),64.0)</f>
        <v>64</v>
      </c>
      <c r="I92" s="112">
        <f>IFERROR(__xludf.DUMMYFUNCTION("""COMPUTED_VALUE"""),36.57142857264499)</f>
        <v>36.57142857</v>
      </c>
      <c r="J92" s="74" t="str">
        <f>IFERROR(__xludf.DUMMYFUNCTION("""COMPUTED_VALUE"""),"Lunch")</f>
        <v>Lunch</v>
      </c>
      <c r="K92" s="113">
        <f>IFERROR(__xludf.DUMMYFUNCTION("""COMPUTED_VALUE"""),45932.0)</f>
        <v>45932</v>
      </c>
      <c r="L92" s="74" t="str">
        <f>IFERROR(__xludf.DUMMYFUNCTION("""COMPUTED_VALUE"""),"Thursday")</f>
        <v>Thursday</v>
      </c>
      <c r="M92" s="74" t="str">
        <f>IFERROR(__xludf.DUMMYFUNCTION("""COMPUTED_VALUE"""),"MF")</f>
        <v>MF</v>
      </c>
      <c r="N92" s="114">
        <f>IFERROR(__xludf.DUMMYFUNCTION("""COMPUTED_VALUE"""),0.7604971239239395)</f>
        <v>0.7604971239</v>
      </c>
      <c r="O92" s="74" t="str">
        <f>IFERROR(__xludf.DUMMYFUNCTION("""COMPUTED_VALUE"""),"")</f>
        <v/>
      </c>
      <c r="P92" s="74" t="str">
        <f>IFERROR(__xludf.DUMMYFUNCTION("""COMPUTED_VALUE"""),"")</f>
        <v/>
      </c>
      <c r="Q92" s="92" t="str">
        <f>IFERROR(__xludf.DUMMYFUNCTION("""COMPUTED_VALUE"""),"")</f>
        <v/>
      </c>
      <c r="R92" s="92" t="str">
        <f>IFERROR(__xludf.DUMMYFUNCTION("""COMPUTED_VALUE"""),"")</f>
        <v/>
      </c>
      <c r="S92" s="63" t="str">
        <f>IFERROR(__xludf.DUMMYFUNCTION("""COMPUTED_VALUE"""),"")</f>
        <v/>
      </c>
      <c r="T92" s="63" t="str">
        <f>IFERROR(__xludf.DUMMYFUNCTION("""COMPUTED_VALUE"""),"")</f>
        <v/>
      </c>
      <c r="U92" s="116" t="str">
        <f>IFERROR(__xludf.DUMMYFUNCTION("""COMPUTED_VALUE"""),"")</f>
        <v/>
      </c>
      <c r="V92" s="92" t="str">
        <f>IFERROR(__xludf.DUMMYFUNCTION("""COMPUTED_VALUE"""),"")</f>
        <v/>
      </c>
      <c r="W92" s="64" t="str">
        <f>IFERROR(__xludf.DUMMYFUNCTION("""COMPUTED_VALUE"""),"")</f>
        <v/>
      </c>
      <c r="X92" s="64" t="str">
        <f>IFERROR(__xludf.DUMMYFUNCTION("""COMPUTED_VALUE"""),"")</f>
        <v/>
      </c>
      <c r="Y92" s="114" t="str">
        <f>IFERROR(__xludf.DUMMYFUNCTION("""COMPUTED_VALUE"""),"")</f>
        <v/>
      </c>
      <c r="Z92" s="118" t="str">
        <f>IFERROR(__xludf.DUMMYFUNCTION("""COMPUTED_VALUE"""),"")</f>
        <v/>
      </c>
      <c r="AA92" s="118" t="str">
        <f>IFERROR(__xludf.DUMMYFUNCTION("""COMPUTED_VALUE"""),"")</f>
        <v/>
      </c>
      <c r="AB92" s="74" t="str">
        <f>IFERROR(__xludf.DUMMYFUNCTION("""COMPUTED_VALUE"""),"")</f>
        <v/>
      </c>
    </row>
    <row r="93">
      <c r="A93" s="109">
        <f>IFERROR(__xludf.DUMMYFUNCTION("""COMPUTED_VALUE"""),45932.65821011574)</f>
        <v>45932.65821</v>
      </c>
      <c r="B93" s="81" t="str">
        <f>IFERROR(__xludf.DUMMYFUNCTION("""COMPUTED_VALUE"""),"Emmett Khan")</f>
        <v>Emmett Khan</v>
      </c>
      <c r="C93" s="74" t="b">
        <f>IFERROR(__xludf.DUMMYFUNCTION("""COMPUTED_VALUE"""),FALSE)</f>
        <v>0</v>
      </c>
      <c r="D93" s="137">
        <f>IFERROR(__xludf.DUMMYFUNCTION("""COMPUTED_VALUE"""),0.5833333333357587)</f>
        <v>0.5833333333</v>
      </c>
      <c r="E93" s="82">
        <f>IFERROR(__xludf.DUMMYFUNCTION("""COMPUTED_VALUE"""),0.07291666666424135)</f>
        <v>0.07291666666</v>
      </c>
      <c r="F93" s="137">
        <f>IFERROR(__xludf.DUMMYFUNCTION("""COMPUTED_VALUE"""),0.65625)</f>
        <v>0.65625</v>
      </c>
      <c r="G93" s="82">
        <f>IFERROR(__xludf.DUMMYFUNCTION("""COMPUTED_VALUE"""),0.07291666666424135)</f>
        <v>0.07291666666</v>
      </c>
      <c r="H93" s="115">
        <f>IFERROR(__xludf.DUMMYFUNCTION("""COMPUTED_VALUE"""),77.0)</f>
        <v>77</v>
      </c>
      <c r="I93" s="112">
        <f>IFERROR(__xludf.DUMMYFUNCTION("""COMPUTED_VALUE"""),44.000000001463505)</f>
        <v>44</v>
      </c>
      <c r="J93" s="74" t="str">
        <f>IFERROR(__xludf.DUMMYFUNCTION("""COMPUTED_VALUE"""),"Lunch")</f>
        <v>Lunch</v>
      </c>
      <c r="K93" s="113">
        <f>IFERROR(__xludf.DUMMYFUNCTION("""COMPUTED_VALUE"""),45932.0)</f>
        <v>45932</v>
      </c>
      <c r="L93" s="74" t="str">
        <f>IFERROR(__xludf.DUMMYFUNCTION("""COMPUTED_VALUE"""),"Thursday")</f>
        <v>Thursday</v>
      </c>
      <c r="M93" s="74" t="str">
        <f>IFERROR(__xludf.DUMMYFUNCTION("""COMPUTED_VALUE"""),"BF")</f>
        <v>BF</v>
      </c>
      <c r="N93" s="114">
        <f>IFERROR(__xludf.DUMMYFUNCTION("""COMPUTED_VALUE"""),1.1331230995725343)</f>
        <v>1.1331231</v>
      </c>
      <c r="O93" s="74" t="str">
        <f>IFERROR(__xludf.DUMMYFUNCTION("""COMPUTED_VALUE"""),"")</f>
        <v/>
      </c>
      <c r="P93" s="74" t="str">
        <f>IFERROR(__xludf.DUMMYFUNCTION("""COMPUTED_VALUE"""),"")</f>
        <v/>
      </c>
      <c r="Q93" s="92" t="str">
        <f>IFERROR(__xludf.DUMMYFUNCTION("""COMPUTED_VALUE"""),"")</f>
        <v/>
      </c>
      <c r="R93" s="92" t="str">
        <f>IFERROR(__xludf.DUMMYFUNCTION("""COMPUTED_VALUE"""),"")</f>
        <v/>
      </c>
      <c r="S93" s="63" t="str">
        <f>IFERROR(__xludf.DUMMYFUNCTION("""COMPUTED_VALUE"""),"")</f>
        <v/>
      </c>
      <c r="T93" s="63" t="str">
        <f>IFERROR(__xludf.DUMMYFUNCTION("""COMPUTED_VALUE"""),"")</f>
        <v/>
      </c>
      <c r="U93" s="116" t="str">
        <f>IFERROR(__xludf.DUMMYFUNCTION("""COMPUTED_VALUE"""),"")</f>
        <v/>
      </c>
      <c r="V93" s="92" t="str">
        <f>IFERROR(__xludf.DUMMYFUNCTION("""COMPUTED_VALUE"""),"")</f>
        <v/>
      </c>
      <c r="W93" s="64" t="str">
        <f>IFERROR(__xludf.DUMMYFUNCTION("""COMPUTED_VALUE"""),"")</f>
        <v/>
      </c>
      <c r="X93" s="64" t="str">
        <f>IFERROR(__xludf.DUMMYFUNCTION("""COMPUTED_VALUE"""),"")</f>
        <v/>
      </c>
      <c r="Y93" s="114" t="str">
        <f>IFERROR(__xludf.DUMMYFUNCTION("""COMPUTED_VALUE"""),"")</f>
        <v/>
      </c>
      <c r="Z93" s="118" t="str">
        <f>IFERROR(__xludf.DUMMYFUNCTION("""COMPUTED_VALUE"""),"")</f>
        <v/>
      </c>
      <c r="AA93" s="118" t="str">
        <f>IFERROR(__xludf.DUMMYFUNCTION("""COMPUTED_VALUE"""),"")</f>
        <v/>
      </c>
      <c r="AB93" s="74" t="str">
        <f>IFERROR(__xludf.DUMMYFUNCTION("""COMPUTED_VALUE"""),"")</f>
        <v/>
      </c>
    </row>
    <row r="94">
      <c r="A94" s="109">
        <f>IFERROR(__xludf.DUMMYFUNCTION("""COMPUTED_VALUE"""),45932.67775912037)</f>
        <v>45932.67776</v>
      </c>
      <c r="B94" s="81" t="str">
        <f>IFERROR(__xludf.DUMMYFUNCTION("""COMPUTED_VALUE"""),"Greta Traynor")</f>
        <v>Greta Traynor</v>
      </c>
      <c r="C94" s="74" t="b">
        <f>IFERROR(__xludf.DUMMYFUNCTION("""COMPUTED_VALUE"""),FALSE)</f>
        <v>0</v>
      </c>
      <c r="D94" s="137">
        <f>IFERROR(__xludf.DUMMYFUNCTION("""COMPUTED_VALUE"""),0.5166666666627862)</f>
        <v>0.5166666667</v>
      </c>
      <c r="E94" s="82">
        <f>IFERROR(__xludf.DUMMYFUNCTION("""COMPUTED_VALUE"""),0.054861111115315)</f>
        <v>0.05486111112</v>
      </c>
      <c r="F94" s="137">
        <f>IFERROR(__xludf.DUMMYFUNCTION("""COMPUTED_VALUE"""),0.5715277777781012)</f>
        <v>0.5715277778</v>
      </c>
      <c r="G94" s="82">
        <f>IFERROR(__xludf.DUMMYFUNCTION("""COMPUTED_VALUE"""),0.054861111115315)</f>
        <v>0.05486111112</v>
      </c>
      <c r="H94" s="115">
        <f>IFERROR(__xludf.DUMMYFUNCTION("""COMPUTED_VALUE"""),38.0)</f>
        <v>38</v>
      </c>
      <c r="I94" s="112">
        <f>IFERROR(__xludf.DUMMYFUNCTION("""COMPUTED_VALUE"""),28.860759491459348)</f>
        <v>28.86075949</v>
      </c>
      <c r="J94" s="74" t="str">
        <f>IFERROR(__xludf.DUMMYFUNCTION("""COMPUTED_VALUE"""),"Lunch")</f>
        <v>Lunch</v>
      </c>
      <c r="K94" s="113">
        <f>IFERROR(__xludf.DUMMYFUNCTION("""COMPUTED_VALUE"""),45932.0)</f>
        <v>45932</v>
      </c>
      <c r="L94" s="74" t="str">
        <f>IFERROR(__xludf.DUMMYFUNCTION("""COMPUTED_VALUE"""),"Thursday")</f>
        <v>Thursday</v>
      </c>
      <c r="M94" s="74" t="str">
        <f>IFERROR(__xludf.DUMMYFUNCTION("""COMPUTED_VALUE"""),"BF")</f>
        <v>BF</v>
      </c>
      <c r="N94" s="114">
        <f>IFERROR(__xludf.DUMMYFUNCTION("""COMPUTED_VALUE"""),0.7432453011339116)</f>
        <v>0.7432453011</v>
      </c>
      <c r="O94" s="74" t="str">
        <f>IFERROR(__xludf.DUMMYFUNCTION("""COMPUTED_VALUE"""),"")</f>
        <v/>
      </c>
      <c r="P94" s="74" t="str">
        <f>IFERROR(__xludf.DUMMYFUNCTION("""COMPUTED_VALUE"""),"")</f>
        <v/>
      </c>
      <c r="Q94" s="92" t="str">
        <f>IFERROR(__xludf.DUMMYFUNCTION("""COMPUTED_VALUE"""),"")</f>
        <v/>
      </c>
      <c r="R94" s="92" t="str">
        <f>IFERROR(__xludf.DUMMYFUNCTION("""COMPUTED_VALUE"""),"")</f>
        <v/>
      </c>
      <c r="S94" s="63" t="str">
        <f>IFERROR(__xludf.DUMMYFUNCTION("""COMPUTED_VALUE"""),"")</f>
        <v/>
      </c>
      <c r="T94" s="63" t="str">
        <f>IFERROR(__xludf.DUMMYFUNCTION("""COMPUTED_VALUE"""),"")</f>
        <v/>
      </c>
      <c r="U94" s="116" t="str">
        <f>IFERROR(__xludf.DUMMYFUNCTION("""COMPUTED_VALUE"""),"")</f>
        <v/>
      </c>
      <c r="V94" s="92" t="str">
        <f>IFERROR(__xludf.DUMMYFUNCTION("""COMPUTED_VALUE"""),"")</f>
        <v/>
      </c>
      <c r="W94" s="64" t="str">
        <f>IFERROR(__xludf.DUMMYFUNCTION("""COMPUTED_VALUE"""),"")</f>
        <v/>
      </c>
      <c r="X94" s="64" t="str">
        <f>IFERROR(__xludf.DUMMYFUNCTION("""COMPUTED_VALUE"""),"")</f>
        <v/>
      </c>
      <c r="Y94" s="114" t="str">
        <f>IFERROR(__xludf.DUMMYFUNCTION("""COMPUTED_VALUE"""),"")</f>
        <v/>
      </c>
      <c r="Z94" s="118" t="str">
        <f>IFERROR(__xludf.DUMMYFUNCTION("""COMPUTED_VALUE"""),"")</f>
        <v/>
      </c>
      <c r="AA94" s="118" t="str">
        <f>IFERROR(__xludf.DUMMYFUNCTION("""COMPUTED_VALUE"""),"")</f>
        <v/>
      </c>
      <c r="AB94" s="74" t="str">
        <f>IFERROR(__xludf.DUMMYFUNCTION("""COMPUTED_VALUE"""),"")</f>
        <v/>
      </c>
    </row>
    <row r="95">
      <c r="A95" s="109">
        <f>IFERROR(__xludf.DUMMYFUNCTION("""COMPUTED_VALUE"""),45932.77572056713)</f>
        <v>45932.77572</v>
      </c>
      <c r="B95" s="81" t="str">
        <f>IFERROR(__xludf.DUMMYFUNCTION("""COMPUTED_VALUE"""),"Emmett Khan")</f>
        <v>Emmett Khan</v>
      </c>
      <c r="C95" s="74" t="b">
        <f>IFERROR(__xludf.DUMMYFUNCTION("""COMPUTED_VALUE"""),FALSE)</f>
        <v>0</v>
      </c>
      <c r="D95" s="137">
        <f>IFERROR(__xludf.DUMMYFUNCTION("""COMPUTED_VALUE"""),0.6875)</f>
        <v>0.6875</v>
      </c>
      <c r="E95" s="82">
        <f>IFERROR(__xludf.DUMMYFUNCTION("""COMPUTED_VALUE"""),0.08333333333575865)</f>
        <v>0.08333333334</v>
      </c>
      <c r="F95" s="137">
        <f>IFERROR(__xludf.DUMMYFUNCTION("""COMPUTED_VALUE"""),0.7708333333357587)</f>
        <v>0.7708333333</v>
      </c>
      <c r="G95" s="82">
        <f>IFERROR(__xludf.DUMMYFUNCTION("""COMPUTED_VALUE"""),0.08333333333575865)</f>
        <v>0.08333333334</v>
      </c>
      <c r="H95" s="115">
        <f>IFERROR(__xludf.DUMMYFUNCTION("""COMPUTED_VALUE"""),80.0)</f>
        <v>80</v>
      </c>
      <c r="I95" s="112">
        <f>IFERROR(__xludf.DUMMYFUNCTION("""COMPUTED_VALUE"""),39.99999999883585)</f>
        <v>40</v>
      </c>
      <c r="J95" s="74" t="str">
        <f>IFERROR(__xludf.DUMMYFUNCTION("""COMPUTED_VALUE"""),"Dinner")</f>
        <v>Dinner</v>
      </c>
      <c r="K95" s="113">
        <f>IFERROR(__xludf.DUMMYFUNCTION("""COMPUTED_VALUE"""),45932.0)</f>
        <v>45932</v>
      </c>
      <c r="L95" s="74" t="str">
        <f>IFERROR(__xludf.DUMMYFUNCTION("""COMPUTED_VALUE"""),"Thursday")</f>
        <v>Thursday</v>
      </c>
      <c r="M95" s="74" t="str">
        <f>IFERROR(__xludf.DUMMYFUNCTION("""COMPUTED_VALUE"""),"BF")</f>
        <v>BF</v>
      </c>
      <c r="N95" s="114">
        <f>IFERROR(__xludf.DUMMYFUNCTION("""COMPUTED_VALUE"""),0.9439865961384427)</f>
        <v>0.9439865961</v>
      </c>
      <c r="O95" s="74">
        <f>IFERROR(__xludf.DUMMYFUNCTION("""COMPUTED_VALUE"""),147.0)</f>
        <v>147</v>
      </c>
      <c r="P95" s="74">
        <f>IFERROR(__xludf.DUMMYFUNCTION("""COMPUTED_VALUE"""),291.0)</f>
        <v>291</v>
      </c>
      <c r="Q95" s="92">
        <f>IFERROR(__xludf.DUMMYFUNCTION("""COMPUTED_VALUE"""),0.15625)</f>
        <v>0.15625</v>
      </c>
      <c r="R95" s="92">
        <f>IFERROR(__xludf.DUMMYFUNCTION("""COMPUTED_VALUE"""),0.3465277777868323)</f>
        <v>0.3465277778</v>
      </c>
      <c r="S95" s="63">
        <f>IFERROR(__xludf.DUMMYFUNCTION("""COMPUTED_VALUE"""),39.03571428571859)</f>
        <v>39.03571429</v>
      </c>
      <c r="T95" s="63">
        <f>IFERROR(__xludf.DUMMYFUNCTION("""COMPUTED_VALUE"""),34.21518987272475)</f>
        <v>34.21518987</v>
      </c>
      <c r="U95" s="116">
        <f>IFERROR(__xludf.DUMMYFUNCTION("""COMPUTED_VALUE"""),438.0)</f>
        <v>438</v>
      </c>
      <c r="V95" s="92">
        <f>IFERROR(__xludf.DUMMYFUNCTION("""COMPUTED_VALUE"""),0.5027777777868323)</f>
        <v>0.5027777778</v>
      </c>
      <c r="W95" s="64">
        <f>IFERROR(__xludf.DUMMYFUNCTION("""COMPUTED_VALUE"""),36.29834254078277)</f>
        <v>36.29834254</v>
      </c>
      <c r="X95" s="64">
        <f>IFERROR(__xludf.DUMMYFUNCTION("""COMPUTED_VALUE"""),35.8220313437227)</f>
        <v>35.82203134</v>
      </c>
      <c r="Y95" s="114">
        <f>IFERROR(__xludf.DUMMYFUNCTION("""COMPUTED_VALUE"""),0.7514289285837898)</f>
        <v>0.7514289286</v>
      </c>
      <c r="Z95" s="118">
        <f>IFERROR(__xludf.DUMMYFUNCTION("""COMPUTED_VALUE"""),4060.0)</f>
        <v>4060</v>
      </c>
      <c r="AA95" s="118">
        <f>IFERROR(__xludf.DUMMYFUNCTION("""COMPUTED_VALUE"""),3802.0)</f>
        <v>3802</v>
      </c>
      <c r="AB95" s="118">
        <f>IFERROR(__xludf.DUMMYFUNCTION("""COMPUTED_VALUE"""),7862.0)</f>
        <v>7862</v>
      </c>
    </row>
    <row r="96">
      <c r="A96" s="109">
        <f>IFERROR(__xludf.DUMMYFUNCTION("""COMPUTED_VALUE"""),45933.55223048611)</f>
        <v>45933.55223</v>
      </c>
      <c r="B96" s="81" t="str">
        <f>IFERROR(__xludf.DUMMYFUNCTION("""COMPUTED_VALUE"""),"Orpheus Wilson")</f>
        <v>Orpheus Wilson</v>
      </c>
      <c r="C96" s="74" t="b">
        <f>IFERROR(__xludf.DUMMYFUNCTION("""COMPUTED_VALUE"""),FALSE)</f>
        <v>0</v>
      </c>
      <c r="D96" s="137">
        <f>IFERROR(__xludf.DUMMYFUNCTION("""COMPUTED_VALUE"""),0.47916666666424135)</f>
        <v>0.4791666667</v>
      </c>
      <c r="E96" s="82">
        <f>IFERROR(__xludf.DUMMYFUNCTION("""COMPUTED_VALUE"""),0.07083333333866904)</f>
        <v>0.07083333334</v>
      </c>
      <c r="F96" s="137">
        <f>IFERROR(__xludf.DUMMYFUNCTION("""COMPUTED_VALUE"""),0.5500000000029104)</f>
        <v>0.55</v>
      </c>
      <c r="G96" s="82">
        <f>IFERROR(__xludf.DUMMYFUNCTION("""COMPUTED_VALUE"""),0.07083333333866904)</f>
        <v>0.07083333334</v>
      </c>
      <c r="H96" s="115">
        <f>IFERROR(__xludf.DUMMYFUNCTION("""COMPUTED_VALUE"""),102.0)</f>
        <v>102</v>
      </c>
      <c r="I96" s="112">
        <f>IFERROR(__xludf.DUMMYFUNCTION("""COMPUTED_VALUE"""),59.999999995480344)</f>
        <v>60</v>
      </c>
      <c r="J96" s="74" t="str">
        <f>IFERROR(__xludf.DUMMYFUNCTION("""COMPUTED_VALUE"""),"Lunch")</f>
        <v>Lunch</v>
      </c>
      <c r="K96" s="113">
        <f>IFERROR(__xludf.DUMMYFUNCTION("""COMPUTED_VALUE"""),45933.0)</f>
        <v>45933</v>
      </c>
      <c r="L96" s="74" t="str">
        <f>IFERROR(__xludf.DUMMYFUNCTION("""COMPUTED_VALUE"""),"Friday")</f>
        <v>Friday</v>
      </c>
      <c r="M96" s="74" t="str">
        <f>IFERROR(__xludf.DUMMYFUNCTION("""COMPUTED_VALUE"""),"MF")</f>
        <v>MF</v>
      </c>
      <c r="N96" s="114">
        <f>IFERROR(__xludf.DUMMYFUNCTION("""COMPUTED_VALUE"""),1.2476905938022278)</f>
        <v>1.247690594</v>
      </c>
      <c r="O96" s="74" t="str">
        <f>IFERROR(__xludf.DUMMYFUNCTION("""COMPUTED_VALUE"""),"")</f>
        <v/>
      </c>
      <c r="P96" s="74" t="str">
        <f>IFERROR(__xludf.DUMMYFUNCTION("""COMPUTED_VALUE"""),"")</f>
        <v/>
      </c>
      <c r="Q96" s="92" t="str">
        <f>IFERROR(__xludf.DUMMYFUNCTION("""COMPUTED_VALUE"""),"")</f>
        <v/>
      </c>
      <c r="R96" s="92" t="str">
        <f>IFERROR(__xludf.DUMMYFUNCTION("""COMPUTED_VALUE"""),"")</f>
        <v/>
      </c>
      <c r="S96" s="63" t="str">
        <f>IFERROR(__xludf.DUMMYFUNCTION("""COMPUTED_VALUE"""),"")</f>
        <v/>
      </c>
      <c r="T96" s="63" t="str">
        <f>IFERROR(__xludf.DUMMYFUNCTION("""COMPUTED_VALUE"""),"")</f>
        <v/>
      </c>
      <c r="U96" s="116" t="str">
        <f>IFERROR(__xludf.DUMMYFUNCTION("""COMPUTED_VALUE"""),"")</f>
        <v/>
      </c>
      <c r="V96" s="92" t="str">
        <f>IFERROR(__xludf.DUMMYFUNCTION("""COMPUTED_VALUE"""),"")</f>
        <v/>
      </c>
      <c r="W96" s="64" t="str">
        <f>IFERROR(__xludf.DUMMYFUNCTION("""COMPUTED_VALUE"""),"")</f>
        <v/>
      </c>
      <c r="X96" s="64" t="str">
        <f>IFERROR(__xludf.DUMMYFUNCTION("""COMPUTED_VALUE"""),"")</f>
        <v/>
      </c>
      <c r="Y96" s="114" t="str">
        <f>IFERROR(__xludf.DUMMYFUNCTION("""COMPUTED_VALUE"""),"")</f>
        <v/>
      </c>
      <c r="Z96" s="118" t="str">
        <f>IFERROR(__xludf.DUMMYFUNCTION("""COMPUTED_VALUE"""),"")</f>
        <v/>
      </c>
      <c r="AA96" s="118" t="str">
        <f>IFERROR(__xludf.DUMMYFUNCTION("""COMPUTED_VALUE"""),"")</f>
        <v/>
      </c>
      <c r="AB96" s="74" t="str">
        <f>IFERROR(__xludf.DUMMYFUNCTION("""COMPUTED_VALUE"""),"")</f>
        <v/>
      </c>
    </row>
    <row r="97">
      <c r="A97" s="109">
        <f>IFERROR(__xludf.DUMMYFUNCTION("""COMPUTED_VALUE"""),45933.597855659726)</f>
        <v>45933.59786</v>
      </c>
      <c r="B97" s="81" t="str">
        <f>IFERROR(__xludf.DUMMYFUNCTION("""COMPUTED_VALUE"""),"Greta Traynor")</f>
        <v>Greta Traynor</v>
      </c>
      <c r="C97" s="74" t="b">
        <f>IFERROR(__xludf.DUMMYFUNCTION("""COMPUTED_VALUE"""),FALSE)</f>
        <v>0</v>
      </c>
      <c r="D97" s="137">
        <f>IFERROR(__xludf.DUMMYFUNCTION("""COMPUTED_VALUE"""),0.538888888884685)</f>
        <v>0.5388888889</v>
      </c>
      <c r="E97" s="82">
        <f>IFERROR(__xludf.DUMMYFUNCTION("""COMPUTED_VALUE"""),0.05277777778246673)</f>
        <v>0.05277777778</v>
      </c>
      <c r="F97" s="137">
        <f>IFERROR(__xludf.DUMMYFUNCTION("""COMPUTED_VALUE"""),0.5916666666671517)</f>
        <v>0.5916666667</v>
      </c>
      <c r="G97" s="82">
        <f>IFERROR(__xludf.DUMMYFUNCTION("""COMPUTED_VALUE"""),0.05277777778246673)</f>
        <v>0.05277777778</v>
      </c>
      <c r="H97" s="115">
        <f>IFERROR(__xludf.DUMMYFUNCTION("""COMPUTED_VALUE"""),47.0)</f>
        <v>47</v>
      </c>
      <c r="I97" s="112">
        <f>IFERROR(__xludf.DUMMYFUNCTION("""COMPUTED_VALUE"""),37.105263154598184)</f>
        <v>37.10526315</v>
      </c>
      <c r="J97" s="74" t="str">
        <f>IFERROR(__xludf.DUMMYFUNCTION("""COMPUTED_VALUE"""),"Lunch")</f>
        <v>Lunch</v>
      </c>
      <c r="K97" s="113">
        <f>IFERROR(__xludf.DUMMYFUNCTION("""COMPUTED_VALUE"""),45933.0)</f>
        <v>45933</v>
      </c>
      <c r="L97" s="74" t="str">
        <f>IFERROR(__xludf.DUMMYFUNCTION("""COMPUTED_VALUE"""),"Friday")</f>
        <v>Friday</v>
      </c>
      <c r="M97" s="74" t="str">
        <f>IFERROR(__xludf.DUMMYFUNCTION("""COMPUTED_VALUE"""),"BF")</f>
        <v>BF</v>
      </c>
      <c r="N97" s="114">
        <f>IFERROR(__xludf.DUMMYFUNCTION("""COMPUTED_VALUE"""),0.9555643362453267)</f>
        <v>0.9555643362</v>
      </c>
      <c r="O97" s="74" t="str">
        <f>IFERROR(__xludf.DUMMYFUNCTION("""COMPUTED_VALUE"""),"")</f>
        <v/>
      </c>
      <c r="P97" s="74" t="str">
        <f>IFERROR(__xludf.DUMMYFUNCTION("""COMPUTED_VALUE"""),"")</f>
        <v/>
      </c>
      <c r="Q97" s="92" t="str">
        <f>IFERROR(__xludf.DUMMYFUNCTION("""COMPUTED_VALUE"""),"")</f>
        <v/>
      </c>
      <c r="R97" s="92" t="str">
        <f>IFERROR(__xludf.DUMMYFUNCTION("""COMPUTED_VALUE"""),"")</f>
        <v/>
      </c>
      <c r="S97" s="63" t="str">
        <f>IFERROR(__xludf.DUMMYFUNCTION("""COMPUTED_VALUE"""),"")</f>
        <v/>
      </c>
      <c r="T97" s="63" t="str">
        <f>IFERROR(__xludf.DUMMYFUNCTION("""COMPUTED_VALUE"""),"")</f>
        <v/>
      </c>
      <c r="U97" s="116" t="str">
        <f>IFERROR(__xludf.DUMMYFUNCTION("""COMPUTED_VALUE"""),"")</f>
        <v/>
      </c>
      <c r="V97" s="92" t="str">
        <f>IFERROR(__xludf.DUMMYFUNCTION("""COMPUTED_VALUE"""),"")</f>
        <v/>
      </c>
      <c r="W97" s="64" t="str">
        <f>IFERROR(__xludf.DUMMYFUNCTION("""COMPUTED_VALUE"""),"")</f>
        <v/>
      </c>
      <c r="X97" s="64" t="str">
        <f>IFERROR(__xludf.DUMMYFUNCTION("""COMPUTED_VALUE"""),"")</f>
        <v/>
      </c>
      <c r="Y97" s="114" t="str">
        <f>IFERROR(__xludf.DUMMYFUNCTION("""COMPUTED_VALUE"""),"")</f>
        <v/>
      </c>
      <c r="Z97" s="118" t="str">
        <f>IFERROR(__xludf.DUMMYFUNCTION("""COMPUTED_VALUE"""),"")</f>
        <v/>
      </c>
      <c r="AA97" s="118" t="str">
        <f>IFERROR(__xludf.DUMMYFUNCTION("""COMPUTED_VALUE"""),"")</f>
        <v/>
      </c>
      <c r="AB97" s="74" t="str">
        <f>IFERROR(__xludf.DUMMYFUNCTION("""COMPUTED_VALUE"""),"")</f>
        <v/>
      </c>
    </row>
    <row r="98">
      <c r="A98" s="109">
        <f>IFERROR(__xludf.DUMMYFUNCTION("""COMPUTED_VALUE"""),45933.6249044213)</f>
        <v>45933.6249</v>
      </c>
      <c r="B98" s="81" t="str">
        <f>IFERROR(__xludf.DUMMYFUNCTION("""COMPUTED_VALUE"""),"Brynn Hornig")</f>
        <v>Brynn Hornig</v>
      </c>
      <c r="C98" s="74" t="b">
        <f>IFERROR(__xludf.DUMMYFUNCTION("""COMPUTED_VALUE"""),FALSE)</f>
        <v>0</v>
      </c>
      <c r="D98" s="137">
        <f>IFERROR(__xludf.DUMMYFUNCTION("""COMPUTED_VALUE"""),0.5520833333357587)</f>
        <v>0.5520833333</v>
      </c>
      <c r="E98" s="82">
        <f>IFERROR(__xludf.DUMMYFUNCTION("""COMPUTED_VALUE"""),0.04166666666424135)</f>
        <v>0.04166666666</v>
      </c>
      <c r="F98" s="137">
        <f>IFERROR(__xludf.DUMMYFUNCTION("""COMPUTED_VALUE"""),0.59375)</f>
        <v>0.59375</v>
      </c>
      <c r="G98" s="82">
        <f>IFERROR(__xludf.DUMMYFUNCTION("""COMPUTED_VALUE"""),0.0833333333284827)</f>
        <v>0.08333333333</v>
      </c>
      <c r="H98" s="115">
        <f>IFERROR(__xludf.DUMMYFUNCTION("""COMPUTED_VALUE"""),40.0)</f>
        <v>40</v>
      </c>
      <c r="I98" s="112">
        <f>IFERROR(__xludf.DUMMYFUNCTION("""COMPUTED_VALUE"""),20.000000001164153)</f>
        <v>20</v>
      </c>
      <c r="J98" s="74" t="str">
        <f>IFERROR(__xludf.DUMMYFUNCTION("""COMPUTED_VALUE"""),"Lunch")</f>
        <v>Lunch</v>
      </c>
      <c r="K98" s="113">
        <f>IFERROR(__xludf.DUMMYFUNCTION("""COMPUTED_VALUE"""),45933.0)</f>
        <v>45933</v>
      </c>
      <c r="L98" s="74" t="str">
        <f>IFERROR(__xludf.DUMMYFUNCTION("""COMPUTED_VALUE"""),"Friday")</f>
        <v>Friday</v>
      </c>
      <c r="M98" s="74" t="str">
        <f>IFERROR(__xludf.DUMMYFUNCTION("""COMPUTED_VALUE"""),"MF")</f>
        <v>MF</v>
      </c>
      <c r="N98" s="114">
        <f>IFERROR(__xludf.DUMMYFUNCTION("""COMPUTED_VALUE"""),0.4158968646562795)</f>
        <v>0.4158968647</v>
      </c>
      <c r="O98" s="74" t="str">
        <f>IFERROR(__xludf.DUMMYFUNCTION("""COMPUTED_VALUE"""),"")</f>
        <v/>
      </c>
      <c r="P98" s="74" t="str">
        <f>IFERROR(__xludf.DUMMYFUNCTION("""COMPUTED_VALUE"""),"")</f>
        <v/>
      </c>
      <c r="Q98" s="92" t="str">
        <f>IFERROR(__xludf.DUMMYFUNCTION("""COMPUTED_VALUE"""),"")</f>
        <v/>
      </c>
      <c r="R98" s="92" t="str">
        <f>IFERROR(__xludf.DUMMYFUNCTION("""COMPUTED_VALUE"""),"")</f>
        <v/>
      </c>
      <c r="S98" s="63" t="str">
        <f>IFERROR(__xludf.DUMMYFUNCTION("""COMPUTED_VALUE"""),"")</f>
        <v/>
      </c>
      <c r="T98" s="63" t="str">
        <f>IFERROR(__xludf.DUMMYFUNCTION("""COMPUTED_VALUE"""),"")</f>
        <v/>
      </c>
      <c r="U98" s="116" t="str">
        <f>IFERROR(__xludf.DUMMYFUNCTION("""COMPUTED_VALUE"""),"")</f>
        <v/>
      </c>
      <c r="V98" s="92" t="str">
        <f>IFERROR(__xludf.DUMMYFUNCTION("""COMPUTED_VALUE"""),"")</f>
        <v/>
      </c>
      <c r="W98" s="64" t="str">
        <f>IFERROR(__xludf.DUMMYFUNCTION("""COMPUTED_VALUE"""),"")</f>
        <v/>
      </c>
      <c r="X98" s="64" t="str">
        <f>IFERROR(__xludf.DUMMYFUNCTION("""COMPUTED_VALUE"""),"")</f>
        <v/>
      </c>
      <c r="Y98" s="114" t="str">
        <f>IFERROR(__xludf.DUMMYFUNCTION("""COMPUTED_VALUE"""),"")</f>
        <v/>
      </c>
      <c r="Z98" s="118" t="str">
        <f>IFERROR(__xludf.DUMMYFUNCTION("""COMPUTED_VALUE"""),"")</f>
        <v/>
      </c>
      <c r="AA98" s="118" t="str">
        <f>IFERROR(__xludf.DUMMYFUNCTION("""COMPUTED_VALUE"""),"")</f>
        <v/>
      </c>
      <c r="AB98" s="74" t="str">
        <f>IFERROR(__xludf.DUMMYFUNCTION("""COMPUTED_VALUE"""),"")</f>
        <v/>
      </c>
    </row>
    <row r="99">
      <c r="A99" s="109">
        <f>IFERROR(__xludf.DUMMYFUNCTION("""COMPUTED_VALUE"""),45933.630705578704)</f>
        <v>45933.63071</v>
      </c>
      <c r="B99" s="81" t="str">
        <f>IFERROR(__xludf.DUMMYFUNCTION("""COMPUTED_VALUE"""),"Brynn Hornig")</f>
        <v>Brynn Hornig</v>
      </c>
      <c r="C99" s="74" t="b">
        <f>IFERROR(__xludf.DUMMYFUNCTION("""COMPUTED_VALUE"""),TRUE)</f>
        <v>1</v>
      </c>
      <c r="D99" s="137">
        <f>IFERROR(__xludf.DUMMYFUNCTION("""COMPUTED_VALUE"""),0.59375)</f>
        <v>0.59375</v>
      </c>
      <c r="E99" s="82">
        <f>IFERROR(__xludf.DUMMYFUNCTION("""COMPUTED_VALUE"""),0.04166666666424135)</f>
        <v>0.04166666666</v>
      </c>
      <c r="F99" s="137">
        <f>IFERROR(__xludf.DUMMYFUNCTION("""COMPUTED_VALUE"""),0.6354166666642413)</f>
        <v>0.6354166667</v>
      </c>
      <c r="G99" s="82" t="str">
        <f>IFERROR(__xludf.DUMMYFUNCTION("""COMPUTED_VALUE"""),"")</f>
        <v/>
      </c>
      <c r="H99" s="115">
        <f>IFERROR(__xludf.DUMMYFUNCTION("""COMPUTED_VALUE"""),41.0)</f>
        <v>41</v>
      </c>
      <c r="I99" s="112" t="str">
        <f>IFERROR(__xludf.DUMMYFUNCTION("""COMPUTED_VALUE"""),"")</f>
        <v/>
      </c>
      <c r="J99" s="74" t="str">
        <f>IFERROR(__xludf.DUMMYFUNCTION("""COMPUTED_VALUE"""),"Lunch")</f>
        <v>Lunch</v>
      </c>
      <c r="K99" s="113">
        <f>IFERROR(__xludf.DUMMYFUNCTION("""COMPUTED_VALUE"""),45933.0)</f>
        <v>45933</v>
      </c>
      <c r="L99" s="74" t="str">
        <f>IFERROR(__xludf.DUMMYFUNCTION("""COMPUTED_VALUE"""),"Friday")</f>
        <v>Friday</v>
      </c>
      <c r="M99" s="74" t="str">
        <f>IFERROR(__xludf.DUMMYFUNCTION("""COMPUTED_VALUE"""),"MF")</f>
        <v>MF</v>
      </c>
      <c r="N99" s="114" t="str">
        <f>IFERROR(__xludf.DUMMYFUNCTION("""COMPUTED_VALUE"""),"")</f>
        <v/>
      </c>
      <c r="O99" s="74" t="str">
        <f>IFERROR(__xludf.DUMMYFUNCTION("""COMPUTED_VALUE"""),"")</f>
        <v/>
      </c>
      <c r="P99" s="74" t="str">
        <f>IFERROR(__xludf.DUMMYFUNCTION("""COMPUTED_VALUE"""),"")</f>
        <v/>
      </c>
      <c r="Q99" s="92" t="str">
        <f>IFERROR(__xludf.DUMMYFUNCTION("""COMPUTED_VALUE"""),"")</f>
        <v/>
      </c>
      <c r="R99" s="92" t="str">
        <f>IFERROR(__xludf.DUMMYFUNCTION("""COMPUTED_VALUE"""),"")</f>
        <v/>
      </c>
      <c r="S99" s="63" t="str">
        <f>IFERROR(__xludf.DUMMYFUNCTION("""COMPUTED_VALUE"""),"")</f>
        <v/>
      </c>
      <c r="T99" s="63" t="str">
        <f>IFERROR(__xludf.DUMMYFUNCTION("""COMPUTED_VALUE"""),"")</f>
        <v/>
      </c>
      <c r="U99" s="116" t="str">
        <f>IFERROR(__xludf.DUMMYFUNCTION("""COMPUTED_VALUE"""),"")</f>
        <v/>
      </c>
      <c r="V99" s="92" t="str">
        <f>IFERROR(__xludf.DUMMYFUNCTION("""COMPUTED_VALUE"""),"")</f>
        <v/>
      </c>
      <c r="W99" s="64" t="str">
        <f>IFERROR(__xludf.DUMMYFUNCTION("""COMPUTED_VALUE"""),"")</f>
        <v/>
      </c>
      <c r="X99" s="64" t="str">
        <f>IFERROR(__xludf.DUMMYFUNCTION("""COMPUTED_VALUE"""),"")</f>
        <v/>
      </c>
      <c r="Y99" s="114" t="str">
        <f>IFERROR(__xludf.DUMMYFUNCTION("""COMPUTED_VALUE"""),"")</f>
        <v/>
      </c>
      <c r="Z99" s="118" t="str">
        <f>IFERROR(__xludf.DUMMYFUNCTION("""COMPUTED_VALUE"""),"")</f>
        <v/>
      </c>
      <c r="AA99" s="118" t="str">
        <f>IFERROR(__xludf.DUMMYFUNCTION("""COMPUTED_VALUE"""),"")</f>
        <v/>
      </c>
      <c r="AB99" s="74" t="str">
        <f>IFERROR(__xludf.DUMMYFUNCTION("""COMPUTED_VALUE"""),"")</f>
        <v/>
      </c>
    </row>
    <row r="100">
      <c r="A100" s="109">
        <f>IFERROR(__xludf.DUMMYFUNCTION("""COMPUTED_VALUE"""),45933.74145747685)</f>
        <v>45933.74146</v>
      </c>
      <c r="B100" s="81" t="str">
        <f>IFERROR(__xludf.DUMMYFUNCTION("""COMPUTED_VALUE"""),"Emmett Khan")</f>
        <v>Emmett Khan</v>
      </c>
      <c r="C100" s="74" t="b">
        <f>IFERROR(__xludf.DUMMYFUNCTION("""COMPUTED_VALUE"""),FALSE)</f>
        <v>0</v>
      </c>
      <c r="D100" s="137">
        <f>IFERROR(__xludf.DUMMYFUNCTION("""COMPUTED_VALUE"""),0.6666666666642413)</f>
        <v>0.6666666667</v>
      </c>
      <c r="E100" s="82">
        <f>IFERROR(__xludf.DUMMYFUNCTION("""COMPUTED_VALUE"""),0.0729166666715173)</f>
        <v>0.07291666667</v>
      </c>
      <c r="F100" s="137">
        <f>IFERROR(__xludf.DUMMYFUNCTION("""COMPUTED_VALUE"""),0.7395833333357587)</f>
        <v>0.7395833333</v>
      </c>
      <c r="G100" s="82">
        <f>IFERROR(__xludf.DUMMYFUNCTION("""COMPUTED_VALUE"""),0.09375)</f>
        <v>0.09375</v>
      </c>
      <c r="H100" s="115">
        <f>IFERROR(__xludf.DUMMYFUNCTION("""COMPUTED_VALUE"""),157.0)</f>
        <v>157</v>
      </c>
      <c r="I100" s="112">
        <f>IFERROR(__xludf.DUMMYFUNCTION("""COMPUTED_VALUE"""),69.77777777777777)</f>
        <v>69.77777778</v>
      </c>
      <c r="J100" s="74" t="str">
        <f>IFERROR(__xludf.DUMMYFUNCTION("""COMPUTED_VALUE"""),"Dinner")</f>
        <v>Dinner</v>
      </c>
      <c r="K100" s="113">
        <f>IFERROR(__xludf.DUMMYFUNCTION("""COMPUTED_VALUE"""),45933.0)</f>
        <v>45933</v>
      </c>
      <c r="L100" s="74" t="str">
        <f>IFERROR(__xludf.DUMMYFUNCTION("""COMPUTED_VALUE"""),"Friday")</f>
        <v>Friday</v>
      </c>
      <c r="M100" s="74" t="str">
        <f>IFERROR(__xludf.DUMMYFUNCTION("""COMPUTED_VALUE"""),"BF")</f>
        <v>BF</v>
      </c>
      <c r="N100" s="114">
        <f>IFERROR(__xludf.DUMMYFUNCTION("""COMPUTED_VALUE"""),1.6467321733116538)</f>
        <v>1.646732173</v>
      </c>
      <c r="O100" s="74" t="str">
        <f>IFERROR(__xludf.DUMMYFUNCTION("""COMPUTED_VALUE"""),"")</f>
        <v/>
      </c>
      <c r="P100" s="74" t="str">
        <f>IFERROR(__xludf.DUMMYFUNCTION("""COMPUTED_VALUE"""),"")</f>
        <v/>
      </c>
      <c r="Q100" s="92" t="str">
        <f>IFERROR(__xludf.DUMMYFUNCTION("""COMPUTED_VALUE"""),"")</f>
        <v/>
      </c>
      <c r="R100" s="92" t="str">
        <f>IFERROR(__xludf.DUMMYFUNCTION("""COMPUTED_VALUE"""),"")</f>
        <v/>
      </c>
      <c r="S100" s="63" t="str">
        <f>IFERROR(__xludf.DUMMYFUNCTION("""COMPUTED_VALUE"""),"")</f>
        <v/>
      </c>
      <c r="T100" s="63" t="str">
        <f>IFERROR(__xludf.DUMMYFUNCTION("""COMPUTED_VALUE"""),"")</f>
        <v/>
      </c>
      <c r="U100" s="116" t="str">
        <f>IFERROR(__xludf.DUMMYFUNCTION("""COMPUTED_VALUE"""),"")</f>
        <v/>
      </c>
      <c r="V100" s="92" t="str">
        <f>IFERROR(__xludf.DUMMYFUNCTION("""COMPUTED_VALUE"""),"")</f>
        <v/>
      </c>
      <c r="W100" s="64" t="str">
        <f>IFERROR(__xludf.DUMMYFUNCTION("""COMPUTED_VALUE"""),"")</f>
        <v/>
      </c>
      <c r="X100" s="64" t="str">
        <f>IFERROR(__xludf.DUMMYFUNCTION("""COMPUTED_VALUE"""),"")</f>
        <v/>
      </c>
      <c r="Y100" s="114" t="str">
        <f>IFERROR(__xludf.DUMMYFUNCTION("""COMPUTED_VALUE"""),"")</f>
        <v/>
      </c>
      <c r="Z100" s="118" t="str">
        <f>IFERROR(__xludf.DUMMYFUNCTION("""COMPUTED_VALUE"""),"")</f>
        <v/>
      </c>
      <c r="AA100" s="118" t="str">
        <f>IFERROR(__xludf.DUMMYFUNCTION("""COMPUTED_VALUE"""),"")</f>
        <v/>
      </c>
      <c r="AB100" s="74" t="str">
        <f>IFERROR(__xludf.DUMMYFUNCTION("""COMPUTED_VALUE"""),"")</f>
        <v/>
      </c>
    </row>
    <row r="101">
      <c r="A101" s="109">
        <f>IFERROR(__xludf.DUMMYFUNCTION("""COMPUTED_VALUE"""),45933.763813171296)</f>
        <v>45933.76381</v>
      </c>
      <c r="B101" s="81" t="str">
        <f>IFERROR(__xludf.DUMMYFUNCTION("""COMPUTED_VALUE"""),"Emmett Khan")</f>
        <v>Emmett Khan</v>
      </c>
      <c r="C101" s="74" t="b">
        <f>IFERROR(__xludf.DUMMYFUNCTION("""COMPUTED_VALUE"""),TRUE)</f>
        <v>1</v>
      </c>
      <c r="D101" s="137">
        <f>IFERROR(__xludf.DUMMYFUNCTION("""COMPUTED_VALUE"""),0.7395833333357587)</f>
        <v>0.7395833333</v>
      </c>
      <c r="E101" s="82">
        <f>IFERROR(__xludf.DUMMYFUNCTION("""COMPUTED_VALUE"""),0.020833333328482695)</f>
        <v>0.02083333333</v>
      </c>
      <c r="F101" s="137">
        <f>IFERROR(__xludf.DUMMYFUNCTION("""COMPUTED_VALUE"""),0.7604166666642413)</f>
        <v>0.7604166667</v>
      </c>
      <c r="G101" s="82" t="str">
        <f>IFERROR(__xludf.DUMMYFUNCTION("""COMPUTED_VALUE"""),"")</f>
        <v/>
      </c>
      <c r="H101" s="115">
        <f>IFERROR(__xludf.DUMMYFUNCTION("""COMPUTED_VALUE"""),67.0)</f>
        <v>67</v>
      </c>
      <c r="I101" s="112" t="str">
        <f>IFERROR(__xludf.DUMMYFUNCTION("""COMPUTED_VALUE"""),"")</f>
        <v/>
      </c>
      <c r="J101" s="74" t="str">
        <f>IFERROR(__xludf.DUMMYFUNCTION("""COMPUTED_VALUE"""),"Dinner")</f>
        <v>Dinner</v>
      </c>
      <c r="K101" s="113">
        <f>IFERROR(__xludf.DUMMYFUNCTION("""COMPUTED_VALUE"""),45933.0)</f>
        <v>45933</v>
      </c>
      <c r="L101" s="74" t="str">
        <f>IFERROR(__xludf.DUMMYFUNCTION("""COMPUTED_VALUE"""),"Friday")</f>
        <v>Friday</v>
      </c>
      <c r="M101" s="74" t="str">
        <f>IFERROR(__xludf.DUMMYFUNCTION("""COMPUTED_VALUE"""),"MF")</f>
        <v>MF</v>
      </c>
      <c r="N101" s="114" t="str">
        <f>IFERROR(__xludf.DUMMYFUNCTION("""COMPUTED_VALUE"""),"")</f>
        <v/>
      </c>
      <c r="O101" s="74">
        <f>IFERROR(__xludf.DUMMYFUNCTION("""COMPUTED_VALUE"""),250.0)</f>
        <v>250</v>
      </c>
      <c r="P101" s="74">
        <f>IFERROR(__xludf.DUMMYFUNCTION("""COMPUTED_VALUE"""),204.0)</f>
        <v>204</v>
      </c>
      <c r="Q101" s="92">
        <f>IFERROR(__xludf.DUMMYFUNCTION("""COMPUTED_VALUE"""),0.17499999999563443)</f>
        <v>0.175</v>
      </c>
      <c r="R101" s="92">
        <f>IFERROR(__xludf.DUMMYFUNCTION("""COMPUTED_VALUE"""),0.12569444445398403)</f>
        <v>0.1256944445</v>
      </c>
      <c r="S101" s="63">
        <f>IFERROR(__xludf.DUMMYFUNCTION("""COMPUTED_VALUE"""),39.99999999832225)</f>
        <v>40</v>
      </c>
      <c r="T101" s="63">
        <f>IFERROR(__xludf.DUMMYFUNCTION("""COMPUTED_VALUE"""),53.44152046618798)</f>
        <v>53.44152047</v>
      </c>
      <c r="U101" s="116">
        <f>IFERROR(__xludf.DUMMYFUNCTION("""COMPUTED_VALUE"""),454.0)</f>
        <v>454</v>
      </c>
      <c r="V101" s="92">
        <f>IFERROR(__xludf.DUMMYFUNCTION("""COMPUTED_VALUE"""),0.30069444444961846)</f>
        <v>0.3006944444</v>
      </c>
      <c r="W101" s="64">
        <f>IFERROR(__xludf.DUMMYFUNCTION("""COMPUTED_VALUE"""),62.90993071485285)</f>
        <v>62.90993071</v>
      </c>
      <c r="X101" s="64">
        <f>IFERROR(__xludf.DUMMYFUNCTION("""COMPUTED_VALUE"""),46.72076023225512)</f>
        <v>46.72076023</v>
      </c>
      <c r="Y101" s="114">
        <f>IFERROR(__xludf.DUMMYFUNCTION("""COMPUTED_VALUE"""),0.6850359474993896)</f>
        <v>0.6850359475</v>
      </c>
      <c r="Z101" s="118">
        <f>IFERROR(__xludf.DUMMYFUNCTION("""COMPUTED_VALUE"""),3554.0)</f>
        <v>3554</v>
      </c>
      <c r="AA101" s="118">
        <f>IFERROR(__xludf.DUMMYFUNCTION("""COMPUTED_VALUE"""),2293.0)</f>
        <v>2293</v>
      </c>
      <c r="AB101" s="118">
        <f>IFERROR(__xludf.DUMMYFUNCTION("""COMPUTED_VALUE"""),5847.0)</f>
        <v>5847</v>
      </c>
    </row>
    <row r="102">
      <c r="A102" s="109">
        <f>IFERROR(__xludf.DUMMYFUNCTION("""COMPUTED_VALUE"""),45936.43606253472)</f>
        <v>45936.43606</v>
      </c>
      <c r="B102" s="81" t="str">
        <f>IFERROR(__xludf.DUMMYFUNCTION("""COMPUTED_VALUE"""),"Sarah Wilme")</f>
        <v>Sarah Wilme</v>
      </c>
      <c r="C102" s="74" t="b">
        <f>IFERROR(__xludf.DUMMYFUNCTION("""COMPUTED_VALUE"""),FALSE)</f>
        <v>0</v>
      </c>
      <c r="D102" s="137">
        <f>IFERROR(__xludf.DUMMYFUNCTION("""COMPUTED_VALUE"""),0.36458333333575865)</f>
        <v>0.3645833333</v>
      </c>
      <c r="E102" s="82">
        <f>IFERROR(__xludf.DUMMYFUNCTION("""COMPUTED_VALUE"""),0.07291666666424135)</f>
        <v>0.07291666666</v>
      </c>
      <c r="F102" s="137">
        <f>IFERROR(__xludf.DUMMYFUNCTION("""COMPUTED_VALUE"""),0.4375)</f>
        <v>0.4375</v>
      </c>
      <c r="G102" s="82">
        <f>IFERROR(__xludf.DUMMYFUNCTION("""COMPUTED_VALUE"""),0.07291666666424135)</f>
        <v>0.07291666666</v>
      </c>
      <c r="H102" s="115">
        <f>IFERROR(__xludf.DUMMYFUNCTION("""COMPUTED_VALUE"""),42.0)</f>
        <v>42</v>
      </c>
      <c r="I102" s="112">
        <f>IFERROR(__xludf.DUMMYFUNCTION("""COMPUTED_VALUE"""),24.000000000798277)</f>
        <v>24</v>
      </c>
      <c r="J102" s="74" t="str">
        <f>IFERROR(__xludf.DUMMYFUNCTION("""COMPUTED_VALUE"""),"Breakfast")</f>
        <v>Breakfast</v>
      </c>
      <c r="K102" s="113">
        <f>IFERROR(__xludf.DUMMYFUNCTION("""COMPUTED_VALUE"""),45936.0)</f>
        <v>45936</v>
      </c>
      <c r="L102" s="74" t="str">
        <f>IFERROR(__xludf.DUMMYFUNCTION("""COMPUTED_VALUE"""),"Monday")</f>
        <v>Monday</v>
      </c>
      <c r="M102" s="74" t="str">
        <f>IFERROR(__xludf.DUMMYFUNCTION("""COMPUTED_VALUE"""),"BF")</f>
        <v>BF</v>
      </c>
      <c r="N102" s="114">
        <f>IFERROR(__xludf.DUMMYFUNCTION("""COMPUTED_VALUE"""),1.0164281746245443)</f>
        <v>1.016428175</v>
      </c>
      <c r="O102" s="74" t="str">
        <f>IFERROR(__xludf.DUMMYFUNCTION("""COMPUTED_VALUE"""),"")</f>
        <v/>
      </c>
      <c r="P102" s="74" t="str">
        <f>IFERROR(__xludf.DUMMYFUNCTION("""COMPUTED_VALUE"""),"")</f>
        <v/>
      </c>
      <c r="Q102" s="92" t="str">
        <f>IFERROR(__xludf.DUMMYFUNCTION("""COMPUTED_VALUE"""),"")</f>
        <v/>
      </c>
      <c r="R102" s="92" t="str">
        <f>IFERROR(__xludf.DUMMYFUNCTION("""COMPUTED_VALUE"""),"")</f>
        <v/>
      </c>
      <c r="S102" s="63" t="str">
        <f>IFERROR(__xludf.DUMMYFUNCTION("""COMPUTED_VALUE"""),"")</f>
        <v/>
      </c>
      <c r="T102" s="63" t="str">
        <f>IFERROR(__xludf.DUMMYFUNCTION("""COMPUTED_VALUE"""),"")</f>
        <v/>
      </c>
      <c r="U102" s="116" t="str">
        <f>IFERROR(__xludf.DUMMYFUNCTION("""COMPUTED_VALUE"""),"")</f>
        <v/>
      </c>
      <c r="V102" s="92" t="str">
        <f>IFERROR(__xludf.DUMMYFUNCTION("""COMPUTED_VALUE"""),"")</f>
        <v/>
      </c>
      <c r="W102" s="64" t="str">
        <f>IFERROR(__xludf.DUMMYFUNCTION("""COMPUTED_VALUE"""),"")</f>
        <v/>
      </c>
      <c r="X102" s="64" t="str">
        <f>IFERROR(__xludf.DUMMYFUNCTION("""COMPUTED_VALUE"""),"")</f>
        <v/>
      </c>
      <c r="Y102" s="114" t="str">
        <f>IFERROR(__xludf.DUMMYFUNCTION("""COMPUTED_VALUE"""),"")</f>
        <v/>
      </c>
      <c r="Z102" s="118" t="str">
        <f>IFERROR(__xludf.DUMMYFUNCTION("""COMPUTED_VALUE"""),"")</f>
        <v/>
      </c>
      <c r="AA102" s="118" t="str">
        <f>IFERROR(__xludf.DUMMYFUNCTION("""COMPUTED_VALUE"""),"")</f>
        <v/>
      </c>
      <c r="AB102" s="74" t="str">
        <f>IFERROR(__xludf.DUMMYFUNCTION("""COMPUTED_VALUE"""),"")</f>
        <v/>
      </c>
    </row>
    <row r="103">
      <c r="A103" s="109">
        <f>IFERROR(__xludf.DUMMYFUNCTION("""COMPUTED_VALUE"""),45936.56094407407)</f>
        <v>45936.56094</v>
      </c>
      <c r="B103" s="81" t="str">
        <f>IFERROR(__xludf.DUMMYFUNCTION("""COMPUTED_VALUE"""),"Orpheus Wilson")</f>
        <v>Orpheus Wilson</v>
      </c>
      <c r="C103" s="74" t="b">
        <f>IFERROR(__xludf.DUMMYFUNCTION("""COMPUTED_VALUE"""),FALSE)</f>
        <v>0</v>
      </c>
      <c r="D103" s="137">
        <f>IFERROR(__xludf.DUMMYFUNCTION("""COMPUTED_VALUE"""),0.48958333333575865)</f>
        <v>0.4895833333</v>
      </c>
      <c r="E103" s="82">
        <f>IFERROR(__xludf.DUMMYFUNCTION("""COMPUTED_VALUE"""),0.06597222221898846)</f>
        <v>0.06597222222</v>
      </c>
      <c r="F103" s="137">
        <f>IFERROR(__xludf.DUMMYFUNCTION("""COMPUTED_VALUE"""),0.5555555555547471)</f>
        <v>0.5555555556</v>
      </c>
      <c r="G103" s="82">
        <f>IFERROR(__xludf.DUMMYFUNCTION("""COMPUTED_VALUE"""),0.06597222221898846)</f>
        <v>0.06597222222</v>
      </c>
      <c r="H103" s="115">
        <f>IFERROR(__xludf.DUMMYFUNCTION("""COMPUTED_VALUE"""),148.0)</f>
        <v>148</v>
      </c>
      <c r="I103" s="112">
        <f>IFERROR(__xludf.DUMMYFUNCTION("""COMPUTED_VALUE"""),93.47368421510811)</f>
        <v>93.47368422</v>
      </c>
      <c r="J103" s="74" t="str">
        <f>IFERROR(__xludf.DUMMYFUNCTION("""COMPUTED_VALUE"""),"Lunch")</f>
        <v>Lunch</v>
      </c>
      <c r="K103" s="113">
        <f>IFERROR(__xludf.DUMMYFUNCTION("""COMPUTED_VALUE"""),45936.0)</f>
        <v>45936</v>
      </c>
      <c r="L103" s="74" t="str">
        <f>IFERROR(__xludf.DUMMYFUNCTION("""COMPUTED_VALUE"""),"Monday")</f>
        <v>Monday</v>
      </c>
      <c r="M103" s="74" t="str">
        <f>IFERROR(__xludf.DUMMYFUNCTION("""COMPUTED_VALUE"""),"MF")</f>
        <v>MF</v>
      </c>
      <c r="N103" s="114">
        <f>IFERROR(__xludf.DUMMYFUNCTION("""COMPUTED_VALUE"""),1.943770609533589)</f>
        <v>1.94377061</v>
      </c>
      <c r="O103" s="74" t="str">
        <f>IFERROR(__xludf.DUMMYFUNCTION("""COMPUTED_VALUE"""),"")</f>
        <v/>
      </c>
      <c r="P103" s="74" t="str">
        <f>IFERROR(__xludf.DUMMYFUNCTION("""COMPUTED_VALUE"""),"")</f>
        <v/>
      </c>
      <c r="Q103" s="92" t="str">
        <f>IFERROR(__xludf.DUMMYFUNCTION("""COMPUTED_VALUE"""),"")</f>
        <v/>
      </c>
      <c r="R103" s="92" t="str">
        <f>IFERROR(__xludf.DUMMYFUNCTION("""COMPUTED_VALUE"""),"")</f>
        <v/>
      </c>
      <c r="S103" s="63" t="str">
        <f>IFERROR(__xludf.DUMMYFUNCTION("""COMPUTED_VALUE"""),"")</f>
        <v/>
      </c>
      <c r="T103" s="63" t="str">
        <f>IFERROR(__xludf.DUMMYFUNCTION("""COMPUTED_VALUE"""),"")</f>
        <v/>
      </c>
      <c r="U103" s="116" t="str">
        <f>IFERROR(__xludf.DUMMYFUNCTION("""COMPUTED_VALUE"""),"")</f>
        <v/>
      </c>
      <c r="V103" s="92" t="str">
        <f>IFERROR(__xludf.DUMMYFUNCTION("""COMPUTED_VALUE"""),"")</f>
        <v/>
      </c>
      <c r="W103" s="64" t="str">
        <f>IFERROR(__xludf.DUMMYFUNCTION("""COMPUTED_VALUE"""),"")</f>
        <v/>
      </c>
      <c r="X103" s="64" t="str">
        <f>IFERROR(__xludf.DUMMYFUNCTION("""COMPUTED_VALUE"""),"")</f>
        <v/>
      </c>
      <c r="Y103" s="114" t="str">
        <f>IFERROR(__xludf.DUMMYFUNCTION("""COMPUTED_VALUE"""),"")</f>
        <v/>
      </c>
      <c r="Z103" s="118" t="str">
        <f>IFERROR(__xludf.DUMMYFUNCTION("""COMPUTED_VALUE"""),"")</f>
        <v/>
      </c>
      <c r="AA103" s="118" t="str">
        <f>IFERROR(__xludf.DUMMYFUNCTION("""COMPUTED_VALUE"""),"")</f>
        <v/>
      </c>
      <c r="AB103" s="74" t="str">
        <f>IFERROR(__xludf.DUMMYFUNCTION("""COMPUTED_VALUE"""),"")</f>
        <v/>
      </c>
    </row>
    <row r="104">
      <c r="A104" s="109">
        <f>IFERROR(__xludf.DUMMYFUNCTION("""COMPUTED_VALUE"""),45936.629170636574)</f>
        <v>45936.62917</v>
      </c>
      <c r="B104" s="81" t="str">
        <f>IFERROR(__xludf.DUMMYFUNCTION("""COMPUTED_VALUE"""),"Greta Traynor")</f>
        <v>Greta Traynor</v>
      </c>
      <c r="C104" s="74" t="b">
        <f>IFERROR(__xludf.DUMMYFUNCTION("""COMPUTED_VALUE"""),FALSE)</f>
        <v>0</v>
      </c>
      <c r="D104" s="137">
        <f>IFERROR(__xludf.DUMMYFUNCTION("""COMPUTED_VALUE"""),0.5659722222189885)</f>
        <v>0.5659722222</v>
      </c>
      <c r="E104" s="82">
        <f>IFERROR(__xludf.DUMMYFUNCTION("""COMPUTED_VALUE"""),0.06527777777955635)</f>
        <v>0.06527777778</v>
      </c>
      <c r="F104" s="137">
        <f>IFERROR(__xludf.DUMMYFUNCTION("""COMPUTED_VALUE"""),0.6312499999985448)</f>
        <v>0.63125</v>
      </c>
      <c r="G104" s="82">
        <f>IFERROR(__xludf.DUMMYFUNCTION("""COMPUTED_VALUE"""),0.06527777777955635)</f>
        <v>0.06527777778</v>
      </c>
      <c r="H104" s="115">
        <f>IFERROR(__xludf.DUMMYFUNCTION("""COMPUTED_VALUE"""),56.0)</f>
        <v>56</v>
      </c>
      <c r="I104" s="112">
        <f>IFERROR(__xludf.DUMMYFUNCTION("""COMPUTED_VALUE"""),35.74468085008993)</f>
        <v>35.74468085</v>
      </c>
      <c r="J104" s="74" t="str">
        <f>IFERROR(__xludf.DUMMYFUNCTION("""COMPUTED_VALUE"""),"Lunch")</f>
        <v>Lunch</v>
      </c>
      <c r="K104" s="113">
        <f>IFERROR(__xludf.DUMMYFUNCTION("""COMPUTED_VALUE"""),45936.0)</f>
        <v>45936</v>
      </c>
      <c r="L104" s="74" t="str">
        <f>IFERROR(__xludf.DUMMYFUNCTION("""COMPUTED_VALUE"""),"Monday")</f>
        <v>Monday</v>
      </c>
      <c r="M104" s="74" t="str">
        <f>IFERROR(__xludf.DUMMYFUNCTION("""COMPUTED_VALUE"""),"MF")</f>
        <v>MF</v>
      </c>
      <c r="N104" s="114">
        <f>IFERROR(__xludf.DUMMYFUNCTION("""COMPUTED_VALUE"""),0.7433050346413218)</f>
        <v>0.7433050346</v>
      </c>
      <c r="O104" s="74" t="str">
        <f>IFERROR(__xludf.DUMMYFUNCTION("""COMPUTED_VALUE"""),"")</f>
        <v/>
      </c>
      <c r="P104" s="74" t="str">
        <f>IFERROR(__xludf.DUMMYFUNCTION("""COMPUTED_VALUE"""),"")</f>
        <v/>
      </c>
      <c r="Q104" s="92" t="str">
        <f>IFERROR(__xludf.DUMMYFUNCTION("""COMPUTED_VALUE"""),"")</f>
        <v/>
      </c>
      <c r="R104" s="92" t="str">
        <f>IFERROR(__xludf.DUMMYFUNCTION("""COMPUTED_VALUE"""),"")</f>
        <v/>
      </c>
      <c r="S104" s="63" t="str">
        <f>IFERROR(__xludf.DUMMYFUNCTION("""COMPUTED_VALUE"""),"")</f>
        <v/>
      </c>
      <c r="T104" s="63" t="str">
        <f>IFERROR(__xludf.DUMMYFUNCTION("""COMPUTED_VALUE"""),"")</f>
        <v/>
      </c>
      <c r="U104" s="116" t="str">
        <f>IFERROR(__xludf.DUMMYFUNCTION("""COMPUTED_VALUE"""),"")</f>
        <v/>
      </c>
      <c r="V104" s="92" t="str">
        <f>IFERROR(__xludf.DUMMYFUNCTION("""COMPUTED_VALUE"""),"")</f>
        <v/>
      </c>
      <c r="W104" s="64" t="str">
        <f>IFERROR(__xludf.DUMMYFUNCTION("""COMPUTED_VALUE"""),"")</f>
        <v/>
      </c>
      <c r="X104" s="64" t="str">
        <f>IFERROR(__xludf.DUMMYFUNCTION("""COMPUTED_VALUE"""),"")</f>
        <v/>
      </c>
      <c r="Y104" s="114" t="str">
        <f>IFERROR(__xludf.DUMMYFUNCTION("""COMPUTED_VALUE"""),"")</f>
        <v/>
      </c>
      <c r="Z104" s="118" t="str">
        <f>IFERROR(__xludf.DUMMYFUNCTION("""COMPUTED_VALUE"""),"")</f>
        <v/>
      </c>
      <c r="AA104" s="118" t="str">
        <f>IFERROR(__xludf.DUMMYFUNCTION("""COMPUTED_VALUE"""),"")</f>
        <v/>
      </c>
      <c r="AB104" s="74" t="str">
        <f>IFERROR(__xludf.DUMMYFUNCTION("""COMPUTED_VALUE"""),"")</f>
        <v/>
      </c>
    </row>
    <row r="105">
      <c r="A105" s="109">
        <f>IFERROR(__xludf.DUMMYFUNCTION("""COMPUTED_VALUE"""),45936.65410201389)</f>
        <v>45936.6541</v>
      </c>
      <c r="B105" s="81" t="str">
        <f>IFERROR(__xludf.DUMMYFUNCTION("""COMPUTED_VALUE"""),"Emma Korsu")</f>
        <v>Emma Korsu</v>
      </c>
      <c r="C105" s="74" t="b">
        <f>IFERROR(__xludf.DUMMYFUNCTION("""COMPUTED_VALUE"""),FALSE)</f>
        <v>0</v>
      </c>
      <c r="D105" s="137">
        <f>IFERROR(__xludf.DUMMYFUNCTION("""COMPUTED_VALUE"""),0.5041666666656965)</f>
        <v>0.5041666667</v>
      </c>
      <c r="E105" s="82">
        <f>IFERROR(__xludf.DUMMYFUNCTION("""COMPUTED_VALUE"""),0.148611111115315)</f>
        <v>0.1486111111</v>
      </c>
      <c r="F105" s="137">
        <f>IFERROR(__xludf.DUMMYFUNCTION("""COMPUTED_VALUE"""),0.6527777777810115)</f>
        <v>0.6527777778</v>
      </c>
      <c r="G105" s="82">
        <f>IFERROR(__xludf.DUMMYFUNCTION("""COMPUTED_VALUE"""),0.148611111115315)</f>
        <v>0.1486111111</v>
      </c>
      <c r="H105" s="115">
        <f>IFERROR(__xludf.DUMMYFUNCTION("""COMPUTED_VALUE"""),156.0)</f>
        <v>156</v>
      </c>
      <c r="I105" s="112">
        <f>IFERROR(__xludf.DUMMYFUNCTION("""COMPUTED_VALUE"""),43.73831775577208)</f>
        <v>43.73831776</v>
      </c>
      <c r="J105" s="74" t="str">
        <f>IFERROR(__xludf.DUMMYFUNCTION("""COMPUTED_VALUE"""),"Lunch")</f>
        <v>Lunch</v>
      </c>
      <c r="K105" s="113">
        <f>IFERROR(__xludf.DUMMYFUNCTION("""COMPUTED_VALUE"""),45936.0)</f>
        <v>45936</v>
      </c>
      <c r="L105" s="74" t="str">
        <f>IFERROR(__xludf.DUMMYFUNCTION("""COMPUTED_VALUE"""),"Monday")</f>
        <v>Monday</v>
      </c>
      <c r="M105" s="74" t="str">
        <f>IFERROR(__xludf.DUMMYFUNCTION("""COMPUTED_VALUE"""),"BF")</f>
        <v>BF</v>
      </c>
      <c r="N105" s="114">
        <f>IFERROR(__xludf.DUMMYFUNCTION("""COMPUTED_VALUE"""),1.126384049633191)</f>
        <v>1.12638405</v>
      </c>
      <c r="O105" s="74" t="str">
        <f>IFERROR(__xludf.DUMMYFUNCTION("""COMPUTED_VALUE"""),"")</f>
        <v/>
      </c>
      <c r="P105" s="74" t="str">
        <f>IFERROR(__xludf.DUMMYFUNCTION("""COMPUTED_VALUE"""),"")</f>
        <v/>
      </c>
      <c r="Q105" s="82" t="str">
        <f>IFERROR(__xludf.DUMMYFUNCTION("""COMPUTED_VALUE"""),"")</f>
        <v/>
      </c>
      <c r="R105" s="82" t="str">
        <f>IFERROR(__xludf.DUMMYFUNCTION("""COMPUTED_VALUE"""),"")</f>
        <v/>
      </c>
      <c r="S105" s="63" t="str">
        <f>IFERROR(__xludf.DUMMYFUNCTION("""COMPUTED_VALUE"""),"")</f>
        <v/>
      </c>
      <c r="T105" s="63" t="str">
        <f>IFERROR(__xludf.DUMMYFUNCTION("""COMPUTED_VALUE"""),"")</f>
        <v/>
      </c>
      <c r="U105" s="138" t="str">
        <f>IFERROR(__xludf.DUMMYFUNCTION("""COMPUTED_VALUE"""),"")</f>
        <v/>
      </c>
      <c r="V105" s="82" t="str">
        <f>IFERROR(__xludf.DUMMYFUNCTION("""COMPUTED_VALUE"""),"")</f>
        <v/>
      </c>
      <c r="W105" s="64" t="str">
        <f>IFERROR(__xludf.DUMMYFUNCTION("""COMPUTED_VALUE"""),"")</f>
        <v/>
      </c>
      <c r="X105" s="64" t="str">
        <f>IFERROR(__xludf.DUMMYFUNCTION("""COMPUTED_VALUE"""),"")</f>
        <v/>
      </c>
      <c r="Y105" s="114" t="str">
        <f>IFERROR(__xludf.DUMMYFUNCTION("""COMPUTED_VALUE"""),"")</f>
        <v/>
      </c>
      <c r="Z105" s="118" t="str">
        <f>IFERROR(__xludf.DUMMYFUNCTION("""COMPUTED_VALUE"""),"")</f>
        <v/>
      </c>
      <c r="AA105" s="118" t="str">
        <f>IFERROR(__xludf.DUMMYFUNCTION("""COMPUTED_VALUE"""),"")</f>
        <v/>
      </c>
      <c r="AB105" s="74" t="str">
        <f>IFERROR(__xludf.DUMMYFUNCTION("""COMPUTED_VALUE"""),"")</f>
        <v/>
      </c>
    </row>
    <row r="106">
      <c r="A106" s="109">
        <f>IFERROR(__xludf.DUMMYFUNCTION("""COMPUTED_VALUE"""),45936.76222462963)</f>
        <v>45936.76222</v>
      </c>
      <c r="B106" s="81" t="str">
        <f>IFERROR(__xludf.DUMMYFUNCTION("""COMPUTED_VALUE"""),"Kaylie Forgue")</f>
        <v>Kaylie Forgue</v>
      </c>
      <c r="C106" s="74" t="b">
        <f>IFERROR(__xludf.DUMMYFUNCTION("""COMPUTED_VALUE"""),FALSE)</f>
        <v>0</v>
      </c>
      <c r="D106" s="137">
        <f>IFERROR(__xludf.DUMMYFUNCTION("""COMPUTED_VALUE"""),0.6868055555532919)</f>
        <v>0.6868055556</v>
      </c>
      <c r="E106" s="82">
        <f>IFERROR(__xludf.DUMMYFUNCTION("""COMPUTED_VALUE"""),0.0743055555576575)</f>
        <v>0.07430555556</v>
      </c>
      <c r="F106" s="137">
        <f>IFERROR(__xludf.DUMMYFUNCTION("""COMPUTED_VALUE"""),0.7611111111109494)</f>
        <v>0.7611111111</v>
      </c>
      <c r="G106" s="82">
        <f>IFERROR(__xludf.DUMMYFUNCTION("""COMPUTED_VALUE"""),0.0743055555576575)</f>
        <v>0.07430555556</v>
      </c>
      <c r="H106" s="115">
        <f>IFERROR(__xludf.DUMMYFUNCTION("""COMPUTED_VALUE"""),175.0)</f>
        <v>175</v>
      </c>
      <c r="I106" s="112">
        <f>IFERROR(__xludf.DUMMYFUNCTION("""COMPUTED_VALUE"""),98.13084111871942)</f>
        <v>98.13084112</v>
      </c>
      <c r="J106" s="74" t="str">
        <f>IFERROR(__xludf.DUMMYFUNCTION("""COMPUTED_VALUE"""),"Dinner")</f>
        <v>Dinner</v>
      </c>
      <c r="K106" s="113">
        <f>IFERROR(__xludf.DUMMYFUNCTION("""COMPUTED_VALUE"""),45936.0)</f>
        <v>45936</v>
      </c>
      <c r="L106" s="74" t="str">
        <f>IFERROR(__xludf.DUMMYFUNCTION("""COMPUTED_VALUE"""),"Monday")</f>
        <v>Monday</v>
      </c>
      <c r="M106" s="74" t="str">
        <f>IFERROR(__xludf.DUMMYFUNCTION("""COMPUTED_VALUE"""),"BF")</f>
        <v>BF</v>
      </c>
      <c r="N106" s="114">
        <f>IFERROR(__xludf.DUMMYFUNCTION("""COMPUTED_VALUE"""),2.315854967163957)</f>
        <v>2.315854967</v>
      </c>
      <c r="O106" s="74" t="str">
        <f>IFERROR(__xludf.DUMMYFUNCTION("""COMPUTED_VALUE"""),"")</f>
        <v/>
      </c>
      <c r="P106" s="74" t="str">
        <f>IFERROR(__xludf.DUMMYFUNCTION("""COMPUTED_VALUE"""),"")</f>
        <v/>
      </c>
      <c r="Q106" s="92" t="str">
        <f>IFERROR(__xludf.DUMMYFUNCTION("""COMPUTED_VALUE"""),"")</f>
        <v/>
      </c>
      <c r="R106" s="92" t="str">
        <f>IFERROR(__xludf.DUMMYFUNCTION("""COMPUTED_VALUE"""),"")</f>
        <v/>
      </c>
      <c r="S106" s="63" t="str">
        <f>IFERROR(__xludf.DUMMYFUNCTION("""COMPUTED_VALUE"""),"")</f>
        <v/>
      </c>
      <c r="T106" s="63" t="str">
        <f>IFERROR(__xludf.DUMMYFUNCTION("""COMPUTED_VALUE"""),"")</f>
        <v/>
      </c>
      <c r="U106" s="116" t="str">
        <f>IFERROR(__xludf.DUMMYFUNCTION("""COMPUTED_VALUE"""),"")</f>
        <v/>
      </c>
      <c r="V106" s="92" t="str">
        <f>IFERROR(__xludf.DUMMYFUNCTION("""COMPUTED_VALUE"""),"")</f>
        <v/>
      </c>
      <c r="W106" s="64" t="str">
        <f>IFERROR(__xludf.DUMMYFUNCTION("""COMPUTED_VALUE"""),"")</f>
        <v/>
      </c>
      <c r="X106" s="64" t="str">
        <f>IFERROR(__xludf.DUMMYFUNCTION("""COMPUTED_VALUE"""),"")</f>
        <v/>
      </c>
      <c r="Y106" s="114" t="str">
        <f>IFERROR(__xludf.DUMMYFUNCTION("""COMPUTED_VALUE"""),"")</f>
        <v/>
      </c>
      <c r="Z106" s="118" t="str">
        <f>IFERROR(__xludf.DUMMYFUNCTION("""COMPUTED_VALUE"""),"")</f>
        <v/>
      </c>
      <c r="AA106" s="118" t="str">
        <f>IFERROR(__xludf.DUMMYFUNCTION("""COMPUTED_VALUE"""),"")</f>
        <v/>
      </c>
      <c r="AB106" s="74" t="str">
        <f>IFERROR(__xludf.DUMMYFUNCTION("""COMPUTED_VALUE"""),"")</f>
        <v/>
      </c>
    </row>
    <row r="107">
      <c r="A107" s="109">
        <f>IFERROR(__xludf.DUMMYFUNCTION("""COMPUTED_VALUE"""),45936.7672503125)</f>
        <v>45936.76725</v>
      </c>
      <c r="B107" s="81" t="str">
        <f>IFERROR(__xludf.DUMMYFUNCTION("""COMPUTED_VALUE"""),"Maureen Surgot")</f>
        <v>Maureen Surgot</v>
      </c>
      <c r="C107" s="74" t="b">
        <f>IFERROR(__xludf.DUMMYFUNCTION("""COMPUTED_VALUE"""),FALSE)</f>
        <v>0</v>
      </c>
      <c r="D107" s="137">
        <f>IFERROR(__xludf.DUMMYFUNCTION("""COMPUTED_VALUE"""),0.6666666666642413)</f>
        <v>0.6666666667</v>
      </c>
      <c r="E107" s="82">
        <f>IFERROR(__xludf.DUMMYFUNCTION("""COMPUTED_VALUE"""),0.1041666666715173)</f>
        <v>0.1041666667</v>
      </c>
      <c r="F107" s="137">
        <f>IFERROR(__xludf.DUMMYFUNCTION("""COMPUTED_VALUE"""),0.7708333333357587)</f>
        <v>0.7708333333</v>
      </c>
      <c r="G107" s="82">
        <f>IFERROR(__xludf.DUMMYFUNCTION("""COMPUTED_VALUE"""),0.1041666666715173)</f>
        <v>0.1041666667</v>
      </c>
      <c r="H107" s="115">
        <f>IFERROR(__xludf.DUMMYFUNCTION("""COMPUTED_VALUE"""),84.0)</f>
        <v>84</v>
      </c>
      <c r="I107" s="112">
        <f>IFERROR(__xludf.DUMMYFUNCTION("""COMPUTED_VALUE"""),33.59999999843538)</f>
        <v>33.6</v>
      </c>
      <c r="J107" s="74" t="str">
        <f>IFERROR(__xludf.DUMMYFUNCTION("""COMPUTED_VALUE"""),"Dinner")</f>
        <v>Dinner</v>
      </c>
      <c r="K107" s="113">
        <f>IFERROR(__xludf.DUMMYFUNCTION("""COMPUTED_VALUE"""),45936.0)</f>
        <v>45936</v>
      </c>
      <c r="L107" s="74" t="str">
        <f>IFERROR(__xludf.DUMMYFUNCTION("""COMPUTED_VALUE"""),"Monday")</f>
        <v>Monday</v>
      </c>
      <c r="M107" s="74" t="str">
        <f>IFERROR(__xludf.DUMMYFUNCTION("""COMPUTED_VALUE"""),"MF")</f>
        <v>MF</v>
      </c>
      <c r="N107" s="114">
        <f>IFERROR(__xludf.DUMMYFUNCTION("""COMPUTED_VALUE"""),0.6620875347869826)</f>
        <v>0.6620875348</v>
      </c>
      <c r="O107" s="74">
        <f>IFERROR(__xludf.DUMMYFUNCTION("""COMPUTED_VALUE"""),288.0)</f>
        <v>288</v>
      </c>
      <c r="P107" s="74">
        <f>IFERROR(__xludf.DUMMYFUNCTION("""COMPUTED_VALUE"""),373.0)</f>
        <v>373</v>
      </c>
      <c r="Q107" s="92">
        <f>IFERROR(__xludf.DUMMYFUNCTION("""COMPUTED_VALUE"""),0.2354166666700621)</f>
        <v>0.2354166667</v>
      </c>
      <c r="R107" s="92">
        <f>IFERROR(__xludf.DUMMYFUNCTION("""COMPUTED_VALUE"""),0.29583333333721384)</f>
        <v>0.2958333333</v>
      </c>
      <c r="S107" s="63">
        <f>IFERROR(__xludf.DUMMYFUNCTION("""COMPUTED_VALUE"""),54.272788354544474)</f>
        <v>54.27278835</v>
      </c>
      <c r="T107" s="63">
        <f>IFERROR(__xludf.DUMMYFUNCTION("""COMPUTED_VALUE"""),55.28971962509659)</f>
        <v>55.28971963</v>
      </c>
      <c r="U107" s="116">
        <f>IFERROR(__xludf.DUMMYFUNCTION("""COMPUTED_VALUE"""),661.0)</f>
        <v>661</v>
      </c>
      <c r="V107" s="92">
        <f>IFERROR(__xludf.DUMMYFUNCTION("""COMPUTED_VALUE"""),0.531250000007276)</f>
        <v>0.53125</v>
      </c>
      <c r="W107" s="64">
        <f>IFERROR(__xludf.DUMMYFUNCTION("""COMPUTED_VALUE"""),51.84313725419192)</f>
        <v>51.84313725</v>
      </c>
      <c r="X107" s="64">
        <f>IFERROR(__xludf.DUMMYFUNCTION("""COMPUTED_VALUE"""),54.78125398982053)</f>
        <v>54.78125399</v>
      </c>
      <c r="Y107" s="114">
        <f>IFERROR(__xludf.DUMMYFUNCTION("""COMPUTED_VALUE"""),1.2820230438092295)</f>
        <v>1.282023044</v>
      </c>
      <c r="Z107" s="118">
        <f>IFERROR(__xludf.DUMMYFUNCTION("""COMPUTED_VALUE"""),4014.0)</f>
        <v>4014</v>
      </c>
      <c r="AA107" s="118">
        <f>IFERROR(__xludf.DUMMYFUNCTION("""COMPUTED_VALUE"""),4629.0)</f>
        <v>4629</v>
      </c>
      <c r="AB107" s="118">
        <f>IFERROR(__xludf.DUMMYFUNCTION("""COMPUTED_VALUE"""),8643.0)</f>
        <v>8643</v>
      </c>
    </row>
    <row r="108">
      <c r="A108" s="109">
        <f>IFERROR(__xludf.DUMMYFUNCTION("""COMPUTED_VALUE"""),45937.47956061343)</f>
        <v>45937.47956</v>
      </c>
      <c r="B108" s="81" t="str">
        <f>IFERROR(__xludf.DUMMYFUNCTION("""COMPUTED_VALUE"""),"Emmett Khan")</f>
        <v>Emmett Khan</v>
      </c>
      <c r="C108" s="74" t="b">
        <f>IFERROR(__xludf.DUMMYFUNCTION("""COMPUTED_VALUE"""),FALSE)</f>
        <v>0</v>
      </c>
      <c r="D108" s="137">
        <f>IFERROR(__xludf.DUMMYFUNCTION("""COMPUTED_VALUE"""),0.39583333333575865)</f>
        <v>0.3958333333</v>
      </c>
      <c r="E108" s="82">
        <f>IFERROR(__xludf.DUMMYFUNCTION("""COMPUTED_VALUE"""),0.0833333333284827)</f>
        <v>0.08333333333</v>
      </c>
      <c r="F108" s="137">
        <f>IFERROR(__xludf.DUMMYFUNCTION("""COMPUTED_VALUE"""),0.47916666666424135)</f>
        <v>0.4791666667</v>
      </c>
      <c r="G108" s="82">
        <f>IFERROR(__xludf.DUMMYFUNCTION("""COMPUTED_VALUE"""),0.0833333333284827)</f>
        <v>0.08333333333</v>
      </c>
      <c r="H108" s="115">
        <f>IFERROR(__xludf.DUMMYFUNCTION("""COMPUTED_VALUE"""),145.0)</f>
        <v>145</v>
      </c>
      <c r="I108" s="112">
        <f>IFERROR(__xludf.DUMMYFUNCTION("""COMPUTED_VALUE"""),72.50000000422006)</f>
        <v>72.5</v>
      </c>
      <c r="J108" s="74" t="str">
        <f>IFERROR(__xludf.DUMMYFUNCTION("""COMPUTED_VALUE"""),"Breakfast/Lunch")</f>
        <v>Breakfast/Lunch</v>
      </c>
      <c r="K108" s="113">
        <f>IFERROR(__xludf.DUMMYFUNCTION("""COMPUTED_VALUE"""),45937.0)</f>
        <v>45937</v>
      </c>
      <c r="L108" s="74" t="str">
        <f>IFERROR(__xludf.DUMMYFUNCTION("""COMPUTED_VALUE"""),"Tuesday")</f>
        <v>Tuesday</v>
      </c>
      <c r="M108" s="74" t="str">
        <f>IFERROR(__xludf.DUMMYFUNCTION("""COMPUTED_VALUE"""),"BF")</f>
        <v>BF</v>
      </c>
      <c r="N108" s="114">
        <f>IFERROR(__xludf.DUMMYFUNCTION("""COMPUTED_VALUE"""),1.273207137244001)</f>
        <v>1.273207137</v>
      </c>
      <c r="O108" s="74" t="str">
        <f>IFERROR(__xludf.DUMMYFUNCTION("""COMPUTED_VALUE"""),"")</f>
        <v/>
      </c>
      <c r="P108" s="74" t="str">
        <f>IFERROR(__xludf.DUMMYFUNCTION("""COMPUTED_VALUE"""),"")</f>
        <v/>
      </c>
      <c r="Q108" s="92" t="str">
        <f>IFERROR(__xludf.DUMMYFUNCTION("""COMPUTED_VALUE"""),"")</f>
        <v/>
      </c>
      <c r="R108" s="92" t="str">
        <f>IFERROR(__xludf.DUMMYFUNCTION("""COMPUTED_VALUE"""),"")</f>
        <v/>
      </c>
      <c r="S108" s="63" t="str">
        <f>IFERROR(__xludf.DUMMYFUNCTION("""COMPUTED_VALUE"""),"")</f>
        <v/>
      </c>
      <c r="T108" s="63" t="str">
        <f>IFERROR(__xludf.DUMMYFUNCTION("""COMPUTED_VALUE"""),"")</f>
        <v/>
      </c>
      <c r="U108" s="116" t="str">
        <f>IFERROR(__xludf.DUMMYFUNCTION("""COMPUTED_VALUE"""),"")</f>
        <v/>
      </c>
      <c r="V108" s="92" t="str">
        <f>IFERROR(__xludf.DUMMYFUNCTION("""COMPUTED_VALUE"""),"")</f>
        <v/>
      </c>
      <c r="W108" s="64" t="str">
        <f>IFERROR(__xludf.DUMMYFUNCTION("""COMPUTED_VALUE"""),"")</f>
        <v/>
      </c>
      <c r="X108" s="64" t="str">
        <f>IFERROR(__xludf.DUMMYFUNCTION("""COMPUTED_VALUE"""),"")</f>
        <v/>
      </c>
      <c r="Y108" s="114" t="str">
        <f>IFERROR(__xludf.DUMMYFUNCTION("""COMPUTED_VALUE"""),"")</f>
        <v/>
      </c>
      <c r="Z108" s="118" t="str">
        <f>IFERROR(__xludf.DUMMYFUNCTION("""COMPUTED_VALUE"""),"")</f>
        <v/>
      </c>
      <c r="AA108" s="118" t="str">
        <f>IFERROR(__xludf.DUMMYFUNCTION("""COMPUTED_VALUE"""),"")</f>
        <v/>
      </c>
      <c r="AB108" s="74" t="str">
        <f>IFERROR(__xludf.DUMMYFUNCTION("""COMPUTED_VALUE"""),"")</f>
        <v/>
      </c>
    </row>
    <row r="109">
      <c r="A109" s="109">
        <f>IFERROR(__xludf.DUMMYFUNCTION("""COMPUTED_VALUE"""),45937.63082925926)</f>
        <v>45937.63083</v>
      </c>
      <c r="B109" s="81" t="str">
        <f>IFERROR(__xludf.DUMMYFUNCTION("""COMPUTED_VALUE"""),"Maureen Surgot")</f>
        <v>Maureen Surgot</v>
      </c>
      <c r="C109" s="74" t="b">
        <f>IFERROR(__xludf.DUMMYFUNCTION("""COMPUTED_VALUE"""),FALSE)</f>
        <v>0</v>
      </c>
      <c r="D109" s="137">
        <f>IFERROR(__xludf.DUMMYFUNCTION("""COMPUTED_VALUE"""),0.47916666666424135)</f>
        <v>0.4791666667</v>
      </c>
      <c r="E109" s="82">
        <f>IFERROR(__xludf.DUMMYFUNCTION("""COMPUTED_VALUE"""),0.15625)</f>
        <v>0.15625</v>
      </c>
      <c r="F109" s="137">
        <f>IFERROR(__xludf.DUMMYFUNCTION("""COMPUTED_VALUE"""),0.6354166666642413)</f>
        <v>0.6354166667</v>
      </c>
      <c r="G109" s="82">
        <f>IFERROR(__xludf.DUMMYFUNCTION("""COMPUTED_VALUE"""),0.15625)</f>
        <v>0.15625</v>
      </c>
      <c r="H109" s="115">
        <f>IFERROR(__xludf.DUMMYFUNCTION("""COMPUTED_VALUE"""),176.0)</f>
        <v>176</v>
      </c>
      <c r="I109" s="112">
        <f>IFERROR(__xludf.DUMMYFUNCTION("""COMPUTED_VALUE"""),46.93333333333333)</f>
        <v>46.93333333</v>
      </c>
      <c r="J109" s="74" t="str">
        <f>IFERROR(__xludf.DUMMYFUNCTION("""COMPUTED_VALUE"""),"Lunch")</f>
        <v>Lunch</v>
      </c>
      <c r="K109" s="113">
        <f>IFERROR(__xludf.DUMMYFUNCTION("""COMPUTED_VALUE"""),45937.0)</f>
        <v>45937</v>
      </c>
      <c r="L109" s="74" t="str">
        <f>IFERROR(__xludf.DUMMYFUNCTION("""COMPUTED_VALUE"""),"Tuesday")</f>
        <v>Tuesday</v>
      </c>
      <c r="M109" s="74" t="str">
        <f>IFERROR(__xludf.DUMMYFUNCTION("""COMPUTED_VALUE"""),"MF")</f>
        <v>MF</v>
      </c>
      <c r="N109" s="114">
        <f>IFERROR(__xludf.DUMMYFUNCTION("""COMPUTED_VALUE"""),0.9759713090032601)</f>
        <v>0.975971309</v>
      </c>
      <c r="O109" s="74" t="str">
        <f>IFERROR(__xludf.DUMMYFUNCTION("""COMPUTED_VALUE"""),"")</f>
        <v/>
      </c>
      <c r="P109" s="74" t="str">
        <f>IFERROR(__xludf.DUMMYFUNCTION("""COMPUTED_VALUE"""),"")</f>
        <v/>
      </c>
      <c r="Q109" s="92" t="str">
        <f>IFERROR(__xludf.DUMMYFUNCTION("""COMPUTED_VALUE"""),"")</f>
        <v/>
      </c>
      <c r="R109" s="92" t="str">
        <f>IFERROR(__xludf.DUMMYFUNCTION("""COMPUTED_VALUE"""),"")</f>
        <v/>
      </c>
      <c r="S109" s="63" t="str">
        <f>IFERROR(__xludf.DUMMYFUNCTION("""COMPUTED_VALUE"""),"")</f>
        <v/>
      </c>
      <c r="T109" s="63" t="str">
        <f>IFERROR(__xludf.DUMMYFUNCTION("""COMPUTED_VALUE"""),"")</f>
        <v/>
      </c>
      <c r="U109" s="116" t="str">
        <f>IFERROR(__xludf.DUMMYFUNCTION("""COMPUTED_VALUE"""),"")</f>
        <v/>
      </c>
      <c r="V109" s="92" t="str">
        <f>IFERROR(__xludf.DUMMYFUNCTION("""COMPUTED_VALUE"""),"")</f>
        <v/>
      </c>
      <c r="W109" s="64" t="str">
        <f>IFERROR(__xludf.DUMMYFUNCTION("""COMPUTED_VALUE"""),"")</f>
        <v/>
      </c>
      <c r="X109" s="64" t="str">
        <f>IFERROR(__xludf.DUMMYFUNCTION("""COMPUTED_VALUE"""),"")</f>
        <v/>
      </c>
      <c r="Y109" s="114" t="str">
        <f>IFERROR(__xludf.DUMMYFUNCTION("""COMPUTED_VALUE"""),"")</f>
        <v/>
      </c>
      <c r="Z109" s="118" t="str">
        <f>IFERROR(__xludf.DUMMYFUNCTION("""COMPUTED_VALUE"""),"")</f>
        <v/>
      </c>
      <c r="AA109" s="118" t="str">
        <f>IFERROR(__xludf.DUMMYFUNCTION("""COMPUTED_VALUE"""),"")</f>
        <v/>
      </c>
      <c r="AB109" s="74" t="str">
        <f>IFERROR(__xludf.DUMMYFUNCTION("""COMPUTED_VALUE"""),"")</f>
        <v/>
      </c>
    </row>
    <row r="110">
      <c r="A110" s="109">
        <f>IFERROR(__xludf.DUMMYFUNCTION("""COMPUTED_VALUE"""),45937.654800000004)</f>
        <v>45937.6548</v>
      </c>
      <c r="B110" s="81" t="str">
        <f>IFERROR(__xludf.DUMMYFUNCTION("""COMPUTED_VALUE"""),"Brynn Hornig")</f>
        <v>Brynn Hornig</v>
      </c>
      <c r="C110" s="74" t="b">
        <f>IFERROR(__xludf.DUMMYFUNCTION("""COMPUTED_VALUE"""),FALSE)</f>
        <v>0</v>
      </c>
      <c r="D110" s="137">
        <f>IFERROR(__xludf.DUMMYFUNCTION("""COMPUTED_VALUE"""),0.5208333333357587)</f>
        <v>0.5208333333</v>
      </c>
      <c r="E110" s="82">
        <f>IFERROR(__xludf.DUMMYFUNCTION("""COMPUTED_VALUE"""),0.13541666666424135)</f>
        <v>0.1354166667</v>
      </c>
      <c r="F110" s="137">
        <f>IFERROR(__xludf.DUMMYFUNCTION("""COMPUTED_VALUE"""),0.65625)</f>
        <v>0.65625</v>
      </c>
      <c r="G110" s="82">
        <f>IFERROR(__xludf.DUMMYFUNCTION("""COMPUTED_VALUE"""),0.13541666666424135)</f>
        <v>0.1354166667</v>
      </c>
      <c r="H110" s="115">
        <f>IFERROR(__xludf.DUMMYFUNCTION("""COMPUTED_VALUE"""),107.0)</f>
        <v>107</v>
      </c>
      <c r="I110" s="112">
        <f>IFERROR(__xludf.DUMMYFUNCTION("""COMPUTED_VALUE"""),32.92307692366658)</f>
        <v>32.92307692</v>
      </c>
      <c r="J110" s="74" t="str">
        <f>IFERROR(__xludf.DUMMYFUNCTION("""COMPUTED_VALUE"""),"Lunch")</f>
        <v>Lunch</v>
      </c>
      <c r="K110" s="113">
        <f>IFERROR(__xludf.DUMMYFUNCTION("""COMPUTED_VALUE"""),45937.0)</f>
        <v>45937</v>
      </c>
      <c r="L110" s="74" t="str">
        <f>IFERROR(__xludf.DUMMYFUNCTION("""COMPUTED_VALUE"""),"Tuesday")</f>
        <v>Tuesday</v>
      </c>
      <c r="M110" s="74" t="str">
        <f>IFERROR(__xludf.DUMMYFUNCTION("""COMPUTED_VALUE"""),"BF")</f>
        <v>BF</v>
      </c>
      <c r="N110" s="114">
        <f>IFERROR(__xludf.DUMMYFUNCTION("""COMPUTED_VALUE"""),0.8478613402265728)</f>
        <v>0.8478613402</v>
      </c>
      <c r="O110" s="74" t="str">
        <f>IFERROR(__xludf.DUMMYFUNCTION("""COMPUTED_VALUE"""),"")</f>
        <v/>
      </c>
      <c r="P110" s="74" t="str">
        <f>IFERROR(__xludf.DUMMYFUNCTION("""COMPUTED_VALUE"""),"")</f>
        <v/>
      </c>
      <c r="Q110" s="92" t="str">
        <f>IFERROR(__xludf.DUMMYFUNCTION("""COMPUTED_VALUE"""),"")</f>
        <v/>
      </c>
      <c r="R110" s="92" t="str">
        <f>IFERROR(__xludf.DUMMYFUNCTION("""COMPUTED_VALUE"""),"")</f>
        <v/>
      </c>
      <c r="S110" s="63" t="str">
        <f>IFERROR(__xludf.DUMMYFUNCTION("""COMPUTED_VALUE"""),"")</f>
        <v/>
      </c>
      <c r="T110" s="63" t="str">
        <f>IFERROR(__xludf.DUMMYFUNCTION("""COMPUTED_VALUE"""),"")</f>
        <v/>
      </c>
      <c r="U110" s="116" t="str">
        <f>IFERROR(__xludf.DUMMYFUNCTION("""COMPUTED_VALUE"""),"")</f>
        <v/>
      </c>
      <c r="V110" s="92" t="str">
        <f>IFERROR(__xludf.DUMMYFUNCTION("""COMPUTED_VALUE"""),"")</f>
        <v/>
      </c>
      <c r="W110" s="64" t="str">
        <f>IFERROR(__xludf.DUMMYFUNCTION("""COMPUTED_VALUE"""),"")</f>
        <v/>
      </c>
      <c r="X110" s="64" t="str">
        <f>IFERROR(__xludf.DUMMYFUNCTION("""COMPUTED_VALUE"""),"")</f>
        <v/>
      </c>
      <c r="Y110" s="114" t="str">
        <f>IFERROR(__xludf.DUMMYFUNCTION("""COMPUTED_VALUE"""),"")</f>
        <v/>
      </c>
      <c r="Z110" s="118" t="str">
        <f>IFERROR(__xludf.DUMMYFUNCTION("""COMPUTED_VALUE"""),"")</f>
        <v/>
      </c>
      <c r="AA110" s="118" t="str">
        <f>IFERROR(__xludf.DUMMYFUNCTION("""COMPUTED_VALUE"""),"")</f>
        <v/>
      </c>
      <c r="AB110" s="74" t="str">
        <f>IFERROR(__xludf.DUMMYFUNCTION("""COMPUTED_VALUE"""),"")</f>
        <v/>
      </c>
    </row>
    <row r="111">
      <c r="A111" s="109">
        <f>IFERROR(__xludf.DUMMYFUNCTION("""COMPUTED_VALUE"""),45937.97319269676)</f>
        <v>45937.97319</v>
      </c>
      <c r="B111" s="81" t="str">
        <f>IFERROR(__xludf.DUMMYFUNCTION("""COMPUTED_VALUE"""),"Kaylie Forgue")</f>
        <v>Kaylie Forgue</v>
      </c>
      <c r="C111" s="74" t="b">
        <f>IFERROR(__xludf.DUMMYFUNCTION("""COMPUTED_VALUE"""),FALSE)</f>
        <v>0</v>
      </c>
      <c r="D111" s="137">
        <f>IFERROR(__xludf.DUMMYFUNCTION("""COMPUTED_VALUE"""),0.788888888884685)</f>
        <v>0.7888888889</v>
      </c>
      <c r="E111" s="82">
        <f>IFERROR(__xludf.DUMMYFUNCTION("""COMPUTED_VALUE"""),0.07222222222480923)</f>
        <v>0.07222222222</v>
      </c>
      <c r="F111" s="137">
        <f>IFERROR(__xludf.DUMMYFUNCTION("""COMPUTED_VALUE"""),0.8611111111094942)</f>
        <v>0.8611111111</v>
      </c>
      <c r="G111" s="82">
        <f>IFERROR(__xludf.DUMMYFUNCTION("""COMPUTED_VALUE"""),0.07222222222480923)</f>
        <v>0.07222222222</v>
      </c>
      <c r="H111" s="115">
        <f>IFERROR(__xludf.DUMMYFUNCTION("""COMPUTED_VALUE"""),84.0)</f>
        <v>84</v>
      </c>
      <c r="I111" s="112">
        <f>IFERROR(__xludf.DUMMYFUNCTION("""COMPUTED_VALUE"""),48.46153845980256)</f>
        <v>48.46153846</v>
      </c>
      <c r="J111" s="74" t="str">
        <f>IFERROR(__xludf.DUMMYFUNCTION("""COMPUTED_VALUE"""),"Dinner")</f>
        <v>Dinner</v>
      </c>
      <c r="K111" s="113">
        <f>IFERROR(__xludf.DUMMYFUNCTION("""COMPUTED_VALUE"""),45937.0)</f>
        <v>45937</v>
      </c>
      <c r="L111" s="74" t="str">
        <f>IFERROR(__xludf.DUMMYFUNCTION("""COMPUTED_VALUE"""),"Tuesday")</f>
        <v>Tuesday</v>
      </c>
      <c r="M111" s="74" t="str">
        <f>IFERROR(__xludf.DUMMYFUNCTION("""COMPUTED_VALUE"""),"BF")</f>
        <v>BF</v>
      </c>
      <c r="N111" s="114">
        <f>IFERROR(__xludf.DUMMYFUNCTION("""COMPUTED_VALUE"""),1.1436760683908165)</f>
        <v>1.143676068</v>
      </c>
      <c r="O111" s="74">
        <f>IFERROR(__xludf.DUMMYFUNCTION("""COMPUTED_VALUE"""),176.0)</f>
        <v>176</v>
      </c>
      <c r="P111" s="74">
        <f>IFERROR(__xludf.DUMMYFUNCTION("""COMPUTED_VALUE"""),336.0)</f>
        <v>336</v>
      </c>
      <c r="Q111" s="82">
        <f>IFERROR(__xludf.DUMMYFUNCTION("""COMPUTED_VALUE"""),0.15625)</f>
        <v>0.15625</v>
      </c>
      <c r="R111" s="82">
        <f>IFERROR(__xludf.DUMMYFUNCTION("""COMPUTED_VALUE"""),0.29097222221753327)</f>
        <v>0.2909722222</v>
      </c>
      <c r="S111" s="63">
        <f>IFERROR(__xludf.DUMMYFUNCTION("""COMPUTED_VALUE"""),46.93333333333333)</f>
        <v>46.93333333</v>
      </c>
      <c r="T111" s="63">
        <f>IFERROR(__xludf.DUMMYFUNCTION("""COMPUTED_VALUE"""),51.2948717958964)</f>
        <v>51.2948718</v>
      </c>
      <c r="U111" s="138">
        <f>IFERROR(__xludf.DUMMYFUNCTION("""COMPUTED_VALUE"""),512.0)</f>
        <v>512</v>
      </c>
      <c r="V111" s="82">
        <f>IFERROR(__xludf.DUMMYFUNCTION("""COMPUTED_VALUE"""),0.44722222221753327)</f>
        <v>0.4472222222</v>
      </c>
      <c r="W111" s="64">
        <f>IFERROR(__xludf.DUMMYFUNCTION("""COMPUTED_VALUE"""),47.7018633545374)</f>
        <v>47.70186335</v>
      </c>
      <c r="X111" s="64">
        <f>IFERROR(__xludf.DUMMYFUNCTION("""COMPUTED_VALUE"""),50.20448718025563)</f>
        <v>50.20448718</v>
      </c>
      <c r="Y111" s="114">
        <f>IFERROR(__xludf.DUMMYFUNCTION("""COMPUTED_VALUE"""),1.0236476879853393)</f>
        <v>1.023647688</v>
      </c>
      <c r="Z111" s="118">
        <f>IFERROR(__xludf.DUMMYFUNCTION("""COMPUTED_VALUE"""),4212.0)</f>
        <v>4212</v>
      </c>
      <c r="AA111" s="118">
        <f>IFERROR(__xludf.DUMMYFUNCTION("""COMPUTED_VALUE"""),4155.0)</f>
        <v>4155</v>
      </c>
      <c r="AB111" s="118">
        <f>IFERROR(__xludf.DUMMYFUNCTION("""COMPUTED_VALUE"""),8367.0)</f>
        <v>8367</v>
      </c>
    </row>
    <row r="112">
      <c r="A112" s="109">
        <f>IFERROR(__xludf.DUMMYFUNCTION("""COMPUTED_VALUE"""),45938.63412379629)</f>
        <v>45938.63412</v>
      </c>
      <c r="B112" s="81" t="str">
        <f>IFERROR(__xludf.DUMMYFUNCTION("""COMPUTED_VALUE"""),"Greta Traynor")</f>
        <v>Greta Traynor</v>
      </c>
      <c r="C112" s="74" t="b">
        <f>IFERROR(__xludf.DUMMYFUNCTION("""COMPUTED_VALUE"""),FALSE)</f>
        <v>0</v>
      </c>
      <c r="D112" s="137">
        <f>IFERROR(__xludf.DUMMYFUNCTION("""COMPUTED_VALUE"""),0.5638888888934162)</f>
        <v>0.5638888889</v>
      </c>
      <c r="E112" s="82">
        <f>IFERROR(__xludf.DUMMYFUNCTION("""COMPUTED_VALUE"""),0.06874999999126885)</f>
        <v>0.06874999999</v>
      </c>
      <c r="F112" s="137">
        <f>IFERROR(__xludf.DUMMYFUNCTION("""COMPUTED_VALUE"""),0.632638888884685)</f>
        <v>0.6326388889</v>
      </c>
      <c r="G112" s="82">
        <f>IFERROR(__xludf.DUMMYFUNCTION("""COMPUTED_VALUE"""),0.06874999999126885)</f>
        <v>0.06874999999</v>
      </c>
      <c r="H112" s="115">
        <f>IFERROR(__xludf.DUMMYFUNCTION("""COMPUTED_VALUE"""),55.0)</f>
        <v>55</v>
      </c>
      <c r="I112" s="112">
        <f>IFERROR(__xludf.DUMMYFUNCTION("""COMPUTED_VALUE"""),33.333333337566614)</f>
        <v>33.33333334</v>
      </c>
      <c r="J112" s="74" t="str">
        <f>IFERROR(__xludf.DUMMYFUNCTION("""COMPUTED_VALUE"""),"Lunch")</f>
        <v>Lunch</v>
      </c>
      <c r="K112" s="113">
        <f>IFERROR(__xludf.DUMMYFUNCTION("""COMPUTED_VALUE"""),45938.0)</f>
        <v>45938</v>
      </c>
      <c r="L112" s="74" t="str">
        <f>IFERROR(__xludf.DUMMYFUNCTION("""COMPUTED_VALUE"""),"Wednesday")</f>
        <v>Wednesday</v>
      </c>
      <c r="M112" s="74" t="str">
        <f>IFERROR(__xludf.DUMMYFUNCTION("""COMPUTED_VALUE"""),"MF")</f>
        <v>MF</v>
      </c>
      <c r="N112" s="114">
        <f>IFERROR(__xludf.DUMMYFUNCTION("""COMPUTED_VALUE"""),0.6931614411414823)</f>
        <v>0.6931614411</v>
      </c>
      <c r="O112" s="74" t="str">
        <f>IFERROR(__xludf.DUMMYFUNCTION("""COMPUTED_VALUE"""),"")</f>
        <v/>
      </c>
      <c r="P112" s="74" t="str">
        <f>IFERROR(__xludf.DUMMYFUNCTION("""COMPUTED_VALUE"""),"")</f>
        <v/>
      </c>
      <c r="Q112" s="92" t="str">
        <f>IFERROR(__xludf.DUMMYFUNCTION("""COMPUTED_VALUE"""),"")</f>
        <v/>
      </c>
      <c r="R112" s="92" t="str">
        <f>IFERROR(__xludf.DUMMYFUNCTION("""COMPUTED_VALUE"""),"")</f>
        <v/>
      </c>
      <c r="S112" s="63" t="str">
        <f>IFERROR(__xludf.DUMMYFUNCTION("""COMPUTED_VALUE"""),"")</f>
        <v/>
      </c>
      <c r="T112" s="63" t="str">
        <f>IFERROR(__xludf.DUMMYFUNCTION("""COMPUTED_VALUE"""),"")</f>
        <v/>
      </c>
      <c r="U112" s="116" t="str">
        <f>IFERROR(__xludf.DUMMYFUNCTION("""COMPUTED_VALUE"""),"")</f>
        <v/>
      </c>
      <c r="V112" s="92" t="str">
        <f>IFERROR(__xludf.DUMMYFUNCTION("""COMPUTED_VALUE"""),"")</f>
        <v/>
      </c>
      <c r="W112" s="64" t="str">
        <f>IFERROR(__xludf.DUMMYFUNCTION("""COMPUTED_VALUE"""),"")</f>
        <v/>
      </c>
      <c r="X112" s="64" t="str">
        <f>IFERROR(__xludf.DUMMYFUNCTION("""COMPUTED_VALUE"""),"")</f>
        <v/>
      </c>
      <c r="Y112" s="114" t="str">
        <f>IFERROR(__xludf.DUMMYFUNCTION("""COMPUTED_VALUE"""),"")</f>
        <v/>
      </c>
      <c r="Z112" s="118" t="str">
        <f>IFERROR(__xludf.DUMMYFUNCTION("""COMPUTED_VALUE"""),"")</f>
        <v/>
      </c>
      <c r="AA112" s="118" t="str">
        <f>IFERROR(__xludf.DUMMYFUNCTION("""COMPUTED_VALUE"""),"")</f>
        <v/>
      </c>
      <c r="AB112" s="74" t="str">
        <f>IFERROR(__xludf.DUMMYFUNCTION("""COMPUTED_VALUE"""),"")</f>
        <v/>
      </c>
    </row>
    <row r="113">
      <c r="A113" s="109">
        <f>IFERROR(__xludf.DUMMYFUNCTION("""COMPUTED_VALUE"""),45938.747564641206)</f>
        <v>45938.74756</v>
      </c>
      <c r="B113" s="81" t="str">
        <f>IFERROR(__xludf.DUMMYFUNCTION("""COMPUTED_VALUE"""),"Orpheus Wilson")</f>
        <v>Orpheus Wilson</v>
      </c>
      <c r="C113" s="74" t="b">
        <f>IFERROR(__xludf.DUMMYFUNCTION("""COMPUTED_VALUE"""),FALSE)</f>
        <v>0</v>
      </c>
      <c r="D113" s="137">
        <f>IFERROR(__xludf.DUMMYFUNCTION("""COMPUTED_VALUE"""),0.6909722222189885)</f>
        <v>0.6909722222</v>
      </c>
      <c r="E113" s="82">
        <f>IFERROR(__xludf.DUMMYFUNCTION("""COMPUTED_VALUE"""),0.05555555556202307)</f>
        <v>0.05555555556</v>
      </c>
      <c r="F113" s="137">
        <f>IFERROR(__xludf.DUMMYFUNCTION("""COMPUTED_VALUE"""),0.7465277777810115)</f>
        <v>0.7465277778</v>
      </c>
      <c r="G113" s="82">
        <f>IFERROR(__xludf.DUMMYFUNCTION("""COMPUTED_VALUE"""),0.05555555556202307)</f>
        <v>0.05555555556</v>
      </c>
      <c r="H113" s="115">
        <f>IFERROR(__xludf.DUMMYFUNCTION("""COMPUTED_VALUE"""),104.0)</f>
        <v>104</v>
      </c>
      <c r="I113" s="112">
        <f>IFERROR(__xludf.DUMMYFUNCTION("""COMPUTED_VALUE"""),77.9999999909196)</f>
        <v>77.99999999</v>
      </c>
      <c r="J113" s="74" t="str">
        <f>IFERROR(__xludf.DUMMYFUNCTION("""COMPUTED_VALUE"""),"Dinner")</f>
        <v>Dinner</v>
      </c>
      <c r="K113" s="113">
        <f>IFERROR(__xludf.DUMMYFUNCTION("""COMPUTED_VALUE"""),45938.0)</f>
        <v>45938</v>
      </c>
      <c r="L113" s="74" t="str">
        <f>IFERROR(__xludf.DUMMYFUNCTION("""COMPUTED_VALUE"""),"Wednesday")</f>
        <v>Wednesday</v>
      </c>
      <c r="M113" s="74" t="str">
        <f>IFERROR(__xludf.DUMMYFUNCTION("""COMPUTED_VALUE"""),"MF")</f>
        <v>MF</v>
      </c>
      <c r="N113" s="114">
        <f>IFERROR(__xludf.DUMMYFUNCTION("""COMPUTED_VALUE"""),1.5369889199338522)</f>
        <v>1.53698892</v>
      </c>
      <c r="O113" s="74" t="str">
        <f>IFERROR(__xludf.DUMMYFUNCTION("""COMPUTED_VALUE"""),"")</f>
        <v/>
      </c>
      <c r="P113" s="74" t="str">
        <f>IFERROR(__xludf.DUMMYFUNCTION("""COMPUTED_VALUE"""),"")</f>
        <v/>
      </c>
      <c r="Q113" s="92" t="str">
        <f>IFERROR(__xludf.DUMMYFUNCTION("""COMPUTED_VALUE"""),"")</f>
        <v/>
      </c>
      <c r="R113" s="92" t="str">
        <f>IFERROR(__xludf.DUMMYFUNCTION("""COMPUTED_VALUE"""),"")</f>
        <v/>
      </c>
      <c r="S113" s="63" t="str">
        <f>IFERROR(__xludf.DUMMYFUNCTION("""COMPUTED_VALUE"""),"")</f>
        <v/>
      </c>
      <c r="T113" s="63" t="str">
        <f>IFERROR(__xludf.DUMMYFUNCTION("""COMPUTED_VALUE"""),"")</f>
        <v/>
      </c>
      <c r="U113" s="116" t="str">
        <f>IFERROR(__xludf.DUMMYFUNCTION("""COMPUTED_VALUE"""),"")</f>
        <v/>
      </c>
      <c r="V113" s="92" t="str">
        <f>IFERROR(__xludf.DUMMYFUNCTION("""COMPUTED_VALUE"""),"")</f>
        <v/>
      </c>
      <c r="W113" s="64" t="str">
        <f>IFERROR(__xludf.DUMMYFUNCTION("""COMPUTED_VALUE"""),"")</f>
        <v/>
      </c>
      <c r="X113" s="64" t="str">
        <f>IFERROR(__xludf.DUMMYFUNCTION("""COMPUTED_VALUE"""),"")</f>
        <v/>
      </c>
      <c r="Y113" s="114" t="str">
        <f>IFERROR(__xludf.DUMMYFUNCTION("""COMPUTED_VALUE"""),"")</f>
        <v/>
      </c>
      <c r="Z113" s="118" t="str">
        <f>IFERROR(__xludf.DUMMYFUNCTION("""COMPUTED_VALUE"""),"")</f>
        <v/>
      </c>
      <c r="AA113" s="118" t="str">
        <f>IFERROR(__xludf.DUMMYFUNCTION("""COMPUTED_VALUE"""),"")</f>
        <v/>
      </c>
      <c r="AB113" s="74" t="str">
        <f>IFERROR(__xludf.DUMMYFUNCTION("""COMPUTED_VALUE"""),"")</f>
        <v/>
      </c>
    </row>
    <row r="114">
      <c r="A114" s="109">
        <f>IFERROR(__xludf.DUMMYFUNCTION("""COMPUTED_VALUE"""),45938.87846684028)</f>
        <v>45938.87847</v>
      </c>
      <c r="B114" s="81" t="str">
        <f>IFERROR(__xludf.DUMMYFUNCTION("""COMPUTED_VALUE"""),"Leisly Aceituno")</f>
        <v>Leisly Aceituno</v>
      </c>
      <c r="C114" s="74" t="b">
        <f>IFERROR(__xludf.DUMMYFUNCTION("""COMPUTED_VALUE"""),FALSE)</f>
        <v>0</v>
      </c>
      <c r="D114" s="137">
        <f>IFERROR(__xludf.DUMMYFUNCTION("""COMPUTED_VALUE"""),0.29166666666424135)</f>
        <v>0.2916666667</v>
      </c>
      <c r="E114" s="82">
        <f>IFERROR(__xludf.DUMMYFUNCTION("""COMPUTED_VALUE"""),0.0625)</f>
        <v>0.0625</v>
      </c>
      <c r="F114" s="137">
        <f>IFERROR(__xludf.DUMMYFUNCTION("""COMPUTED_VALUE"""),0.35416666666424135)</f>
        <v>0.3541666667</v>
      </c>
      <c r="G114" s="82">
        <f>IFERROR(__xludf.DUMMYFUNCTION("""COMPUTED_VALUE"""),0.0625)</f>
        <v>0.0625</v>
      </c>
      <c r="H114" s="115">
        <f>IFERROR(__xludf.DUMMYFUNCTION("""COMPUTED_VALUE"""),13.0)</f>
        <v>13</v>
      </c>
      <c r="I114" s="112">
        <f>IFERROR(__xludf.DUMMYFUNCTION("""COMPUTED_VALUE"""),8.666666666666666)</f>
        <v>8.666666667</v>
      </c>
      <c r="J114" s="74" t="str">
        <f>IFERROR(__xludf.DUMMYFUNCTION("""COMPUTED_VALUE"""),"Breakfast")</f>
        <v>Breakfast</v>
      </c>
      <c r="K114" s="113">
        <f>IFERROR(__xludf.DUMMYFUNCTION("""COMPUTED_VALUE"""),45938.0)</f>
        <v>45938</v>
      </c>
      <c r="L114" s="74" t="str">
        <f>IFERROR(__xludf.DUMMYFUNCTION("""COMPUTED_VALUE"""),"Wednesday")</f>
        <v>Wednesday</v>
      </c>
      <c r="M114" s="74" t="str">
        <f>IFERROR(__xludf.DUMMYFUNCTION("""COMPUTED_VALUE"""),"BF")</f>
        <v>BF</v>
      </c>
      <c r="N114" s="114">
        <f>IFERROR(__xludf.DUMMYFUNCTION("""COMPUTED_VALUE"""),0.3670435074910992)</f>
        <v>0.3670435075</v>
      </c>
      <c r="O114" s="74" t="str">
        <f>IFERROR(__xludf.DUMMYFUNCTION("""COMPUTED_VALUE"""),"")</f>
        <v/>
      </c>
      <c r="P114" s="74" t="str">
        <f>IFERROR(__xludf.DUMMYFUNCTION("""COMPUTED_VALUE"""),"")</f>
        <v/>
      </c>
      <c r="Q114" s="92" t="str">
        <f>IFERROR(__xludf.DUMMYFUNCTION("""COMPUTED_VALUE"""),"")</f>
        <v/>
      </c>
      <c r="R114" s="92" t="str">
        <f>IFERROR(__xludf.DUMMYFUNCTION("""COMPUTED_VALUE"""),"")</f>
        <v/>
      </c>
      <c r="S114" s="63" t="str">
        <f>IFERROR(__xludf.DUMMYFUNCTION("""COMPUTED_VALUE"""),"")</f>
        <v/>
      </c>
      <c r="T114" s="63" t="str">
        <f>IFERROR(__xludf.DUMMYFUNCTION("""COMPUTED_VALUE"""),"")</f>
        <v/>
      </c>
      <c r="U114" s="116" t="str">
        <f>IFERROR(__xludf.DUMMYFUNCTION("""COMPUTED_VALUE"""),"")</f>
        <v/>
      </c>
      <c r="V114" s="92" t="str">
        <f>IFERROR(__xludf.DUMMYFUNCTION("""COMPUTED_VALUE"""),"")</f>
        <v/>
      </c>
      <c r="W114" s="64" t="str">
        <f>IFERROR(__xludf.DUMMYFUNCTION("""COMPUTED_VALUE"""),"")</f>
        <v/>
      </c>
      <c r="X114" s="64" t="str">
        <f>IFERROR(__xludf.DUMMYFUNCTION("""COMPUTED_VALUE"""),"")</f>
        <v/>
      </c>
      <c r="Y114" s="114" t="str">
        <f>IFERROR(__xludf.DUMMYFUNCTION("""COMPUTED_VALUE"""),"")</f>
        <v/>
      </c>
      <c r="Z114" s="118" t="str">
        <f>IFERROR(__xludf.DUMMYFUNCTION("""COMPUTED_VALUE"""),"")</f>
        <v/>
      </c>
      <c r="AA114" s="118" t="str">
        <f>IFERROR(__xludf.DUMMYFUNCTION("""COMPUTED_VALUE"""),"")</f>
        <v/>
      </c>
      <c r="AB114" s="74" t="str">
        <f>IFERROR(__xludf.DUMMYFUNCTION("""COMPUTED_VALUE"""),"")</f>
        <v/>
      </c>
    </row>
    <row r="115">
      <c r="A115" s="109">
        <f>IFERROR(__xludf.DUMMYFUNCTION("""COMPUTED_VALUE"""),45945.75335380787)</f>
        <v>45945.75335</v>
      </c>
      <c r="B115" s="81" t="str">
        <f>IFERROR(__xludf.DUMMYFUNCTION("""COMPUTED_VALUE"""),"Sarah Wilme")</f>
        <v>Sarah Wilme</v>
      </c>
      <c r="C115" s="74" t="b">
        <f>IFERROR(__xludf.DUMMYFUNCTION("""COMPUTED_VALUE"""),FALSE)</f>
        <v>0</v>
      </c>
      <c r="D115" s="137">
        <f>IFERROR(__xludf.DUMMYFUNCTION("""COMPUTED_VALUE"""),0.5625)</f>
        <v>0.5625</v>
      </c>
      <c r="E115" s="82">
        <f>IFERROR(__xludf.DUMMYFUNCTION("""COMPUTED_VALUE"""),0.09375)</f>
        <v>0.09375</v>
      </c>
      <c r="F115" s="137">
        <f>IFERROR(__xludf.DUMMYFUNCTION("""COMPUTED_VALUE"""),0.65625)</f>
        <v>0.65625</v>
      </c>
      <c r="G115" s="82">
        <f>IFERROR(__xludf.DUMMYFUNCTION("""COMPUTED_VALUE"""),0.2152777777777778)</f>
        <v>0.2152777778</v>
      </c>
      <c r="H115" s="115">
        <f>IFERROR(__xludf.DUMMYFUNCTION("""COMPUTED_VALUE"""),71.0)</f>
        <v>71</v>
      </c>
      <c r="I115" s="112">
        <f>IFERROR(__xludf.DUMMYFUNCTION("""COMPUTED_VALUE"""),13.741935483870966)</f>
        <v>13.74193548</v>
      </c>
      <c r="J115" s="74" t="str">
        <f>IFERROR(__xludf.DUMMYFUNCTION("""COMPUTED_VALUE"""),"Lunch")</f>
        <v>Lunch</v>
      </c>
      <c r="K115" s="113">
        <f>IFERROR(__xludf.DUMMYFUNCTION("""COMPUTED_VALUE"""),45938.0)</f>
        <v>45938</v>
      </c>
      <c r="L115" s="74" t="str">
        <f>IFERROR(__xludf.DUMMYFUNCTION("""COMPUTED_VALUE"""),"Wednesday")</f>
        <v>Wednesday</v>
      </c>
      <c r="M115" s="74" t="str">
        <f>IFERROR(__xludf.DUMMYFUNCTION("""COMPUTED_VALUE"""),"BF")</f>
        <v>BF</v>
      </c>
      <c r="N115" s="114">
        <f>IFERROR(__xludf.DUMMYFUNCTION("""COMPUTED_VALUE"""),0.353893284752085)</f>
        <v>0.3538932848</v>
      </c>
      <c r="O115" s="74" t="str">
        <f>IFERROR(__xludf.DUMMYFUNCTION("""COMPUTED_VALUE"""),"")</f>
        <v/>
      </c>
      <c r="P115" s="74" t="str">
        <f>IFERROR(__xludf.DUMMYFUNCTION("""COMPUTED_VALUE"""),"")</f>
        <v/>
      </c>
      <c r="Q115" s="92" t="str">
        <f>IFERROR(__xludf.DUMMYFUNCTION("""COMPUTED_VALUE"""),"")</f>
        <v/>
      </c>
      <c r="R115" s="92" t="str">
        <f>IFERROR(__xludf.DUMMYFUNCTION("""COMPUTED_VALUE"""),"")</f>
        <v/>
      </c>
      <c r="S115" s="63" t="str">
        <f>IFERROR(__xludf.DUMMYFUNCTION("""COMPUTED_VALUE"""),"")</f>
        <v/>
      </c>
      <c r="T115" s="63" t="str">
        <f>IFERROR(__xludf.DUMMYFUNCTION("""COMPUTED_VALUE"""),"")</f>
        <v/>
      </c>
      <c r="U115" s="116" t="str">
        <f>IFERROR(__xludf.DUMMYFUNCTION("""COMPUTED_VALUE"""),"")</f>
        <v/>
      </c>
      <c r="V115" s="92" t="str">
        <f>IFERROR(__xludf.DUMMYFUNCTION("""COMPUTED_VALUE"""),"")</f>
        <v/>
      </c>
      <c r="W115" s="64" t="str">
        <f>IFERROR(__xludf.DUMMYFUNCTION("""COMPUTED_VALUE"""),"")</f>
        <v/>
      </c>
      <c r="X115" s="64" t="str">
        <f>IFERROR(__xludf.DUMMYFUNCTION("""COMPUTED_VALUE"""),"")</f>
        <v/>
      </c>
      <c r="Y115" s="114" t="str">
        <f>IFERROR(__xludf.DUMMYFUNCTION("""COMPUTED_VALUE"""),"")</f>
        <v/>
      </c>
      <c r="Z115" s="118" t="str">
        <f>IFERROR(__xludf.DUMMYFUNCTION("""COMPUTED_VALUE"""),"")</f>
        <v/>
      </c>
      <c r="AA115" s="118" t="str">
        <f>IFERROR(__xludf.DUMMYFUNCTION("""COMPUTED_VALUE"""),"")</f>
        <v/>
      </c>
      <c r="AB115" s="74" t="str">
        <f>IFERROR(__xludf.DUMMYFUNCTION("""COMPUTED_VALUE"""),"")</f>
        <v/>
      </c>
    </row>
    <row r="116">
      <c r="A116" s="109">
        <f>IFERROR(__xludf.DUMMYFUNCTION("""COMPUTED_VALUE"""),45945.75335380787)</f>
        <v>45945.75335</v>
      </c>
      <c r="B116" s="81" t="str">
        <f>IFERROR(__xludf.DUMMYFUNCTION("""COMPUTED_VALUE"""),"Sarah Wilme")</f>
        <v>Sarah Wilme</v>
      </c>
      <c r="C116" s="74" t="b">
        <f>IFERROR(__xludf.DUMMYFUNCTION("""COMPUTED_VALUE"""),TRUE)</f>
        <v>1</v>
      </c>
      <c r="D116" s="137">
        <f>IFERROR(__xludf.DUMMYFUNCTION("""COMPUTED_VALUE"""),0.6875)</f>
        <v>0.6875</v>
      </c>
      <c r="E116" s="82">
        <f>IFERROR(__xludf.DUMMYFUNCTION("""COMPUTED_VALUE"""),0.12152777777777779)</f>
        <v>0.1215277778</v>
      </c>
      <c r="F116" s="137">
        <f>IFERROR(__xludf.DUMMYFUNCTION("""COMPUTED_VALUE"""),0.8090277777777778)</f>
        <v>0.8090277778</v>
      </c>
      <c r="G116" s="82" t="str">
        <f>IFERROR(__xludf.DUMMYFUNCTION("""COMPUTED_VALUE"""),"")</f>
        <v/>
      </c>
      <c r="H116" s="115">
        <f>IFERROR(__xludf.DUMMYFUNCTION("""COMPUTED_VALUE"""),71.0)</f>
        <v>71</v>
      </c>
      <c r="I116" s="112" t="str">
        <f>IFERROR(__xludf.DUMMYFUNCTION("""COMPUTED_VALUE"""),"")</f>
        <v/>
      </c>
      <c r="J116" s="74" t="str">
        <f>IFERROR(__xludf.DUMMYFUNCTION("""COMPUTED_VALUE"""),"Dinner")</f>
        <v>Dinner</v>
      </c>
      <c r="K116" s="113">
        <f>IFERROR(__xludf.DUMMYFUNCTION("""COMPUTED_VALUE"""),45938.0)</f>
        <v>45938</v>
      </c>
      <c r="L116" s="74" t="str">
        <f>IFERROR(__xludf.DUMMYFUNCTION("""COMPUTED_VALUE"""),"Wednesday")</f>
        <v>Wednesday</v>
      </c>
      <c r="M116" s="74" t="str">
        <f>IFERROR(__xludf.DUMMYFUNCTION("""COMPUTED_VALUE"""),"BF")</f>
        <v>BF</v>
      </c>
      <c r="N116" s="114" t="str">
        <f>IFERROR(__xludf.DUMMYFUNCTION("""COMPUTED_VALUE"""),"")</f>
        <v/>
      </c>
      <c r="O116" s="74" t="str">
        <f>IFERROR(__xludf.DUMMYFUNCTION("""COMPUTED_VALUE"""),"")</f>
        <v/>
      </c>
      <c r="P116" s="74" t="str">
        <f>IFERROR(__xludf.DUMMYFUNCTION("""COMPUTED_VALUE"""),"")</f>
        <v/>
      </c>
      <c r="Q116" s="92" t="str">
        <f>IFERROR(__xludf.DUMMYFUNCTION("""COMPUTED_VALUE"""),"")</f>
        <v/>
      </c>
      <c r="R116" s="92" t="str">
        <f>IFERROR(__xludf.DUMMYFUNCTION("""COMPUTED_VALUE"""),"")</f>
        <v/>
      </c>
      <c r="S116" s="63" t="str">
        <f>IFERROR(__xludf.DUMMYFUNCTION("""COMPUTED_VALUE"""),"")</f>
        <v/>
      </c>
      <c r="T116" s="63" t="str">
        <f>IFERROR(__xludf.DUMMYFUNCTION("""COMPUTED_VALUE"""),"")</f>
        <v/>
      </c>
      <c r="U116" s="116" t="str">
        <f>IFERROR(__xludf.DUMMYFUNCTION("""COMPUTED_VALUE"""),"")</f>
        <v/>
      </c>
      <c r="V116" s="92" t="str">
        <f>IFERROR(__xludf.DUMMYFUNCTION("""COMPUTED_VALUE"""),"")</f>
        <v/>
      </c>
      <c r="W116" s="64" t="str">
        <f>IFERROR(__xludf.DUMMYFUNCTION("""COMPUTED_VALUE"""),"")</f>
        <v/>
      </c>
      <c r="X116" s="64" t="str">
        <f>IFERROR(__xludf.DUMMYFUNCTION("""COMPUTED_VALUE"""),"")</f>
        <v/>
      </c>
      <c r="Y116" s="114" t="str">
        <f>IFERROR(__xludf.DUMMYFUNCTION("""COMPUTED_VALUE"""),"")</f>
        <v/>
      </c>
      <c r="Z116" s="118" t="str">
        <f>IFERROR(__xludf.DUMMYFUNCTION("""COMPUTED_VALUE"""),"")</f>
        <v/>
      </c>
      <c r="AA116" s="118" t="str">
        <f>IFERROR(__xludf.DUMMYFUNCTION("""COMPUTED_VALUE"""),"")</f>
        <v/>
      </c>
      <c r="AB116" s="74" t="str">
        <f>IFERROR(__xludf.DUMMYFUNCTION("""COMPUTED_VALUE"""),"")</f>
        <v/>
      </c>
    </row>
    <row r="117">
      <c r="A117" s="109">
        <f>IFERROR(__xludf.DUMMYFUNCTION("""COMPUTED_VALUE"""),45938.909593530094)</f>
        <v>45938.90959</v>
      </c>
      <c r="B117" s="81" t="str">
        <f>IFERROR(__xludf.DUMMYFUNCTION("""COMPUTED_VALUE"""),"Kaylie Forgue")</f>
        <v>Kaylie Forgue</v>
      </c>
      <c r="C117" s="74" t="b">
        <f>IFERROR(__xludf.DUMMYFUNCTION("""COMPUTED_VALUE"""),FALSE)</f>
        <v>0</v>
      </c>
      <c r="D117" s="137">
        <f>IFERROR(__xludf.DUMMYFUNCTION("""COMPUTED_VALUE"""),0.7465277777810115)</f>
        <v>0.7465277778</v>
      </c>
      <c r="E117" s="82">
        <f>IFERROR(__xludf.DUMMYFUNCTION("""COMPUTED_VALUE"""),0.12013888888759539)</f>
        <v>0.1201388889</v>
      </c>
      <c r="F117" s="137">
        <f>IFERROR(__xludf.DUMMYFUNCTION("""COMPUTED_VALUE"""),0.8666666666686069)</f>
        <v>0.8666666667</v>
      </c>
      <c r="G117" s="82">
        <f>IFERROR(__xludf.DUMMYFUNCTION("""COMPUTED_VALUE"""),0.12013888888759539)</f>
        <v>0.1201388889</v>
      </c>
      <c r="H117" s="115">
        <f>IFERROR(__xludf.DUMMYFUNCTION("""COMPUTED_VALUE"""),167.0)</f>
        <v>167</v>
      </c>
      <c r="I117" s="112">
        <f>IFERROR(__xludf.DUMMYFUNCTION("""COMPUTED_VALUE"""),57.91907514513227)</f>
        <v>57.91907515</v>
      </c>
      <c r="J117" s="74" t="str">
        <f>IFERROR(__xludf.DUMMYFUNCTION("""COMPUTED_VALUE"""),"Dinner")</f>
        <v>Dinner</v>
      </c>
      <c r="K117" s="113">
        <f>IFERROR(__xludf.DUMMYFUNCTION("""COMPUTED_VALUE"""),45938.0)</f>
        <v>45938</v>
      </c>
      <c r="L117" s="74" t="str">
        <f>IFERROR(__xludf.DUMMYFUNCTION("""COMPUTED_VALUE"""),"Wednesday")</f>
        <v>Wednesday</v>
      </c>
      <c r="M117" s="74" t="str">
        <f>IFERROR(__xludf.DUMMYFUNCTION("""COMPUTED_VALUE"""),"MF")</f>
        <v>MF</v>
      </c>
      <c r="N117" s="114">
        <f>IFERROR(__xludf.DUMMYFUNCTION("""COMPUTED_VALUE"""),1.1412945738621523)</f>
        <v>1.141294574</v>
      </c>
      <c r="O117" s="74">
        <f>IFERROR(__xludf.DUMMYFUNCTION("""COMPUTED_VALUE"""),326.0)</f>
        <v>326</v>
      </c>
      <c r="P117" s="74">
        <f>IFERROR(__xludf.DUMMYFUNCTION("""COMPUTED_VALUE"""),155.0)</f>
        <v>155</v>
      </c>
      <c r="Q117" s="92">
        <f>IFERROR(__xludf.DUMMYFUNCTION("""COMPUTED_VALUE"""),0.2444444444408873)</f>
        <v>0.2444444444</v>
      </c>
      <c r="R117" s="92">
        <f>IFERROR(__xludf.DUMMYFUNCTION("""COMPUTED_VALUE"""),0.2777777777777778)</f>
        <v>0.2777777778</v>
      </c>
      <c r="S117" s="63">
        <f>IFERROR(__xludf.DUMMYFUNCTION("""COMPUTED_VALUE"""),56.41746949120616)</f>
        <v>56.41746949</v>
      </c>
      <c r="T117" s="63">
        <f>IFERROR(__xludf.DUMMYFUNCTION("""COMPUTED_VALUE"""),11.204301075268816)</f>
        <v>11.20430108</v>
      </c>
      <c r="U117" s="116">
        <f>IFERROR(__xludf.DUMMYFUNCTION("""COMPUTED_VALUE"""),481.0)</f>
        <v>481</v>
      </c>
      <c r="V117" s="92">
        <f>IFERROR(__xludf.DUMMYFUNCTION("""COMPUTED_VALUE"""),0.5222222222186651)</f>
        <v>0.5222222222</v>
      </c>
      <c r="W117" s="64">
        <f>IFERROR(__xludf.DUMMYFUNCTION("""COMPUTED_VALUE"""),38.37765957472949)</f>
        <v>38.37765957</v>
      </c>
      <c r="X117" s="64">
        <f>IFERROR(__xludf.DUMMYFUNCTION("""COMPUTED_VALUE"""),38.33220212483123)</f>
        <v>38.33220212</v>
      </c>
      <c r="Y117" s="114">
        <f>IFERROR(__xludf.DUMMYFUNCTION("""COMPUTED_VALUE"""),0.7160043959303392)</f>
        <v>0.7160043959</v>
      </c>
      <c r="Z117" s="118">
        <f>IFERROR(__xludf.DUMMYFUNCTION("""COMPUTED_VALUE"""),3801.0)</f>
        <v>3801</v>
      </c>
      <c r="AA117" s="118">
        <f>IFERROR(__xludf.DUMMYFUNCTION("""COMPUTED_VALUE"""),4111.0)</f>
        <v>4111</v>
      </c>
      <c r="AB117" s="118">
        <f>IFERROR(__xludf.DUMMYFUNCTION("""COMPUTED_VALUE"""),7912.0)</f>
        <v>7912</v>
      </c>
    </row>
    <row r="118">
      <c r="A118" s="109">
        <f>IFERROR(__xludf.DUMMYFUNCTION("""COMPUTED_VALUE"""),45939.56121175926)</f>
        <v>45939.56121</v>
      </c>
      <c r="B118" s="81" t="str">
        <f>IFERROR(__xludf.DUMMYFUNCTION("""COMPUTED_VALUE"""),"Maureen Surgot")</f>
        <v>Maureen Surgot</v>
      </c>
      <c r="C118" s="74" t="b">
        <f>IFERROR(__xludf.DUMMYFUNCTION("""COMPUTED_VALUE"""),FALSE)</f>
        <v>0</v>
      </c>
      <c r="D118" s="137">
        <f>IFERROR(__xludf.DUMMYFUNCTION("""COMPUTED_VALUE"""),0.47916666666424135)</f>
        <v>0.4791666667</v>
      </c>
      <c r="E118" s="82">
        <f>IFERROR(__xludf.DUMMYFUNCTION("""COMPUTED_VALUE"""),0.08333333333575865)</f>
        <v>0.08333333334</v>
      </c>
      <c r="F118" s="137">
        <f>IFERROR(__xludf.DUMMYFUNCTION("""COMPUTED_VALUE"""),0.5625)</f>
        <v>0.5625</v>
      </c>
      <c r="G118" s="82">
        <f>IFERROR(__xludf.DUMMYFUNCTION("""COMPUTED_VALUE"""),0.08333333333575865)</f>
        <v>0.08333333334</v>
      </c>
      <c r="H118" s="115">
        <f>IFERROR(__xludf.DUMMYFUNCTION("""COMPUTED_VALUE"""),63.0)</f>
        <v>63</v>
      </c>
      <c r="I118" s="112">
        <f>IFERROR(__xludf.DUMMYFUNCTION("""COMPUTED_VALUE"""),31.49999999908323)</f>
        <v>31.5</v>
      </c>
      <c r="J118" s="74" t="str">
        <f>IFERROR(__xludf.DUMMYFUNCTION("""COMPUTED_VALUE"""),"Lunch")</f>
        <v>Lunch</v>
      </c>
      <c r="K118" s="113">
        <f>IFERROR(__xludf.DUMMYFUNCTION("""COMPUTED_VALUE"""),45939.0)</f>
        <v>45939</v>
      </c>
      <c r="L118" s="74" t="str">
        <f>IFERROR(__xludf.DUMMYFUNCTION("""COMPUTED_VALUE"""),"Thursday")</f>
        <v>Thursday</v>
      </c>
      <c r="M118" s="74" t="str">
        <f>IFERROR(__xludf.DUMMYFUNCTION("""COMPUTED_VALUE"""),"MF")</f>
        <v>MF</v>
      </c>
      <c r="N118" s="114">
        <f>IFERROR(__xludf.DUMMYFUNCTION("""COMPUTED_VALUE"""),0.6550375617764479)</f>
        <v>0.6550375618</v>
      </c>
      <c r="O118" s="74" t="str">
        <f>IFERROR(__xludf.DUMMYFUNCTION("""COMPUTED_VALUE"""),"")</f>
        <v/>
      </c>
      <c r="P118" s="74" t="str">
        <f>IFERROR(__xludf.DUMMYFUNCTION("""COMPUTED_VALUE"""),"")</f>
        <v/>
      </c>
      <c r="Q118" s="92" t="str">
        <f>IFERROR(__xludf.DUMMYFUNCTION("""COMPUTED_VALUE"""),"")</f>
        <v/>
      </c>
      <c r="R118" s="92" t="str">
        <f>IFERROR(__xludf.DUMMYFUNCTION("""COMPUTED_VALUE"""),"")</f>
        <v/>
      </c>
      <c r="S118" s="63" t="str">
        <f>IFERROR(__xludf.DUMMYFUNCTION("""COMPUTED_VALUE"""),"")</f>
        <v/>
      </c>
      <c r="T118" s="63" t="str">
        <f>IFERROR(__xludf.DUMMYFUNCTION("""COMPUTED_VALUE"""),"")</f>
        <v/>
      </c>
      <c r="U118" s="116" t="str">
        <f>IFERROR(__xludf.DUMMYFUNCTION("""COMPUTED_VALUE"""),"")</f>
        <v/>
      </c>
      <c r="V118" s="92" t="str">
        <f>IFERROR(__xludf.DUMMYFUNCTION("""COMPUTED_VALUE"""),"")</f>
        <v/>
      </c>
      <c r="W118" s="64" t="str">
        <f>IFERROR(__xludf.DUMMYFUNCTION("""COMPUTED_VALUE"""),"")</f>
        <v/>
      </c>
      <c r="X118" s="64" t="str">
        <f>IFERROR(__xludf.DUMMYFUNCTION("""COMPUTED_VALUE"""),"")</f>
        <v/>
      </c>
      <c r="Y118" s="114" t="str">
        <f>IFERROR(__xludf.DUMMYFUNCTION("""COMPUTED_VALUE"""),"")</f>
        <v/>
      </c>
      <c r="Z118" s="118" t="str">
        <f>IFERROR(__xludf.DUMMYFUNCTION("""COMPUTED_VALUE"""),"")</f>
        <v/>
      </c>
      <c r="AA118" s="118" t="str">
        <f>IFERROR(__xludf.DUMMYFUNCTION("""COMPUTED_VALUE"""),"")</f>
        <v/>
      </c>
      <c r="AB118" s="74" t="str">
        <f>IFERROR(__xludf.DUMMYFUNCTION("""COMPUTED_VALUE"""),"")</f>
        <v/>
      </c>
    </row>
    <row r="119">
      <c r="A119" s="109">
        <f>IFERROR(__xludf.DUMMYFUNCTION("""COMPUTED_VALUE"""),45939.57257959491)</f>
        <v>45939.57258</v>
      </c>
      <c r="B119" s="81" t="str">
        <f>IFERROR(__xludf.DUMMYFUNCTION("""COMPUTED_VALUE"""),"Greta Traynor")</f>
        <v>Greta Traynor</v>
      </c>
      <c r="C119" s="74" t="b">
        <f>IFERROR(__xludf.DUMMYFUNCTION("""COMPUTED_VALUE"""),FALSE)</f>
        <v>0</v>
      </c>
      <c r="D119" s="137">
        <f>IFERROR(__xludf.DUMMYFUNCTION("""COMPUTED_VALUE"""),0.5201388888890506)</f>
        <v>0.5201388889</v>
      </c>
      <c r="E119" s="82">
        <f>IFERROR(__xludf.DUMMYFUNCTION("""COMPUTED_VALUE"""),0.0506944444423425)</f>
        <v>0.05069444444</v>
      </c>
      <c r="F119" s="137">
        <f>IFERROR(__xludf.DUMMYFUNCTION("""COMPUTED_VALUE"""),0.5708333333313931)</f>
        <v>0.5708333333</v>
      </c>
      <c r="G119" s="82">
        <f>IFERROR(__xludf.DUMMYFUNCTION("""COMPUTED_VALUE"""),0.0506944444423425)</f>
        <v>0.05069444444</v>
      </c>
      <c r="H119" s="115">
        <f>IFERROR(__xludf.DUMMYFUNCTION("""COMPUTED_VALUE"""),51.0)</f>
        <v>51</v>
      </c>
      <c r="I119" s="112">
        <f>IFERROR(__xludf.DUMMYFUNCTION("""COMPUTED_VALUE"""),41.91780822091612)</f>
        <v>41.91780822</v>
      </c>
      <c r="J119" s="74" t="str">
        <f>IFERROR(__xludf.DUMMYFUNCTION("""COMPUTED_VALUE"""),"Lunch")</f>
        <v>Lunch</v>
      </c>
      <c r="K119" s="113">
        <f>IFERROR(__xludf.DUMMYFUNCTION("""COMPUTED_VALUE"""),45939.0)</f>
        <v>45939</v>
      </c>
      <c r="L119" s="74" t="str">
        <f>IFERROR(__xludf.DUMMYFUNCTION("""COMPUTED_VALUE"""),"Thursday")</f>
        <v>Thursday</v>
      </c>
      <c r="M119" s="74" t="str">
        <f>IFERROR(__xludf.DUMMYFUNCTION("""COMPUTED_VALUE"""),"BF")</f>
        <v>BF</v>
      </c>
      <c r="N119" s="114">
        <f>IFERROR(__xludf.DUMMYFUNCTION("""COMPUTED_VALUE"""),1.07950083584072)</f>
        <v>1.079500836</v>
      </c>
      <c r="O119" s="74" t="str">
        <f>IFERROR(__xludf.DUMMYFUNCTION("""COMPUTED_VALUE"""),"")</f>
        <v/>
      </c>
      <c r="P119" s="74" t="str">
        <f>IFERROR(__xludf.DUMMYFUNCTION("""COMPUTED_VALUE"""),"")</f>
        <v/>
      </c>
      <c r="Q119" s="92" t="str">
        <f>IFERROR(__xludf.DUMMYFUNCTION("""COMPUTED_VALUE"""),"")</f>
        <v/>
      </c>
      <c r="R119" s="92" t="str">
        <f>IFERROR(__xludf.DUMMYFUNCTION("""COMPUTED_VALUE"""),"")</f>
        <v/>
      </c>
      <c r="S119" s="63" t="str">
        <f>IFERROR(__xludf.DUMMYFUNCTION("""COMPUTED_VALUE"""),"")</f>
        <v/>
      </c>
      <c r="T119" s="63" t="str">
        <f>IFERROR(__xludf.DUMMYFUNCTION("""COMPUTED_VALUE"""),"")</f>
        <v/>
      </c>
      <c r="U119" s="116" t="str">
        <f>IFERROR(__xludf.DUMMYFUNCTION("""COMPUTED_VALUE"""),"")</f>
        <v/>
      </c>
      <c r="V119" s="92" t="str">
        <f>IFERROR(__xludf.DUMMYFUNCTION("""COMPUTED_VALUE"""),"")</f>
        <v/>
      </c>
      <c r="W119" s="64" t="str">
        <f>IFERROR(__xludf.DUMMYFUNCTION("""COMPUTED_VALUE"""),"")</f>
        <v/>
      </c>
      <c r="X119" s="64" t="str">
        <f>IFERROR(__xludf.DUMMYFUNCTION("""COMPUTED_VALUE"""),"")</f>
        <v/>
      </c>
      <c r="Y119" s="114" t="str">
        <f>IFERROR(__xludf.DUMMYFUNCTION("""COMPUTED_VALUE"""),"")</f>
        <v/>
      </c>
      <c r="Z119" s="118" t="str">
        <f>IFERROR(__xludf.DUMMYFUNCTION("""COMPUTED_VALUE"""),"")</f>
        <v/>
      </c>
      <c r="AA119" s="118" t="str">
        <f>IFERROR(__xludf.DUMMYFUNCTION("""COMPUTED_VALUE"""),"")</f>
        <v/>
      </c>
      <c r="AB119" s="74" t="str">
        <f>IFERROR(__xludf.DUMMYFUNCTION("""COMPUTED_VALUE"""),"")</f>
        <v/>
      </c>
    </row>
    <row r="120">
      <c r="A120" s="109">
        <f>IFERROR(__xludf.DUMMYFUNCTION("""COMPUTED_VALUE"""),45939.633101099535)</f>
        <v>45939.6331</v>
      </c>
      <c r="B120" s="81" t="str">
        <f>IFERROR(__xludf.DUMMYFUNCTION("""COMPUTED_VALUE"""),"Brynn Hornig")</f>
        <v>Brynn Hornig</v>
      </c>
      <c r="C120" s="74" t="b">
        <f>IFERROR(__xludf.DUMMYFUNCTION("""COMPUTED_VALUE"""),FALSE)</f>
        <v>0</v>
      </c>
      <c r="D120" s="137">
        <f>IFERROR(__xludf.DUMMYFUNCTION("""COMPUTED_VALUE"""),0.5625)</f>
        <v>0.5625</v>
      </c>
      <c r="E120" s="82">
        <f>IFERROR(__xludf.DUMMYFUNCTION("""COMPUTED_VALUE"""),0.07291666666424135)</f>
        <v>0.07291666666</v>
      </c>
      <c r="F120" s="137">
        <f>IFERROR(__xludf.DUMMYFUNCTION("""COMPUTED_VALUE"""),0.6354166666642413)</f>
        <v>0.6354166667</v>
      </c>
      <c r="G120" s="82">
        <f>IFERROR(__xludf.DUMMYFUNCTION("""COMPUTED_VALUE"""),0.07291666666424135)</f>
        <v>0.07291666666</v>
      </c>
      <c r="H120" s="115">
        <f>IFERROR(__xludf.DUMMYFUNCTION("""COMPUTED_VALUE"""),71.0)</f>
        <v>71</v>
      </c>
      <c r="I120" s="112">
        <f>IFERROR(__xludf.DUMMYFUNCTION("""COMPUTED_VALUE"""),40.57142857277804)</f>
        <v>40.57142857</v>
      </c>
      <c r="J120" s="74" t="str">
        <f>IFERROR(__xludf.DUMMYFUNCTION("""COMPUTED_VALUE"""),"Lunch")</f>
        <v>Lunch</v>
      </c>
      <c r="K120" s="113">
        <f>IFERROR(__xludf.DUMMYFUNCTION("""COMPUTED_VALUE"""),45939.0)</f>
        <v>45939</v>
      </c>
      <c r="L120" s="74" t="str">
        <f>IFERROR(__xludf.DUMMYFUNCTION("""COMPUTED_VALUE"""),"Thursday")</f>
        <v>Thursday</v>
      </c>
      <c r="M120" s="74" t="str">
        <f>IFERROR(__xludf.DUMMYFUNCTION("""COMPUTED_VALUE"""),"MF")</f>
        <v>MF</v>
      </c>
      <c r="N120" s="114">
        <f>IFERROR(__xludf.DUMMYFUNCTION("""COMPUTED_VALUE"""),0.8436764968531205)</f>
        <v>0.8436764969</v>
      </c>
      <c r="O120" s="74" t="str">
        <f>IFERROR(__xludf.DUMMYFUNCTION("""COMPUTED_VALUE"""),"")</f>
        <v/>
      </c>
      <c r="P120" s="74" t="str">
        <f>IFERROR(__xludf.DUMMYFUNCTION("""COMPUTED_VALUE"""),"")</f>
        <v/>
      </c>
      <c r="Q120" s="92" t="str">
        <f>IFERROR(__xludf.DUMMYFUNCTION("""COMPUTED_VALUE"""),"")</f>
        <v/>
      </c>
      <c r="R120" s="92" t="str">
        <f>IFERROR(__xludf.DUMMYFUNCTION("""COMPUTED_VALUE"""),"")</f>
        <v/>
      </c>
      <c r="S120" s="63" t="str">
        <f>IFERROR(__xludf.DUMMYFUNCTION("""COMPUTED_VALUE"""),"")</f>
        <v/>
      </c>
      <c r="T120" s="63" t="str">
        <f>IFERROR(__xludf.DUMMYFUNCTION("""COMPUTED_VALUE"""),"")</f>
        <v/>
      </c>
      <c r="U120" s="116" t="str">
        <f>IFERROR(__xludf.DUMMYFUNCTION("""COMPUTED_VALUE"""),"")</f>
        <v/>
      </c>
      <c r="V120" s="92" t="str">
        <f>IFERROR(__xludf.DUMMYFUNCTION("""COMPUTED_VALUE"""),"")</f>
        <v/>
      </c>
      <c r="W120" s="64" t="str">
        <f>IFERROR(__xludf.DUMMYFUNCTION("""COMPUTED_VALUE"""),"")</f>
        <v/>
      </c>
      <c r="X120" s="64" t="str">
        <f>IFERROR(__xludf.DUMMYFUNCTION("""COMPUTED_VALUE"""),"")</f>
        <v/>
      </c>
      <c r="Y120" s="114" t="str">
        <f>IFERROR(__xludf.DUMMYFUNCTION("""COMPUTED_VALUE"""),"")</f>
        <v/>
      </c>
      <c r="Z120" s="118" t="str">
        <f>IFERROR(__xludf.DUMMYFUNCTION("""COMPUTED_VALUE"""),"")</f>
        <v/>
      </c>
      <c r="AA120" s="118" t="str">
        <f>IFERROR(__xludf.DUMMYFUNCTION("""COMPUTED_VALUE"""),"")</f>
        <v/>
      </c>
      <c r="AB120" s="74" t="str">
        <f>IFERROR(__xludf.DUMMYFUNCTION("""COMPUTED_VALUE"""),"")</f>
        <v/>
      </c>
    </row>
    <row r="121">
      <c r="A121" s="109">
        <f>IFERROR(__xludf.DUMMYFUNCTION("""COMPUTED_VALUE"""),45939.65675591435)</f>
        <v>45939.65676</v>
      </c>
      <c r="B121" s="81" t="str">
        <f>IFERROR(__xludf.DUMMYFUNCTION("""COMPUTED_VALUE"""),"Emmett Khan")</f>
        <v>Emmett Khan</v>
      </c>
      <c r="C121" s="74" t="b">
        <f>IFERROR(__xludf.DUMMYFUNCTION("""COMPUTED_VALUE"""),FALSE)</f>
        <v>0</v>
      </c>
      <c r="D121" s="137">
        <f>IFERROR(__xludf.DUMMYFUNCTION("""COMPUTED_VALUE"""),0.5833333333357587)</f>
        <v>0.5833333333</v>
      </c>
      <c r="E121" s="82">
        <f>IFERROR(__xludf.DUMMYFUNCTION("""COMPUTED_VALUE"""),0.07291666666424135)</f>
        <v>0.07291666666</v>
      </c>
      <c r="F121" s="137">
        <f>IFERROR(__xludf.DUMMYFUNCTION("""COMPUTED_VALUE"""),0.65625)</f>
        <v>0.65625</v>
      </c>
      <c r="G121" s="82">
        <f>IFERROR(__xludf.DUMMYFUNCTION("""COMPUTED_VALUE"""),0.15625)</f>
        <v>0.15625</v>
      </c>
      <c r="H121" s="115">
        <f>IFERROR(__xludf.DUMMYFUNCTION("""COMPUTED_VALUE"""),77.0)</f>
        <v>77</v>
      </c>
      <c r="I121" s="112">
        <f>IFERROR(__xludf.DUMMYFUNCTION("""COMPUTED_VALUE"""),20.533333333333335)</f>
        <v>20.53333333</v>
      </c>
      <c r="J121" s="74" t="str">
        <f>IFERROR(__xludf.DUMMYFUNCTION("""COMPUTED_VALUE"""),"Lunch")</f>
        <v>Lunch</v>
      </c>
      <c r="K121" s="113">
        <f>IFERROR(__xludf.DUMMYFUNCTION("""COMPUTED_VALUE"""),45939.0)</f>
        <v>45939</v>
      </c>
      <c r="L121" s="74" t="str">
        <f>IFERROR(__xludf.DUMMYFUNCTION("""COMPUTED_VALUE"""),"Thursday")</f>
        <v>Thursday</v>
      </c>
      <c r="M121" s="74" t="str">
        <f>IFERROR(__xludf.DUMMYFUNCTION("""COMPUTED_VALUE"""),"BF")</f>
        <v>BF</v>
      </c>
      <c r="N121" s="114">
        <f>IFERROR(__xludf.DUMMYFUNCTION("""COMPUTED_VALUE"""),0.5287907797829278)</f>
        <v>0.5287907798</v>
      </c>
      <c r="O121" s="74" t="str">
        <f>IFERROR(__xludf.DUMMYFUNCTION("""COMPUTED_VALUE"""),"")</f>
        <v/>
      </c>
      <c r="P121" s="74" t="str">
        <f>IFERROR(__xludf.DUMMYFUNCTION("""COMPUTED_VALUE"""),"")</f>
        <v/>
      </c>
      <c r="Q121" s="92" t="str">
        <f>IFERROR(__xludf.DUMMYFUNCTION("""COMPUTED_VALUE"""),"")</f>
        <v/>
      </c>
      <c r="R121" s="92" t="str">
        <f>IFERROR(__xludf.DUMMYFUNCTION("""COMPUTED_VALUE"""),"")</f>
        <v/>
      </c>
      <c r="S121" s="63" t="str">
        <f>IFERROR(__xludf.DUMMYFUNCTION("""COMPUTED_VALUE"""),"")</f>
        <v/>
      </c>
      <c r="T121" s="63" t="str">
        <f>IFERROR(__xludf.DUMMYFUNCTION("""COMPUTED_VALUE"""),"")</f>
        <v/>
      </c>
      <c r="U121" s="116" t="str">
        <f>IFERROR(__xludf.DUMMYFUNCTION("""COMPUTED_VALUE"""),"")</f>
        <v/>
      </c>
      <c r="V121" s="92" t="str">
        <f>IFERROR(__xludf.DUMMYFUNCTION("""COMPUTED_VALUE"""),"")</f>
        <v/>
      </c>
      <c r="W121" s="64" t="str">
        <f>IFERROR(__xludf.DUMMYFUNCTION("""COMPUTED_VALUE"""),"")</f>
        <v/>
      </c>
      <c r="X121" s="64" t="str">
        <f>IFERROR(__xludf.DUMMYFUNCTION("""COMPUTED_VALUE"""),"")</f>
        <v/>
      </c>
      <c r="Y121" s="114" t="str">
        <f>IFERROR(__xludf.DUMMYFUNCTION("""COMPUTED_VALUE"""),"")</f>
        <v/>
      </c>
      <c r="Z121" s="118" t="str">
        <f>IFERROR(__xludf.DUMMYFUNCTION("""COMPUTED_VALUE"""),"")</f>
        <v/>
      </c>
      <c r="AA121" s="118" t="str">
        <f>IFERROR(__xludf.DUMMYFUNCTION("""COMPUTED_VALUE"""),"")</f>
        <v/>
      </c>
      <c r="AB121" s="74" t="str">
        <f>IFERROR(__xludf.DUMMYFUNCTION("""COMPUTED_VALUE"""),"")</f>
        <v/>
      </c>
    </row>
    <row r="122">
      <c r="A122" s="109">
        <f>IFERROR(__xludf.DUMMYFUNCTION("""COMPUTED_VALUE"""),45939.76831175926)</f>
        <v>45939.76831</v>
      </c>
      <c r="B122" s="81" t="str">
        <f>IFERROR(__xludf.DUMMYFUNCTION("""COMPUTED_VALUE"""),"Emmett Khan")</f>
        <v>Emmett Khan</v>
      </c>
      <c r="C122" s="74" t="b">
        <f>IFERROR(__xludf.DUMMYFUNCTION("""COMPUTED_VALUE"""),TRUE)</f>
        <v>1</v>
      </c>
      <c r="D122" s="137">
        <f>IFERROR(__xludf.DUMMYFUNCTION("""COMPUTED_VALUE"""),0.6875)</f>
        <v>0.6875</v>
      </c>
      <c r="E122" s="82">
        <f>IFERROR(__xludf.DUMMYFUNCTION("""COMPUTED_VALUE"""),0.08333333333575865)</f>
        <v>0.08333333334</v>
      </c>
      <c r="F122" s="137">
        <f>IFERROR(__xludf.DUMMYFUNCTION("""COMPUTED_VALUE"""),0.7708333333357587)</f>
        <v>0.7708333333</v>
      </c>
      <c r="G122" s="82" t="str">
        <f>IFERROR(__xludf.DUMMYFUNCTION("""COMPUTED_VALUE"""),"")</f>
        <v/>
      </c>
      <c r="H122" s="115">
        <f>IFERROR(__xludf.DUMMYFUNCTION("""COMPUTED_VALUE"""),104.0)</f>
        <v>104</v>
      </c>
      <c r="I122" s="112" t="str">
        <f>IFERROR(__xludf.DUMMYFUNCTION("""COMPUTED_VALUE"""),"")</f>
        <v/>
      </c>
      <c r="J122" s="74" t="str">
        <f>IFERROR(__xludf.DUMMYFUNCTION("""COMPUTED_VALUE"""),"Dinner")</f>
        <v>Dinner</v>
      </c>
      <c r="K122" s="113">
        <f>IFERROR(__xludf.DUMMYFUNCTION("""COMPUTED_VALUE"""),45939.0)</f>
        <v>45939</v>
      </c>
      <c r="L122" s="74" t="str">
        <f>IFERROR(__xludf.DUMMYFUNCTION("""COMPUTED_VALUE"""),"Thursday")</f>
        <v>Thursday</v>
      </c>
      <c r="M122" s="74" t="str">
        <f>IFERROR(__xludf.DUMMYFUNCTION("""COMPUTED_VALUE"""),"BF")</f>
        <v>BF</v>
      </c>
      <c r="N122" s="114" t="str">
        <f>IFERROR(__xludf.DUMMYFUNCTION("""COMPUTED_VALUE"""),"")</f>
        <v/>
      </c>
      <c r="O122" s="74">
        <f>IFERROR(__xludf.DUMMYFUNCTION("""COMPUTED_VALUE"""),134.0)</f>
        <v>134</v>
      </c>
      <c r="P122" s="74">
        <f>IFERROR(__xludf.DUMMYFUNCTION("""COMPUTED_VALUE"""),232.0)</f>
        <v>232</v>
      </c>
      <c r="Q122" s="92">
        <f>IFERROR(__xludf.DUMMYFUNCTION("""COMPUTED_VALUE"""),0.15625)</f>
        <v>0.15625</v>
      </c>
      <c r="R122" s="92">
        <f>IFERROR(__xludf.DUMMYFUNCTION("""COMPUTED_VALUE"""),0.2069444444423425)</f>
        <v>0.2069444444</v>
      </c>
      <c r="S122" s="63">
        <f>IFERROR(__xludf.DUMMYFUNCTION("""COMPUTED_VALUE"""),36.03571428593064)</f>
        <v>36.03571429</v>
      </c>
      <c r="T122" s="63">
        <f>IFERROR(__xludf.DUMMYFUNCTION("""COMPUTED_VALUE"""),31.22557077712473)</f>
        <v>31.22557078</v>
      </c>
      <c r="U122" s="116">
        <f>IFERROR(__xludf.DUMMYFUNCTION("""COMPUTED_VALUE"""),366.0)</f>
        <v>366</v>
      </c>
      <c r="V122" s="92">
        <f>IFERROR(__xludf.DUMMYFUNCTION("""COMPUTED_VALUE"""),0.3631944444423425)</f>
        <v>0.3631944444</v>
      </c>
      <c r="W122" s="64">
        <f>IFERROR(__xludf.DUMMYFUNCTION("""COMPUTED_VALUE"""),41.988527724908394)</f>
        <v>41.98852772</v>
      </c>
      <c r="X122" s="64">
        <f>IFERROR(__xludf.DUMMYFUNCTION("""COMPUTED_VALUE"""),33.630642531527684)</f>
        <v>33.63064253</v>
      </c>
      <c r="Y122" s="114">
        <f>IFERROR(__xludf.DUMMYFUNCTION("""COMPUTED_VALUE"""),0.6059485968615792)</f>
        <v>0.6059485969</v>
      </c>
      <c r="Z122" s="118">
        <f>IFERROR(__xludf.DUMMYFUNCTION("""COMPUTED_VALUE"""),3520.0)</f>
        <v>3520</v>
      </c>
      <c r="AA122" s="118">
        <f>IFERROR(__xludf.DUMMYFUNCTION("""COMPUTED_VALUE"""),4107.0)</f>
        <v>4107</v>
      </c>
      <c r="AB122" s="118">
        <f>IFERROR(__xludf.DUMMYFUNCTION("""COMPUTED_VALUE"""),7627.0)</f>
        <v>7627</v>
      </c>
    </row>
    <row r="123">
      <c r="A123" s="109">
        <f>IFERROR(__xludf.DUMMYFUNCTION("""COMPUTED_VALUE"""),45940.55012901621)</f>
        <v>45940.55013</v>
      </c>
      <c r="B123" s="81" t="str">
        <f>IFERROR(__xludf.DUMMYFUNCTION("""COMPUTED_VALUE"""),"Orpheus Wilson")</f>
        <v>Orpheus Wilson</v>
      </c>
      <c r="C123" s="74" t="b">
        <f>IFERROR(__xludf.DUMMYFUNCTION("""COMPUTED_VALUE"""),FALSE)</f>
        <v>0</v>
      </c>
      <c r="D123" s="137">
        <f>IFERROR(__xludf.DUMMYFUNCTION("""COMPUTED_VALUE"""),0.48402777777664596)</f>
        <v>0.4840277778</v>
      </c>
      <c r="E123" s="82">
        <f>IFERROR(__xludf.DUMMYFUNCTION("""COMPUTED_VALUE"""),0.06527777777955635)</f>
        <v>0.06527777778</v>
      </c>
      <c r="F123" s="137">
        <f>IFERROR(__xludf.DUMMYFUNCTION("""COMPUTED_VALUE"""),0.5493055555562023)</f>
        <v>0.5493055556</v>
      </c>
      <c r="G123" s="82">
        <f>IFERROR(__xludf.DUMMYFUNCTION("""COMPUTED_VALUE"""),0.06527777777955635)</f>
        <v>0.06527777778</v>
      </c>
      <c r="H123" s="115">
        <f>IFERROR(__xludf.DUMMYFUNCTION("""COMPUTED_VALUE"""),76.0)</f>
        <v>76</v>
      </c>
      <c r="I123" s="112">
        <f>IFERROR(__xludf.DUMMYFUNCTION("""COMPUTED_VALUE"""),48.51063829655061)</f>
        <v>48.5106383</v>
      </c>
      <c r="J123" s="74" t="str">
        <f>IFERROR(__xludf.DUMMYFUNCTION("""COMPUTED_VALUE"""),"Lunch")</f>
        <v>Lunch</v>
      </c>
      <c r="K123" s="113">
        <f>IFERROR(__xludf.DUMMYFUNCTION("""COMPUTED_VALUE"""),45940.0)</f>
        <v>45940</v>
      </c>
      <c r="L123" s="74" t="str">
        <f>IFERROR(__xludf.DUMMYFUNCTION("""COMPUTED_VALUE"""),"Friday")</f>
        <v>Friday</v>
      </c>
      <c r="M123" s="74" t="str">
        <f>IFERROR(__xludf.DUMMYFUNCTION("""COMPUTED_VALUE"""),"MF")</f>
        <v>MF</v>
      </c>
      <c r="N123" s="114">
        <f>IFERROR(__xludf.DUMMYFUNCTION("""COMPUTED_VALUE"""),1.0087711184417938)</f>
        <v>1.008771118</v>
      </c>
      <c r="O123" s="74" t="str">
        <f>IFERROR(__xludf.DUMMYFUNCTION("""COMPUTED_VALUE"""),"")</f>
        <v/>
      </c>
      <c r="P123" s="74" t="str">
        <f>IFERROR(__xludf.DUMMYFUNCTION("""COMPUTED_VALUE"""),"")</f>
        <v/>
      </c>
      <c r="Q123" s="92" t="str">
        <f>IFERROR(__xludf.DUMMYFUNCTION("""COMPUTED_VALUE"""),"")</f>
        <v/>
      </c>
      <c r="R123" s="92" t="str">
        <f>IFERROR(__xludf.DUMMYFUNCTION("""COMPUTED_VALUE"""),"")</f>
        <v/>
      </c>
      <c r="S123" s="63" t="str">
        <f>IFERROR(__xludf.DUMMYFUNCTION("""COMPUTED_VALUE"""),"")</f>
        <v/>
      </c>
      <c r="T123" s="63" t="str">
        <f>IFERROR(__xludf.DUMMYFUNCTION("""COMPUTED_VALUE"""),"")</f>
        <v/>
      </c>
      <c r="U123" s="116" t="str">
        <f>IFERROR(__xludf.DUMMYFUNCTION("""COMPUTED_VALUE"""),"")</f>
        <v/>
      </c>
      <c r="V123" s="92" t="str">
        <f>IFERROR(__xludf.DUMMYFUNCTION("""COMPUTED_VALUE"""),"")</f>
        <v/>
      </c>
      <c r="W123" s="64" t="str">
        <f>IFERROR(__xludf.DUMMYFUNCTION("""COMPUTED_VALUE"""),"")</f>
        <v/>
      </c>
      <c r="X123" s="64" t="str">
        <f>IFERROR(__xludf.DUMMYFUNCTION("""COMPUTED_VALUE"""),"")</f>
        <v/>
      </c>
      <c r="Y123" s="114" t="str">
        <f>IFERROR(__xludf.DUMMYFUNCTION("""COMPUTED_VALUE"""),"")</f>
        <v/>
      </c>
      <c r="Z123" s="118" t="str">
        <f>IFERROR(__xludf.DUMMYFUNCTION("""COMPUTED_VALUE"""),"")</f>
        <v/>
      </c>
      <c r="AA123" s="118" t="str">
        <f>IFERROR(__xludf.DUMMYFUNCTION("""COMPUTED_VALUE"""),"")</f>
        <v/>
      </c>
      <c r="AB123" s="74" t="str">
        <f>IFERROR(__xludf.DUMMYFUNCTION("""COMPUTED_VALUE"""),"")</f>
        <v/>
      </c>
    </row>
    <row r="124">
      <c r="A124" s="109">
        <f>IFERROR(__xludf.DUMMYFUNCTION("""COMPUTED_VALUE"""),45940.631562800925)</f>
        <v>45940.63156</v>
      </c>
      <c r="B124" s="81" t="str">
        <f>IFERROR(__xludf.DUMMYFUNCTION("""COMPUTED_VALUE"""),"Brynn Hornig")</f>
        <v>Brynn Hornig</v>
      </c>
      <c r="C124" s="74" t="b">
        <f>IFERROR(__xludf.DUMMYFUNCTION("""COMPUTED_VALUE"""),FALSE)</f>
        <v>0</v>
      </c>
      <c r="D124" s="137">
        <f>IFERROR(__xludf.DUMMYFUNCTION("""COMPUTED_VALUE"""),0.5520833333357587)</f>
        <v>0.5520833333</v>
      </c>
      <c r="E124" s="82">
        <f>IFERROR(__xludf.DUMMYFUNCTION("""COMPUTED_VALUE"""),0.0833333333284827)</f>
        <v>0.08333333333</v>
      </c>
      <c r="F124" s="137">
        <f>IFERROR(__xludf.DUMMYFUNCTION("""COMPUTED_VALUE"""),0.6354166666642413)</f>
        <v>0.6354166667</v>
      </c>
      <c r="G124" s="82">
        <f>IFERROR(__xludf.DUMMYFUNCTION("""COMPUTED_VALUE"""),0.0833333333284827)</f>
        <v>0.08333333333</v>
      </c>
      <c r="H124" s="115">
        <f>IFERROR(__xludf.DUMMYFUNCTION("""COMPUTED_VALUE"""),65.0)</f>
        <v>65</v>
      </c>
      <c r="I124" s="112">
        <f>IFERROR(__xludf.DUMMYFUNCTION("""COMPUTED_VALUE"""),32.50000000189175)</f>
        <v>32.5</v>
      </c>
      <c r="J124" s="74" t="str">
        <f>IFERROR(__xludf.DUMMYFUNCTION("""COMPUTED_VALUE"""),"Lunch")</f>
        <v>Lunch</v>
      </c>
      <c r="K124" s="113">
        <f>IFERROR(__xludf.DUMMYFUNCTION("""COMPUTED_VALUE"""),45940.0)</f>
        <v>45940</v>
      </c>
      <c r="L124" s="74" t="str">
        <f>IFERROR(__xludf.DUMMYFUNCTION("""COMPUTED_VALUE"""),"Friday")</f>
        <v>Friday</v>
      </c>
      <c r="M124" s="74" t="str">
        <f>IFERROR(__xludf.DUMMYFUNCTION("""COMPUTED_VALUE"""),"MF")</f>
        <v>MF</v>
      </c>
      <c r="N124" s="114">
        <f>IFERROR(__xludf.DUMMYFUNCTION("""COMPUTED_VALUE"""),0.6758324050664541)</f>
        <v>0.6758324051</v>
      </c>
      <c r="O124" s="74" t="str">
        <f>IFERROR(__xludf.DUMMYFUNCTION("""COMPUTED_VALUE"""),"")</f>
        <v/>
      </c>
      <c r="P124" s="74" t="str">
        <f>IFERROR(__xludf.DUMMYFUNCTION("""COMPUTED_VALUE"""),"")</f>
        <v/>
      </c>
      <c r="Q124" s="92" t="str">
        <f>IFERROR(__xludf.DUMMYFUNCTION("""COMPUTED_VALUE"""),"")</f>
        <v/>
      </c>
      <c r="R124" s="92" t="str">
        <f>IFERROR(__xludf.DUMMYFUNCTION("""COMPUTED_VALUE"""),"")</f>
        <v/>
      </c>
      <c r="S124" s="63" t="str">
        <f>IFERROR(__xludf.DUMMYFUNCTION("""COMPUTED_VALUE"""),"")</f>
        <v/>
      </c>
      <c r="T124" s="63" t="str">
        <f>IFERROR(__xludf.DUMMYFUNCTION("""COMPUTED_VALUE"""),"")</f>
        <v/>
      </c>
      <c r="U124" s="116" t="str">
        <f>IFERROR(__xludf.DUMMYFUNCTION("""COMPUTED_VALUE"""),"")</f>
        <v/>
      </c>
      <c r="V124" s="92" t="str">
        <f>IFERROR(__xludf.DUMMYFUNCTION("""COMPUTED_VALUE"""),"")</f>
        <v/>
      </c>
      <c r="W124" s="64" t="str">
        <f>IFERROR(__xludf.DUMMYFUNCTION("""COMPUTED_VALUE"""),"")</f>
        <v/>
      </c>
      <c r="X124" s="64" t="str">
        <f>IFERROR(__xludf.DUMMYFUNCTION("""COMPUTED_VALUE"""),"")</f>
        <v/>
      </c>
      <c r="Y124" s="114" t="str">
        <f>IFERROR(__xludf.DUMMYFUNCTION("""COMPUTED_VALUE"""),"")</f>
        <v/>
      </c>
      <c r="Z124" s="118" t="str">
        <f>IFERROR(__xludf.DUMMYFUNCTION("""COMPUTED_VALUE"""),"")</f>
        <v/>
      </c>
      <c r="AA124" s="118" t="str">
        <f>IFERROR(__xludf.DUMMYFUNCTION("""COMPUTED_VALUE"""),"")</f>
        <v/>
      </c>
      <c r="AB124" s="74" t="str">
        <f>IFERROR(__xludf.DUMMYFUNCTION("""COMPUTED_VALUE"""),"")</f>
        <v/>
      </c>
    </row>
    <row r="125">
      <c r="A125" s="109">
        <f>IFERROR(__xludf.DUMMYFUNCTION("""COMPUTED_VALUE"""),45940.70780268518)</f>
        <v>45940.7078</v>
      </c>
      <c r="B125" s="81" t="str">
        <f>IFERROR(__xludf.DUMMYFUNCTION("""COMPUTED_VALUE"""),"Emmett Khan")</f>
        <v>Emmett Khan</v>
      </c>
      <c r="C125" s="74" t="b">
        <f>IFERROR(__xludf.DUMMYFUNCTION("""COMPUTED_VALUE"""),FALSE)</f>
        <v>0</v>
      </c>
      <c r="D125" s="137">
        <f>IFERROR(__xludf.DUMMYFUNCTION("""COMPUTED_VALUE"""),0.6666666666642413)</f>
        <v>0.6666666667</v>
      </c>
      <c r="E125" s="82">
        <f>IFERROR(__xludf.DUMMYFUNCTION("""COMPUTED_VALUE"""),0.041666666671517305)</f>
        <v>0.04166666667</v>
      </c>
      <c r="F125" s="137">
        <f>IFERROR(__xludf.DUMMYFUNCTION("""COMPUTED_VALUE"""),0.7083333333357587)</f>
        <v>0.7083333333</v>
      </c>
      <c r="G125" s="82">
        <f>IFERROR(__xludf.DUMMYFUNCTION("""COMPUTED_VALUE"""),0.041666666671517305)</f>
        <v>0.04166666667</v>
      </c>
      <c r="H125" s="115">
        <f>IFERROR(__xludf.DUMMYFUNCTION("""COMPUTED_VALUE"""),37.0)</f>
        <v>37</v>
      </c>
      <c r="I125" s="112">
        <f>IFERROR(__xludf.DUMMYFUNCTION("""COMPUTED_VALUE"""),36.99999999569263)</f>
        <v>37</v>
      </c>
      <c r="J125" s="74" t="str">
        <f>IFERROR(__xludf.DUMMYFUNCTION("""COMPUTED_VALUE"""),"Dinner")</f>
        <v>Dinner</v>
      </c>
      <c r="K125" s="113">
        <f>IFERROR(__xludf.DUMMYFUNCTION("""COMPUTED_VALUE"""),45940.0)</f>
        <v>45940</v>
      </c>
      <c r="L125" s="74" t="str">
        <f>IFERROR(__xludf.DUMMYFUNCTION("""COMPUTED_VALUE"""),"Friday")</f>
        <v>Friday</v>
      </c>
      <c r="M125" s="74" t="str">
        <f>IFERROR(__xludf.DUMMYFUNCTION("""COMPUTED_VALUE"""),"MF")</f>
        <v>MF</v>
      </c>
      <c r="N125" s="114">
        <f>IFERROR(__xludf.DUMMYFUNCTION("""COMPUTED_VALUE"""),0.7290844876609298)</f>
        <v>0.7290844877</v>
      </c>
      <c r="O125" s="74">
        <f>IFERROR(__xludf.DUMMYFUNCTION("""COMPUTED_VALUE"""),178.0)</f>
        <v>178</v>
      </c>
      <c r="P125" s="74" t="str">
        <f>IFERROR(__xludf.DUMMYFUNCTION("""COMPUTED_VALUE"""),"")</f>
        <v/>
      </c>
      <c r="Q125" s="92">
        <f>IFERROR(__xludf.DUMMYFUNCTION("""COMPUTED_VALUE"""),0.19027777777955635)</f>
        <v>0.1902777778</v>
      </c>
      <c r="R125" s="92" t="str">
        <f>IFERROR(__xludf.DUMMYFUNCTION("""COMPUTED_VALUE"""),"")</f>
        <v/>
      </c>
      <c r="S125" s="63">
        <f>IFERROR(__xludf.DUMMYFUNCTION("""COMPUTED_VALUE"""),39.33687943137833)</f>
        <v>39.33687943</v>
      </c>
      <c r="T125" s="63" t="str">
        <f>IFERROR(__xludf.DUMMYFUNCTION("""COMPUTED_VALUE"""),"")</f>
        <v/>
      </c>
      <c r="U125" s="116">
        <f>IFERROR(__xludf.DUMMYFUNCTION("""COMPUTED_VALUE"""),178.0)</f>
        <v>178</v>
      </c>
      <c r="V125" s="92">
        <f>IFERROR(__xludf.DUMMYFUNCTION("""COMPUTED_VALUE"""),0.19027777777955635)</f>
        <v>0.1902777778</v>
      </c>
      <c r="W125" s="64">
        <f>IFERROR(__xludf.DUMMYFUNCTION("""COMPUTED_VALUE"""),38.97810218941669)</f>
        <v>38.97810219</v>
      </c>
      <c r="X125" s="64">
        <f>IFERROR(__xludf.DUMMYFUNCTION("""COMPUTED_VALUE"""),39.33687943137833)</f>
        <v>39.33687943</v>
      </c>
      <c r="Y125" s="114">
        <f>IFERROR(__xludf.DUMMYFUNCTION("""COMPUTED_VALUE"""),0.8684896781793544)</f>
        <v>0.8684896782</v>
      </c>
      <c r="Z125" s="118">
        <f>IFERROR(__xludf.DUMMYFUNCTION("""COMPUTED_VALUE"""),2496.0)</f>
        <v>2496</v>
      </c>
      <c r="AA125" s="118">
        <f>IFERROR(__xludf.DUMMYFUNCTION("""COMPUTED_VALUE"""),2084.0)</f>
        <v>2084</v>
      </c>
      <c r="AB125" s="118">
        <f>IFERROR(__xludf.DUMMYFUNCTION("""COMPUTED_VALUE"""),4580.0)</f>
        <v>4580</v>
      </c>
    </row>
    <row r="126">
      <c r="A126" s="109">
        <f>IFERROR(__xludf.DUMMYFUNCTION("""COMPUTED_VALUE"""),45943.56081454861)</f>
        <v>45943.56081</v>
      </c>
      <c r="B126" s="81" t="str">
        <f>IFERROR(__xludf.DUMMYFUNCTION("""COMPUTED_VALUE"""),"Orpheus Wilson")</f>
        <v>Orpheus Wilson</v>
      </c>
      <c r="C126" s="74" t="b">
        <f>IFERROR(__xludf.DUMMYFUNCTION("""COMPUTED_VALUE"""),FALSE)</f>
        <v>0</v>
      </c>
      <c r="D126" s="137">
        <f>IFERROR(__xludf.DUMMYFUNCTION("""COMPUTED_VALUE"""),0.4875000000029104)</f>
        <v>0.4875</v>
      </c>
      <c r="E126" s="82">
        <f>IFERROR(__xludf.DUMMYFUNCTION("""COMPUTED_VALUE"""),0.07291666666424135)</f>
        <v>0.07291666666</v>
      </c>
      <c r="F126" s="137">
        <f>IFERROR(__xludf.DUMMYFUNCTION("""COMPUTED_VALUE"""),0.5604166666671517)</f>
        <v>0.5604166667</v>
      </c>
      <c r="G126" s="82">
        <f>IFERROR(__xludf.DUMMYFUNCTION("""COMPUTED_VALUE"""),0.07291666666424135)</f>
        <v>0.07291666666</v>
      </c>
      <c r="H126" s="115">
        <f>IFERROR(__xludf.DUMMYFUNCTION("""COMPUTED_VALUE"""),62.0)</f>
        <v>62</v>
      </c>
      <c r="I126" s="112">
        <f>IFERROR(__xludf.DUMMYFUNCTION("""COMPUTED_VALUE"""),35.42857142974984)</f>
        <v>35.42857143</v>
      </c>
      <c r="J126" s="74" t="str">
        <f>IFERROR(__xludf.DUMMYFUNCTION("""COMPUTED_VALUE"""),"Lunch")</f>
        <v>Lunch</v>
      </c>
      <c r="K126" s="113">
        <f>IFERROR(__xludf.DUMMYFUNCTION("""COMPUTED_VALUE"""),45943.0)</f>
        <v>45943</v>
      </c>
      <c r="L126" s="74" t="str">
        <f>IFERROR(__xludf.DUMMYFUNCTION("""COMPUTED_VALUE"""),"Monday")</f>
        <v>Monday</v>
      </c>
      <c r="M126" s="74" t="str">
        <f>IFERROR(__xludf.DUMMYFUNCTION("""COMPUTED_VALUE"""),"MF")</f>
        <v>MF</v>
      </c>
      <c r="N126" s="114">
        <f>IFERROR(__xludf.DUMMYFUNCTION("""COMPUTED_VALUE"""),0.7367315888013165)</f>
        <v>0.7367315888</v>
      </c>
      <c r="O126" s="74">
        <f>IFERROR(__xludf.DUMMYFUNCTION("""COMPUTED_VALUE"""),62.0)</f>
        <v>62</v>
      </c>
      <c r="P126" s="74" t="str">
        <f>IFERROR(__xludf.DUMMYFUNCTION("""COMPUTED_VALUE"""),"")</f>
        <v/>
      </c>
      <c r="Q126" s="92">
        <f>IFERROR(__xludf.DUMMYFUNCTION("""COMPUTED_VALUE"""),0.07291666666424135)</f>
        <v>0.07291666666</v>
      </c>
      <c r="R126" s="92" t="str">
        <f>IFERROR(__xludf.DUMMYFUNCTION("""COMPUTED_VALUE"""),"")</f>
        <v/>
      </c>
      <c r="S126" s="63">
        <f>IFERROR(__xludf.DUMMYFUNCTION("""COMPUTED_VALUE"""),35.42857142974984)</f>
        <v>35.42857143</v>
      </c>
      <c r="T126" s="63" t="str">
        <f>IFERROR(__xludf.DUMMYFUNCTION("""COMPUTED_VALUE"""),"")</f>
        <v/>
      </c>
      <c r="U126" s="116">
        <f>IFERROR(__xludf.DUMMYFUNCTION("""COMPUTED_VALUE"""),62.0)</f>
        <v>62</v>
      </c>
      <c r="V126" s="92">
        <f>IFERROR(__xludf.DUMMYFUNCTION("""COMPUTED_VALUE"""),0.07291666666424135)</f>
        <v>0.07291666666</v>
      </c>
      <c r="W126" s="64">
        <f>IFERROR(__xludf.DUMMYFUNCTION("""COMPUTED_VALUE"""),35.42857142974984)</f>
        <v>35.42857143</v>
      </c>
      <c r="X126" s="64">
        <f>IFERROR(__xludf.DUMMYFUNCTION("""COMPUTED_VALUE"""),35.42857142974984)</f>
        <v>35.42857143</v>
      </c>
      <c r="Y126" s="114">
        <f>IFERROR(__xludf.DUMMYFUNCTION("""COMPUTED_VALUE"""),0.7979290436742944)</f>
        <v>0.7979290437</v>
      </c>
      <c r="Z126" s="118">
        <f>IFERROR(__xludf.DUMMYFUNCTION("""COMPUTED_VALUE"""),2704.0)</f>
        <v>2704</v>
      </c>
      <c r="AA126" s="118" t="str">
        <f>IFERROR(__xludf.DUMMYFUNCTION("""COMPUTED_VALUE"""),"")</f>
        <v/>
      </c>
      <c r="AB126" s="118">
        <f>IFERROR(__xludf.DUMMYFUNCTION("""COMPUTED_VALUE"""),2704.0)</f>
        <v>2704</v>
      </c>
    </row>
    <row r="127">
      <c r="A127" s="109">
        <f>IFERROR(__xludf.DUMMYFUNCTION("""COMPUTED_VALUE"""),45944.47824283565)</f>
        <v>45944.47824</v>
      </c>
      <c r="B127" s="81" t="str">
        <f>IFERROR(__xludf.DUMMYFUNCTION("""COMPUTED_VALUE"""),"Emmett Khan")</f>
        <v>Emmett Khan</v>
      </c>
      <c r="C127" s="74" t="b">
        <f>IFERROR(__xludf.DUMMYFUNCTION("""COMPUTED_VALUE"""),FALSE)</f>
        <v>0</v>
      </c>
      <c r="D127" s="137">
        <f>IFERROR(__xludf.DUMMYFUNCTION("""COMPUTED_VALUE"""),0.39583333333575865)</f>
        <v>0.3958333333</v>
      </c>
      <c r="E127" s="82">
        <f>IFERROR(__xludf.DUMMYFUNCTION("""COMPUTED_VALUE"""),0.0833333333284827)</f>
        <v>0.08333333333</v>
      </c>
      <c r="F127" s="137">
        <f>IFERROR(__xludf.DUMMYFUNCTION("""COMPUTED_VALUE"""),0.47916666666424135)</f>
        <v>0.4791666667</v>
      </c>
      <c r="G127" s="82">
        <f>IFERROR(__xludf.DUMMYFUNCTION("""COMPUTED_VALUE"""),0.0833333333284827)</f>
        <v>0.08333333333</v>
      </c>
      <c r="H127" s="115">
        <f>IFERROR(__xludf.DUMMYFUNCTION("""COMPUTED_VALUE"""),122.0)</f>
        <v>122</v>
      </c>
      <c r="I127" s="112">
        <f>IFERROR(__xludf.DUMMYFUNCTION("""COMPUTED_VALUE"""),61.00000000355067)</f>
        <v>61</v>
      </c>
      <c r="J127" s="74" t="str">
        <f>IFERROR(__xludf.DUMMYFUNCTION("""COMPUTED_VALUE"""),"Breakfast/Lunch")</f>
        <v>Breakfast/Lunch</v>
      </c>
      <c r="K127" s="113">
        <f>IFERROR(__xludf.DUMMYFUNCTION("""COMPUTED_VALUE"""),45944.0)</f>
        <v>45944</v>
      </c>
      <c r="L127" s="74" t="str">
        <f>IFERROR(__xludf.DUMMYFUNCTION("""COMPUTED_VALUE"""),"Tuesday")</f>
        <v>Tuesday</v>
      </c>
      <c r="M127" s="74" t="str">
        <f>IFERROR(__xludf.DUMMYFUNCTION("""COMPUTED_VALUE"""),"BF")</f>
        <v>BF</v>
      </c>
      <c r="N127" s="114">
        <f>IFERROR(__xludf.DUMMYFUNCTION("""COMPUTED_VALUE"""),1.07125014306047)</f>
        <v>1.071250143</v>
      </c>
      <c r="O127" s="74" t="str">
        <f>IFERROR(__xludf.DUMMYFUNCTION("""COMPUTED_VALUE"""),"")</f>
        <v/>
      </c>
      <c r="P127" s="74" t="str">
        <f>IFERROR(__xludf.DUMMYFUNCTION("""COMPUTED_VALUE"""),"")</f>
        <v/>
      </c>
      <c r="Q127" s="92" t="str">
        <f>IFERROR(__xludf.DUMMYFUNCTION("""COMPUTED_VALUE"""),"")</f>
        <v/>
      </c>
      <c r="R127" s="92" t="str">
        <f>IFERROR(__xludf.DUMMYFUNCTION("""COMPUTED_VALUE"""),"")</f>
        <v/>
      </c>
      <c r="S127" s="63" t="str">
        <f>IFERROR(__xludf.DUMMYFUNCTION("""COMPUTED_VALUE"""),"")</f>
        <v/>
      </c>
      <c r="T127" s="63" t="str">
        <f>IFERROR(__xludf.DUMMYFUNCTION("""COMPUTED_VALUE"""),"")</f>
        <v/>
      </c>
      <c r="U127" s="116" t="str">
        <f>IFERROR(__xludf.DUMMYFUNCTION("""COMPUTED_VALUE"""),"")</f>
        <v/>
      </c>
      <c r="V127" s="92" t="str">
        <f>IFERROR(__xludf.DUMMYFUNCTION("""COMPUTED_VALUE"""),"")</f>
        <v/>
      </c>
      <c r="W127" s="64" t="str">
        <f>IFERROR(__xludf.DUMMYFUNCTION("""COMPUTED_VALUE"""),"")</f>
        <v/>
      </c>
      <c r="X127" s="64" t="str">
        <f>IFERROR(__xludf.DUMMYFUNCTION("""COMPUTED_VALUE"""),"")</f>
        <v/>
      </c>
      <c r="Y127" s="114" t="str">
        <f>IFERROR(__xludf.DUMMYFUNCTION("""COMPUTED_VALUE"""),"")</f>
        <v/>
      </c>
      <c r="Z127" s="118" t="str">
        <f>IFERROR(__xludf.DUMMYFUNCTION("""COMPUTED_VALUE"""),"")</f>
        <v/>
      </c>
      <c r="AA127" s="118" t="str">
        <f>IFERROR(__xludf.DUMMYFUNCTION("""COMPUTED_VALUE"""),"")</f>
        <v/>
      </c>
      <c r="AB127" s="74" t="str">
        <f>IFERROR(__xludf.DUMMYFUNCTION("""COMPUTED_VALUE"""),"")</f>
        <v/>
      </c>
    </row>
    <row r="128">
      <c r="A128" s="109">
        <f>IFERROR(__xludf.DUMMYFUNCTION("""COMPUTED_VALUE"""),45944.62631511574)</f>
        <v>45944.62632</v>
      </c>
      <c r="B128" s="81" t="str">
        <f>IFERROR(__xludf.DUMMYFUNCTION("""COMPUTED_VALUE"""),"Maureen Surgot")</f>
        <v>Maureen Surgot</v>
      </c>
      <c r="C128" s="74" t="b">
        <f>IFERROR(__xludf.DUMMYFUNCTION("""COMPUTED_VALUE"""),FALSE)</f>
        <v>0</v>
      </c>
      <c r="D128" s="137">
        <f>IFERROR(__xludf.DUMMYFUNCTION("""COMPUTED_VALUE"""),0.47916666666424135)</f>
        <v>0.4791666667</v>
      </c>
      <c r="E128" s="82">
        <f>IFERROR(__xludf.DUMMYFUNCTION("""COMPUTED_VALUE"""),0.15625)</f>
        <v>0.15625</v>
      </c>
      <c r="F128" s="137">
        <f>IFERROR(__xludf.DUMMYFUNCTION("""COMPUTED_VALUE"""),0.6354166666642413)</f>
        <v>0.6354166667</v>
      </c>
      <c r="G128" s="82">
        <f>IFERROR(__xludf.DUMMYFUNCTION("""COMPUTED_VALUE"""),0.15625)</f>
        <v>0.15625</v>
      </c>
      <c r="H128" s="115">
        <f>IFERROR(__xludf.DUMMYFUNCTION("""COMPUTED_VALUE"""),157.0)</f>
        <v>157</v>
      </c>
      <c r="I128" s="112">
        <f>IFERROR(__xludf.DUMMYFUNCTION("""COMPUTED_VALUE"""),41.86666666666667)</f>
        <v>41.86666667</v>
      </c>
      <c r="J128" s="74" t="str">
        <f>IFERROR(__xludf.DUMMYFUNCTION("""COMPUTED_VALUE"""),"Lunch")</f>
        <v>Lunch</v>
      </c>
      <c r="K128" s="113">
        <f>IFERROR(__xludf.DUMMYFUNCTION("""COMPUTED_VALUE"""),45944.0)</f>
        <v>45944</v>
      </c>
      <c r="L128" s="74" t="str">
        <f>IFERROR(__xludf.DUMMYFUNCTION("""COMPUTED_VALUE"""),"Tuesday")</f>
        <v>Tuesday</v>
      </c>
      <c r="M128" s="74" t="str">
        <f>IFERROR(__xludf.DUMMYFUNCTION("""COMPUTED_VALUE"""),"MF")</f>
        <v>MF</v>
      </c>
      <c r="N128" s="114">
        <f>IFERROR(__xludf.DUMMYFUNCTION("""COMPUTED_VALUE"""),0.8706107699631356)</f>
        <v>0.87061077</v>
      </c>
      <c r="O128" s="74" t="str">
        <f>IFERROR(__xludf.DUMMYFUNCTION("""COMPUTED_VALUE"""),"")</f>
        <v/>
      </c>
      <c r="P128" s="74" t="str">
        <f>IFERROR(__xludf.DUMMYFUNCTION("""COMPUTED_VALUE"""),"")</f>
        <v/>
      </c>
      <c r="Q128" s="92" t="str">
        <f>IFERROR(__xludf.DUMMYFUNCTION("""COMPUTED_VALUE"""),"")</f>
        <v/>
      </c>
      <c r="R128" s="92" t="str">
        <f>IFERROR(__xludf.DUMMYFUNCTION("""COMPUTED_VALUE"""),"")</f>
        <v/>
      </c>
      <c r="S128" s="63" t="str">
        <f>IFERROR(__xludf.DUMMYFUNCTION("""COMPUTED_VALUE"""),"")</f>
        <v/>
      </c>
      <c r="T128" s="63" t="str">
        <f>IFERROR(__xludf.DUMMYFUNCTION("""COMPUTED_VALUE"""),"")</f>
        <v/>
      </c>
      <c r="U128" s="116" t="str">
        <f>IFERROR(__xludf.DUMMYFUNCTION("""COMPUTED_VALUE"""),"")</f>
        <v/>
      </c>
      <c r="V128" s="92" t="str">
        <f>IFERROR(__xludf.DUMMYFUNCTION("""COMPUTED_VALUE"""),"")</f>
        <v/>
      </c>
      <c r="W128" s="64" t="str">
        <f>IFERROR(__xludf.DUMMYFUNCTION("""COMPUTED_VALUE"""),"")</f>
        <v/>
      </c>
      <c r="X128" s="64" t="str">
        <f>IFERROR(__xludf.DUMMYFUNCTION("""COMPUTED_VALUE"""),"")</f>
        <v/>
      </c>
      <c r="Y128" s="114" t="str">
        <f>IFERROR(__xludf.DUMMYFUNCTION("""COMPUTED_VALUE"""),"")</f>
        <v/>
      </c>
      <c r="Z128" s="118" t="str">
        <f>IFERROR(__xludf.DUMMYFUNCTION("""COMPUTED_VALUE"""),"")</f>
        <v/>
      </c>
      <c r="AA128" s="118" t="str">
        <f>IFERROR(__xludf.DUMMYFUNCTION("""COMPUTED_VALUE"""),"")</f>
        <v/>
      </c>
      <c r="AB128" s="74" t="str">
        <f>IFERROR(__xludf.DUMMYFUNCTION("""COMPUTED_VALUE"""),"")</f>
        <v/>
      </c>
    </row>
    <row r="129">
      <c r="A129" s="109">
        <f>IFERROR(__xludf.DUMMYFUNCTION("""COMPUTED_VALUE"""),45944.654169988426)</f>
        <v>45944.65417</v>
      </c>
      <c r="B129" s="81" t="str">
        <f>IFERROR(__xludf.DUMMYFUNCTION("""COMPUTED_VALUE"""),"Brynn Hornig")</f>
        <v>Brynn Hornig</v>
      </c>
      <c r="C129" s="74" t="b">
        <f>IFERROR(__xludf.DUMMYFUNCTION("""COMPUTED_VALUE"""),FALSE)</f>
        <v>0</v>
      </c>
      <c r="D129" s="137">
        <f>IFERROR(__xludf.DUMMYFUNCTION("""COMPUTED_VALUE"""),0.5208333333357587)</f>
        <v>0.5208333333</v>
      </c>
      <c r="E129" s="82">
        <f>IFERROR(__xludf.DUMMYFUNCTION("""COMPUTED_VALUE"""),0.13541666666424135)</f>
        <v>0.1354166667</v>
      </c>
      <c r="F129" s="137">
        <f>IFERROR(__xludf.DUMMYFUNCTION("""COMPUTED_VALUE"""),0.65625)</f>
        <v>0.65625</v>
      </c>
      <c r="G129" s="82">
        <f>IFERROR(__xludf.DUMMYFUNCTION("""COMPUTED_VALUE"""),0.13541666666424135)</f>
        <v>0.1354166667</v>
      </c>
      <c r="H129" s="115">
        <f>IFERROR(__xludf.DUMMYFUNCTION("""COMPUTED_VALUE"""),81.0)</f>
        <v>81</v>
      </c>
      <c r="I129" s="112">
        <f>IFERROR(__xludf.DUMMYFUNCTION("""COMPUTED_VALUE"""),24.923076923523297)</f>
        <v>24.92307692</v>
      </c>
      <c r="J129" s="74" t="str">
        <f>IFERROR(__xludf.DUMMYFUNCTION("""COMPUTED_VALUE"""),"Lunch")</f>
        <v>Lunch</v>
      </c>
      <c r="K129" s="113">
        <f>IFERROR(__xludf.DUMMYFUNCTION("""COMPUTED_VALUE"""),45944.0)</f>
        <v>45944</v>
      </c>
      <c r="L129" s="74" t="str">
        <f>IFERROR(__xludf.DUMMYFUNCTION("""COMPUTED_VALUE"""),"Tuesday")</f>
        <v>Tuesday</v>
      </c>
      <c r="M129" s="74" t="str">
        <f>IFERROR(__xludf.DUMMYFUNCTION("""COMPUTED_VALUE"""),"BF")</f>
        <v>BF</v>
      </c>
      <c r="N129" s="114">
        <f>IFERROR(__xludf.DUMMYFUNCTION("""COMPUTED_VALUE"""),0.6418389584892747)</f>
        <v>0.6418389585</v>
      </c>
      <c r="O129" s="74" t="str">
        <f>IFERROR(__xludf.DUMMYFUNCTION("""COMPUTED_VALUE"""),"")</f>
        <v/>
      </c>
      <c r="P129" s="74" t="str">
        <f>IFERROR(__xludf.DUMMYFUNCTION("""COMPUTED_VALUE"""),"")</f>
        <v/>
      </c>
      <c r="Q129" s="92" t="str">
        <f>IFERROR(__xludf.DUMMYFUNCTION("""COMPUTED_VALUE"""),"")</f>
        <v/>
      </c>
      <c r="R129" s="92" t="str">
        <f>IFERROR(__xludf.DUMMYFUNCTION("""COMPUTED_VALUE"""),"")</f>
        <v/>
      </c>
      <c r="S129" s="63" t="str">
        <f>IFERROR(__xludf.DUMMYFUNCTION("""COMPUTED_VALUE"""),"")</f>
        <v/>
      </c>
      <c r="T129" s="63" t="str">
        <f>IFERROR(__xludf.DUMMYFUNCTION("""COMPUTED_VALUE"""),"")</f>
        <v/>
      </c>
      <c r="U129" s="116" t="str">
        <f>IFERROR(__xludf.DUMMYFUNCTION("""COMPUTED_VALUE"""),"")</f>
        <v/>
      </c>
      <c r="V129" s="92" t="str">
        <f>IFERROR(__xludf.DUMMYFUNCTION("""COMPUTED_VALUE"""),"")</f>
        <v/>
      </c>
      <c r="W129" s="64" t="str">
        <f>IFERROR(__xludf.DUMMYFUNCTION("""COMPUTED_VALUE"""),"")</f>
        <v/>
      </c>
      <c r="X129" s="64" t="str">
        <f>IFERROR(__xludf.DUMMYFUNCTION("""COMPUTED_VALUE"""),"")</f>
        <v/>
      </c>
      <c r="Y129" s="114" t="str">
        <f>IFERROR(__xludf.DUMMYFUNCTION("""COMPUTED_VALUE"""),"")</f>
        <v/>
      </c>
      <c r="Z129" s="118" t="str">
        <f>IFERROR(__xludf.DUMMYFUNCTION("""COMPUTED_VALUE"""),"")</f>
        <v/>
      </c>
      <c r="AA129" s="118" t="str">
        <f>IFERROR(__xludf.DUMMYFUNCTION("""COMPUTED_VALUE"""),"")</f>
        <v/>
      </c>
      <c r="AB129" s="74" t="str">
        <f>IFERROR(__xludf.DUMMYFUNCTION("""COMPUTED_VALUE"""),"")</f>
        <v/>
      </c>
    </row>
    <row r="130">
      <c r="A130" s="109">
        <f>IFERROR(__xludf.DUMMYFUNCTION("""COMPUTED_VALUE"""),45944.86104481481)</f>
        <v>45944.86104</v>
      </c>
      <c r="B130" s="81" t="str">
        <f>IFERROR(__xludf.DUMMYFUNCTION("""COMPUTED_VALUE"""),"Kaylie Forgue")</f>
        <v>Kaylie Forgue</v>
      </c>
      <c r="C130" s="74" t="b">
        <f>IFERROR(__xludf.DUMMYFUNCTION("""COMPUTED_VALUE"""),FALSE)</f>
        <v>0</v>
      </c>
      <c r="D130" s="137">
        <f>IFERROR(__xludf.DUMMYFUNCTION("""COMPUTED_VALUE"""),0.788888888884685)</f>
        <v>0.7888888889</v>
      </c>
      <c r="E130" s="82">
        <f>IFERROR(__xludf.DUMMYFUNCTION("""COMPUTED_VALUE"""),0.07152777777810115)</f>
        <v>0.07152777778</v>
      </c>
      <c r="F130" s="137">
        <f>IFERROR(__xludf.DUMMYFUNCTION("""COMPUTED_VALUE"""),0.8604166666627862)</f>
        <v>0.8604166667</v>
      </c>
      <c r="G130" s="82">
        <f>IFERROR(__xludf.DUMMYFUNCTION("""COMPUTED_VALUE"""),0.07152777777810115)</f>
        <v>0.07152777778</v>
      </c>
      <c r="H130" s="115">
        <f>IFERROR(__xludf.DUMMYFUNCTION("""COMPUTED_VALUE"""),50.0)</f>
        <v>50</v>
      </c>
      <c r="I130" s="112">
        <f>IFERROR(__xludf.DUMMYFUNCTION("""COMPUTED_VALUE"""),29.12621359210133)</f>
        <v>29.12621359</v>
      </c>
      <c r="J130" s="74" t="str">
        <f>IFERROR(__xludf.DUMMYFUNCTION("""COMPUTED_VALUE"""),"Dinner")</f>
        <v>Dinner</v>
      </c>
      <c r="K130" s="113">
        <f>IFERROR(__xludf.DUMMYFUNCTION("""COMPUTED_VALUE"""),45944.0)</f>
        <v>45944</v>
      </c>
      <c r="L130" s="74" t="str">
        <f>IFERROR(__xludf.DUMMYFUNCTION("""COMPUTED_VALUE"""),"Tuesday")</f>
        <v>Tuesday</v>
      </c>
      <c r="M130" s="74" t="str">
        <f>IFERROR(__xludf.DUMMYFUNCTION("""COMPUTED_VALUE"""),"BF")</f>
        <v>BF</v>
      </c>
      <c r="N130" s="114">
        <f>IFERROR(__xludf.DUMMYFUNCTION("""COMPUTED_VALUE"""),0.6873688807002295)</f>
        <v>0.6873688807</v>
      </c>
      <c r="O130" s="74">
        <f>IFERROR(__xludf.DUMMYFUNCTION("""COMPUTED_VALUE"""),157.0)</f>
        <v>157</v>
      </c>
      <c r="P130" s="74">
        <f>IFERROR(__xludf.DUMMYFUNCTION("""COMPUTED_VALUE"""),253.0)</f>
        <v>253</v>
      </c>
      <c r="Q130" s="92">
        <f>IFERROR(__xludf.DUMMYFUNCTION("""COMPUTED_VALUE"""),0.15625)</f>
        <v>0.15625</v>
      </c>
      <c r="R130" s="92">
        <f>IFERROR(__xludf.DUMMYFUNCTION("""COMPUTED_VALUE"""),0.2902777777708252)</f>
        <v>0.2902777778</v>
      </c>
      <c r="S130" s="63">
        <f>IFERROR(__xludf.DUMMYFUNCTION("""COMPUTED_VALUE"""),41.86666666666667)</f>
        <v>41.86666667</v>
      </c>
      <c r="T130" s="63">
        <f>IFERROR(__xludf.DUMMYFUNCTION("""COMPUTED_VALUE"""),38.34976350639176)</f>
        <v>38.34976351</v>
      </c>
      <c r="U130" s="116">
        <f>IFERROR(__xludf.DUMMYFUNCTION("""COMPUTED_VALUE"""),410.0)</f>
        <v>410</v>
      </c>
      <c r="V130" s="92">
        <f>IFERROR(__xludf.DUMMYFUNCTION("""COMPUTED_VALUE"""),0.4465277777708252)</f>
        <v>0.4465277778</v>
      </c>
      <c r="W130" s="64">
        <f>IFERROR(__xludf.DUMMYFUNCTION("""COMPUTED_VALUE"""),38.25816485285075)</f>
        <v>38.25816485</v>
      </c>
      <c r="X130" s="64">
        <f>IFERROR(__xludf.DUMMYFUNCTION("""COMPUTED_VALUE"""),39.22898929646049)</f>
        <v>39.2289893</v>
      </c>
      <c r="Y130" s="114">
        <f>IFERROR(__xludf.DUMMYFUNCTION("""COMPUTED_VALUE"""),0.7975618033532526)</f>
        <v>0.7975618034</v>
      </c>
      <c r="Z130" s="118">
        <f>IFERROR(__xludf.DUMMYFUNCTION("""COMPUTED_VALUE"""),4063.0)</f>
        <v>4063</v>
      </c>
      <c r="AA130" s="118">
        <f>IFERROR(__xludf.DUMMYFUNCTION("""COMPUTED_VALUE"""),3757.0)</f>
        <v>3757</v>
      </c>
      <c r="AB130" s="118">
        <f>IFERROR(__xludf.DUMMYFUNCTION("""COMPUTED_VALUE"""),7820.0)</f>
        <v>7820</v>
      </c>
    </row>
    <row r="131">
      <c r="A131" s="109">
        <f>IFERROR(__xludf.DUMMYFUNCTION("""COMPUTED_VALUE"""),45945.63374638889)</f>
        <v>45945.63375</v>
      </c>
      <c r="B131" s="81" t="str">
        <f>IFERROR(__xludf.DUMMYFUNCTION("""COMPUTED_VALUE"""),"Greta Traynor")</f>
        <v>Greta Traynor</v>
      </c>
      <c r="C131" s="74" t="b">
        <f>IFERROR(__xludf.DUMMYFUNCTION("""COMPUTED_VALUE"""),FALSE)</f>
        <v>0</v>
      </c>
      <c r="D131" s="137">
        <f>IFERROR(__xludf.DUMMYFUNCTION("""COMPUTED_VALUE"""),0.5708333333313931)</f>
        <v>0.5708333333</v>
      </c>
      <c r="E131" s="82">
        <f>IFERROR(__xludf.DUMMYFUNCTION("""COMPUTED_VALUE"""),0.06041666666715173)</f>
        <v>0.06041666667</v>
      </c>
      <c r="F131" s="137">
        <f>IFERROR(__xludf.DUMMYFUNCTION("""COMPUTED_VALUE"""),0.6312499999985448)</f>
        <v>0.63125</v>
      </c>
      <c r="G131" s="82">
        <f>IFERROR(__xludf.DUMMYFUNCTION("""COMPUTED_VALUE"""),0.06041666666715173)</f>
        <v>0.06041666667</v>
      </c>
      <c r="H131" s="115">
        <f>IFERROR(__xludf.DUMMYFUNCTION("""COMPUTED_VALUE"""),74.0)</f>
        <v>74</v>
      </c>
      <c r="I131" s="112">
        <f>IFERROR(__xludf.DUMMYFUNCTION("""COMPUTED_VALUE"""),51.03448275821095)</f>
        <v>51.03448276</v>
      </c>
      <c r="J131" s="74" t="str">
        <f>IFERROR(__xludf.DUMMYFUNCTION("""COMPUTED_VALUE"""),"Lunch")</f>
        <v>Lunch</v>
      </c>
      <c r="K131" s="113">
        <f>IFERROR(__xludf.DUMMYFUNCTION("""COMPUTED_VALUE"""),45945.0)</f>
        <v>45945</v>
      </c>
      <c r="L131" s="74" t="str">
        <f>IFERROR(__xludf.DUMMYFUNCTION("""COMPUTED_VALUE"""),"Wednesday")</f>
        <v>Wednesday</v>
      </c>
      <c r="M131" s="74" t="str">
        <f>IFERROR(__xludf.DUMMYFUNCTION("""COMPUTED_VALUE"""),"MF")</f>
        <v>MF</v>
      </c>
      <c r="N131" s="114">
        <f>IFERROR(__xludf.DUMMYFUNCTION("""COMPUTED_VALUE"""),1.0612540683629714)</f>
        <v>1.061254068</v>
      </c>
      <c r="O131" s="74" t="str">
        <f>IFERROR(__xludf.DUMMYFUNCTION("""COMPUTED_VALUE"""),"")</f>
        <v/>
      </c>
      <c r="P131" s="74" t="str">
        <f>IFERROR(__xludf.DUMMYFUNCTION("""COMPUTED_VALUE"""),"")</f>
        <v/>
      </c>
      <c r="Q131" s="92" t="str">
        <f>IFERROR(__xludf.DUMMYFUNCTION("""COMPUTED_VALUE"""),"")</f>
        <v/>
      </c>
      <c r="R131" s="92" t="str">
        <f>IFERROR(__xludf.DUMMYFUNCTION("""COMPUTED_VALUE"""),"")</f>
        <v/>
      </c>
      <c r="S131" s="63" t="str">
        <f>IFERROR(__xludf.DUMMYFUNCTION("""COMPUTED_VALUE"""),"")</f>
        <v/>
      </c>
      <c r="T131" s="63" t="str">
        <f>IFERROR(__xludf.DUMMYFUNCTION("""COMPUTED_VALUE"""),"")</f>
        <v/>
      </c>
      <c r="U131" s="116" t="str">
        <f>IFERROR(__xludf.DUMMYFUNCTION("""COMPUTED_VALUE"""),"")</f>
        <v/>
      </c>
      <c r="V131" s="92" t="str">
        <f>IFERROR(__xludf.DUMMYFUNCTION("""COMPUTED_VALUE"""),"")</f>
        <v/>
      </c>
      <c r="W131" s="64" t="str">
        <f>IFERROR(__xludf.DUMMYFUNCTION("""COMPUTED_VALUE"""),"")</f>
        <v/>
      </c>
      <c r="X131" s="64" t="str">
        <f>IFERROR(__xludf.DUMMYFUNCTION("""COMPUTED_VALUE"""),"")</f>
        <v/>
      </c>
      <c r="Y131" s="114" t="str">
        <f>IFERROR(__xludf.DUMMYFUNCTION("""COMPUTED_VALUE"""),"")</f>
        <v/>
      </c>
      <c r="Z131" s="118" t="str">
        <f>IFERROR(__xludf.DUMMYFUNCTION("""COMPUTED_VALUE"""),"")</f>
        <v/>
      </c>
      <c r="AA131" s="118" t="str">
        <f>IFERROR(__xludf.DUMMYFUNCTION("""COMPUTED_VALUE"""),"")</f>
        <v/>
      </c>
      <c r="AB131" s="74" t="str">
        <f>IFERROR(__xludf.DUMMYFUNCTION("""COMPUTED_VALUE"""),"")</f>
        <v/>
      </c>
    </row>
    <row r="132">
      <c r="A132" s="109">
        <f>IFERROR(__xludf.DUMMYFUNCTION("""COMPUTED_VALUE"""),45945.72305697917)</f>
        <v>45945.72306</v>
      </c>
      <c r="B132" s="81" t="str">
        <f>IFERROR(__xludf.DUMMYFUNCTION("""COMPUTED_VALUE"""),"Orpheus Wilson")</f>
        <v>Orpheus Wilson</v>
      </c>
      <c r="C132" s="74" t="b">
        <f>IFERROR(__xludf.DUMMYFUNCTION("""COMPUTED_VALUE"""),FALSE)</f>
        <v>0</v>
      </c>
      <c r="D132" s="137">
        <f>IFERROR(__xludf.DUMMYFUNCTION("""COMPUTED_VALUE"""),0.6916666666656965)</f>
        <v>0.6916666667</v>
      </c>
      <c r="E132" s="82">
        <f>IFERROR(__xludf.DUMMYFUNCTION("""COMPUTED_VALUE"""),0.030555555553291924)</f>
        <v>0.03055555555</v>
      </c>
      <c r="F132" s="137">
        <f>IFERROR(__xludf.DUMMYFUNCTION("""COMPUTED_VALUE"""),0.7222222222189885)</f>
        <v>0.7222222222</v>
      </c>
      <c r="G132" s="82">
        <f>IFERROR(__xludf.DUMMYFUNCTION("""COMPUTED_VALUE"""),0.0506944444423425)</f>
        <v>0.05069444444</v>
      </c>
      <c r="H132" s="115">
        <f>IFERROR(__xludf.DUMMYFUNCTION("""COMPUTED_VALUE"""),90.0)</f>
        <v>90</v>
      </c>
      <c r="I132" s="112">
        <f>IFERROR(__xludf.DUMMYFUNCTION("""COMPUTED_VALUE"""),73.97260274279316)</f>
        <v>73.97260274</v>
      </c>
      <c r="J132" s="74" t="str">
        <f>IFERROR(__xludf.DUMMYFUNCTION("""COMPUTED_VALUE"""),"Dinner")</f>
        <v>Dinner</v>
      </c>
      <c r="K132" s="113">
        <f>IFERROR(__xludf.DUMMYFUNCTION("""COMPUTED_VALUE"""),45945.0)</f>
        <v>45945</v>
      </c>
      <c r="L132" s="74" t="str">
        <f>IFERROR(__xludf.DUMMYFUNCTION("""COMPUTED_VALUE"""),"Wednesday")</f>
        <v>Wednesday</v>
      </c>
      <c r="M132" s="74" t="str">
        <f>IFERROR(__xludf.DUMMYFUNCTION("""COMPUTED_VALUE"""),"MF")</f>
        <v>MF</v>
      </c>
      <c r="N132" s="114">
        <f>IFERROR(__xludf.DUMMYFUNCTION("""COMPUTED_VALUE"""),1.457629112917659)</f>
        <v>1.457629113</v>
      </c>
      <c r="O132" s="74" t="str">
        <f>IFERROR(__xludf.DUMMYFUNCTION("""COMPUTED_VALUE"""),"")</f>
        <v/>
      </c>
      <c r="P132" s="74" t="str">
        <f>IFERROR(__xludf.DUMMYFUNCTION("""COMPUTED_VALUE"""),"")</f>
        <v/>
      </c>
      <c r="Q132" s="92" t="str">
        <f>IFERROR(__xludf.DUMMYFUNCTION("""COMPUTED_VALUE"""),"")</f>
        <v/>
      </c>
      <c r="R132" s="92" t="str">
        <f>IFERROR(__xludf.DUMMYFUNCTION("""COMPUTED_VALUE"""),"")</f>
        <v/>
      </c>
      <c r="S132" s="63" t="str">
        <f>IFERROR(__xludf.DUMMYFUNCTION("""COMPUTED_VALUE"""),"")</f>
        <v/>
      </c>
      <c r="T132" s="63" t="str">
        <f>IFERROR(__xludf.DUMMYFUNCTION("""COMPUTED_VALUE"""),"")</f>
        <v/>
      </c>
      <c r="U132" s="116" t="str">
        <f>IFERROR(__xludf.DUMMYFUNCTION("""COMPUTED_VALUE"""),"")</f>
        <v/>
      </c>
      <c r="V132" s="92" t="str">
        <f>IFERROR(__xludf.DUMMYFUNCTION("""COMPUTED_VALUE"""),"")</f>
        <v/>
      </c>
      <c r="W132" s="64" t="str">
        <f>IFERROR(__xludf.DUMMYFUNCTION("""COMPUTED_VALUE"""),"")</f>
        <v/>
      </c>
      <c r="X132" s="64" t="str">
        <f>IFERROR(__xludf.DUMMYFUNCTION("""COMPUTED_VALUE"""),"")</f>
        <v/>
      </c>
      <c r="Y132" s="114" t="str">
        <f>IFERROR(__xludf.DUMMYFUNCTION("""COMPUTED_VALUE"""),"")</f>
        <v/>
      </c>
      <c r="Z132" s="118" t="str">
        <f>IFERROR(__xludf.DUMMYFUNCTION("""COMPUTED_VALUE"""),"")</f>
        <v/>
      </c>
      <c r="AA132" s="118" t="str">
        <f>IFERROR(__xludf.DUMMYFUNCTION("""COMPUTED_VALUE"""),"")</f>
        <v/>
      </c>
      <c r="AB132" s="74" t="str">
        <f>IFERROR(__xludf.DUMMYFUNCTION("""COMPUTED_VALUE"""),"")</f>
        <v/>
      </c>
    </row>
    <row r="133">
      <c r="A133" s="109">
        <f>IFERROR(__xludf.DUMMYFUNCTION("""COMPUTED_VALUE"""),45945.74721886574)</f>
        <v>45945.74722</v>
      </c>
      <c r="B133" s="81" t="str">
        <f>IFERROR(__xludf.DUMMYFUNCTION("""COMPUTED_VALUE"""),"Orpheus Wilson")</f>
        <v>Orpheus Wilson</v>
      </c>
      <c r="C133" s="74" t="b">
        <f>IFERROR(__xludf.DUMMYFUNCTION("""COMPUTED_VALUE"""),TRUE)</f>
        <v>1</v>
      </c>
      <c r="D133" s="137">
        <f>IFERROR(__xludf.DUMMYFUNCTION("""COMPUTED_VALUE"""),0.7256944444452529)</f>
        <v>0.7256944444</v>
      </c>
      <c r="E133" s="82">
        <f>IFERROR(__xludf.DUMMYFUNCTION("""COMPUTED_VALUE"""),0.020138888889050577)</f>
        <v>0.02013888889</v>
      </c>
      <c r="F133" s="137">
        <f>IFERROR(__xludf.DUMMYFUNCTION("""COMPUTED_VALUE"""),0.7458333333343035)</f>
        <v>0.7458333333</v>
      </c>
      <c r="G133" s="82" t="str">
        <f>IFERROR(__xludf.DUMMYFUNCTION("""COMPUTED_VALUE"""),"")</f>
        <v/>
      </c>
      <c r="H133" s="115">
        <f>IFERROR(__xludf.DUMMYFUNCTION("""COMPUTED_VALUE"""),76.0)</f>
        <v>76</v>
      </c>
      <c r="I133" s="112" t="str">
        <f>IFERROR(__xludf.DUMMYFUNCTION("""COMPUTED_VALUE"""),"")</f>
        <v/>
      </c>
      <c r="J133" s="74" t="str">
        <f>IFERROR(__xludf.DUMMYFUNCTION("""COMPUTED_VALUE"""),"Dinner")</f>
        <v>Dinner</v>
      </c>
      <c r="K133" s="113">
        <f>IFERROR(__xludf.DUMMYFUNCTION("""COMPUTED_VALUE"""),45945.0)</f>
        <v>45945</v>
      </c>
      <c r="L133" s="74" t="str">
        <f>IFERROR(__xludf.DUMMYFUNCTION("""COMPUTED_VALUE"""),"Wednesday")</f>
        <v>Wednesday</v>
      </c>
      <c r="M133" s="74" t="str">
        <f>IFERROR(__xludf.DUMMYFUNCTION("""COMPUTED_VALUE"""),"MF")</f>
        <v>MF</v>
      </c>
      <c r="N133" s="114" t="str">
        <f>IFERROR(__xludf.DUMMYFUNCTION("""COMPUTED_VALUE"""),"")</f>
        <v/>
      </c>
      <c r="O133" s="74" t="str">
        <f>IFERROR(__xludf.DUMMYFUNCTION("""COMPUTED_VALUE"""),"")</f>
        <v/>
      </c>
      <c r="P133" s="74" t="str">
        <f>IFERROR(__xludf.DUMMYFUNCTION("""COMPUTED_VALUE"""),"")</f>
        <v/>
      </c>
      <c r="Q133" s="82" t="str">
        <f>IFERROR(__xludf.DUMMYFUNCTION("""COMPUTED_VALUE"""),"")</f>
        <v/>
      </c>
      <c r="R133" s="82" t="str">
        <f>IFERROR(__xludf.DUMMYFUNCTION("""COMPUTED_VALUE"""),"")</f>
        <v/>
      </c>
      <c r="S133" s="63" t="str">
        <f>IFERROR(__xludf.DUMMYFUNCTION("""COMPUTED_VALUE"""),"")</f>
        <v/>
      </c>
      <c r="T133" s="63" t="str">
        <f>IFERROR(__xludf.DUMMYFUNCTION("""COMPUTED_VALUE"""),"")</f>
        <v/>
      </c>
      <c r="U133" s="138" t="str">
        <f>IFERROR(__xludf.DUMMYFUNCTION("""COMPUTED_VALUE"""),"")</f>
        <v/>
      </c>
      <c r="V133" s="82" t="str">
        <f>IFERROR(__xludf.DUMMYFUNCTION("""COMPUTED_VALUE"""),"")</f>
        <v/>
      </c>
      <c r="W133" s="64" t="str">
        <f>IFERROR(__xludf.DUMMYFUNCTION("""COMPUTED_VALUE"""),"")</f>
        <v/>
      </c>
      <c r="X133" s="64" t="str">
        <f>IFERROR(__xludf.DUMMYFUNCTION("""COMPUTED_VALUE"""),"")</f>
        <v/>
      </c>
      <c r="Y133" s="114" t="str">
        <f>IFERROR(__xludf.DUMMYFUNCTION("""COMPUTED_VALUE"""),"")</f>
        <v/>
      </c>
      <c r="Z133" s="118" t="str">
        <f>IFERROR(__xludf.DUMMYFUNCTION("""COMPUTED_VALUE"""),"")</f>
        <v/>
      </c>
      <c r="AA133" s="118" t="str">
        <f>IFERROR(__xludf.DUMMYFUNCTION("""COMPUTED_VALUE"""),"")</f>
        <v/>
      </c>
      <c r="AB133" s="74" t="str">
        <f>IFERROR(__xludf.DUMMYFUNCTION("""COMPUTED_VALUE"""),"")</f>
        <v/>
      </c>
    </row>
    <row r="134">
      <c r="A134" s="109">
        <f>IFERROR(__xludf.DUMMYFUNCTION("""COMPUTED_VALUE"""),45945.75388866898)</f>
        <v>45945.75389</v>
      </c>
      <c r="B134" s="81" t="str">
        <f>IFERROR(__xludf.DUMMYFUNCTION("""COMPUTED_VALUE"""),"Sarah Wilme")</f>
        <v>Sarah Wilme</v>
      </c>
      <c r="C134" s="74" t="b">
        <f>IFERROR(__xludf.DUMMYFUNCTION("""COMPUTED_VALUE"""),FALSE)</f>
        <v>0</v>
      </c>
      <c r="D134" s="137">
        <f>IFERROR(__xludf.DUMMYFUNCTION("""COMPUTED_VALUE"""),0.5173611111094942)</f>
        <v>0.5173611111</v>
      </c>
      <c r="E134" s="82">
        <f>IFERROR(__xludf.DUMMYFUNCTION("""COMPUTED_VALUE"""),0.13888888889050577)</f>
        <v>0.1388888889</v>
      </c>
      <c r="F134" s="137">
        <f>IFERROR(__xludf.DUMMYFUNCTION("""COMPUTED_VALUE"""),0.65625)</f>
        <v>0.65625</v>
      </c>
      <c r="G134" s="82">
        <f>IFERROR(__xludf.DUMMYFUNCTION("""COMPUTED_VALUE"""),0.20486111110949423)</f>
        <v>0.2048611111</v>
      </c>
      <c r="H134" s="115">
        <f>IFERROR(__xludf.DUMMYFUNCTION("""COMPUTED_VALUE"""),83.5)</f>
        <v>83.5</v>
      </c>
      <c r="I134" s="112">
        <f>IFERROR(__xludf.DUMMYFUNCTION("""COMPUTED_VALUE"""),16.983050847591667)</f>
        <v>16.98305085</v>
      </c>
      <c r="J134" s="74" t="str">
        <f>IFERROR(__xludf.DUMMYFUNCTION("""COMPUTED_VALUE"""),"Lunch")</f>
        <v>Lunch</v>
      </c>
      <c r="K134" s="113">
        <f>IFERROR(__xludf.DUMMYFUNCTION("""COMPUTED_VALUE"""),45945.0)</f>
        <v>45945</v>
      </c>
      <c r="L134" s="74" t="str">
        <f>IFERROR(__xludf.DUMMYFUNCTION("""COMPUTED_VALUE"""),"Wednesday")</f>
        <v>Wednesday</v>
      </c>
      <c r="M134" s="74" t="str">
        <f>IFERROR(__xludf.DUMMYFUNCTION("""COMPUTED_VALUE"""),"BF")</f>
        <v>BF</v>
      </c>
      <c r="N134" s="114">
        <f>IFERROR(__xludf.DUMMYFUNCTION("""COMPUTED_VALUE"""),0.43736107309047606)</f>
        <v>0.4373610731</v>
      </c>
      <c r="O134" s="74" t="str">
        <f>IFERROR(__xludf.DUMMYFUNCTION("""COMPUTED_VALUE"""),"")</f>
        <v/>
      </c>
      <c r="P134" s="74" t="str">
        <f>IFERROR(__xludf.DUMMYFUNCTION("""COMPUTED_VALUE"""),"")</f>
        <v/>
      </c>
      <c r="Q134" s="92" t="str">
        <f>IFERROR(__xludf.DUMMYFUNCTION("""COMPUTED_VALUE"""),"")</f>
        <v/>
      </c>
      <c r="R134" s="92" t="str">
        <f>IFERROR(__xludf.DUMMYFUNCTION("""COMPUTED_VALUE"""),"")</f>
        <v/>
      </c>
      <c r="S134" s="63" t="str">
        <f>IFERROR(__xludf.DUMMYFUNCTION("""COMPUTED_VALUE"""),"")</f>
        <v/>
      </c>
      <c r="T134" s="63" t="str">
        <f>IFERROR(__xludf.DUMMYFUNCTION("""COMPUTED_VALUE"""),"")</f>
        <v/>
      </c>
      <c r="U134" s="116" t="str">
        <f>IFERROR(__xludf.DUMMYFUNCTION("""COMPUTED_VALUE"""),"")</f>
        <v/>
      </c>
      <c r="V134" s="92" t="str">
        <f>IFERROR(__xludf.DUMMYFUNCTION("""COMPUTED_VALUE"""),"")</f>
        <v/>
      </c>
      <c r="W134" s="64" t="str">
        <f>IFERROR(__xludf.DUMMYFUNCTION("""COMPUTED_VALUE"""),"")</f>
        <v/>
      </c>
      <c r="X134" s="64" t="str">
        <f>IFERROR(__xludf.DUMMYFUNCTION("""COMPUTED_VALUE"""),"")</f>
        <v/>
      </c>
      <c r="Y134" s="114" t="str">
        <f>IFERROR(__xludf.DUMMYFUNCTION("""COMPUTED_VALUE"""),"")</f>
        <v/>
      </c>
      <c r="Z134" s="118" t="str">
        <f>IFERROR(__xludf.DUMMYFUNCTION("""COMPUTED_VALUE"""),"")</f>
        <v/>
      </c>
      <c r="AA134" s="118" t="str">
        <f>IFERROR(__xludf.DUMMYFUNCTION("""COMPUTED_VALUE"""),"")</f>
        <v/>
      </c>
      <c r="AB134" s="74" t="str">
        <f>IFERROR(__xludf.DUMMYFUNCTION("""COMPUTED_VALUE"""),"")</f>
        <v/>
      </c>
    </row>
    <row r="135">
      <c r="A135" s="109">
        <f>IFERROR(__xludf.DUMMYFUNCTION("""COMPUTED_VALUE"""),45945.75388866898)</f>
        <v>45945.75389</v>
      </c>
      <c r="B135" s="81" t="str">
        <f>IFERROR(__xludf.DUMMYFUNCTION("""COMPUTED_VALUE"""),"Sarah Wilme")</f>
        <v>Sarah Wilme</v>
      </c>
      <c r="C135" s="74" t="b">
        <f>IFERROR(__xludf.DUMMYFUNCTION("""COMPUTED_VALUE"""),TRUE)</f>
        <v>1</v>
      </c>
      <c r="D135" s="137">
        <f>IFERROR(__xludf.DUMMYFUNCTION("""COMPUTED_VALUE"""),0.6875)</f>
        <v>0.6875</v>
      </c>
      <c r="E135" s="82">
        <f>IFERROR(__xludf.DUMMYFUNCTION("""COMPUTED_VALUE"""),0.06597222221898846)</f>
        <v>0.06597222222</v>
      </c>
      <c r="F135" s="137">
        <f>IFERROR(__xludf.DUMMYFUNCTION("""COMPUTED_VALUE"""),0.7534722222189885)</f>
        <v>0.7534722222</v>
      </c>
      <c r="G135" s="82" t="str">
        <f>IFERROR(__xludf.DUMMYFUNCTION("""COMPUTED_VALUE"""),"")</f>
        <v/>
      </c>
      <c r="H135" s="115">
        <f>IFERROR(__xludf.DUMMYFUNCTION("""COMPUTED_VALUE"""),83.5)</f>
        <v>83.5</v>
      </c>
      <c r="I135" s="112" t="str">
        <f>IFERROR(__xludf.DUMMYFUNCTION("""COMPUTED_VALUE"""),"")</f>
        <v/>
      </c>
      <c r="J135" s="74" t="str">
        <f>IFERROR(__xludf.DUMMYFUNCTION("""COMPUTED_VALUE"""),"Dinner")</f>
        <v>Dinner</v>
      </c>
      <c r="K135" s="113">
        <f>IFERROR(__xludf.DUMMYFUNCTION("""COMPUTED_VALUE"""),45945.0)</f>
        <v>45945</v>
      </c>
      <c r="L135" s="74" t="str">
        <f>IFERROR(__xludf.DUMMYFUNCTION("""COMPUTED_VALUE"""),"Wednesday")</f>
        <v>Wednesday</v>
      </c>
      <c r="M135" s="74" t="str">
        <f>IFERROR(__xludf.DUMMYFUNCTION("""COMPUTED_VALUE"""),"BF")</f>
        <v>BF</v>
      </c>
      <c r="N135" s="114" t="str">
        <f>IFERROR(__xludf.DUMMYFUNCTION("""COMPUTED_VALUE"""),"")</f>
        <v/>
      </c>
      <c r="O135" s="74" t="str">
        <f>IFERROR(__xludf.DUMMYFUNCTION("""COMPUTED_VALUE"""),"")</f>
        <v/>
      </c>
      <c r="P135" s="74" t="str">
        <f>IFERROR(__xludf.DUMMYFUNCTION("""COMPUTED_VALUE"""),"")</f>
        <v/>
      </c>
      <c r="Q135" s="92" t="str">
        <f>IFERROR(__xludf.DUMMYFUNCTION("""COMPUTED_VALUE"""),"")</f>
        <v/>
      </c>
      <c r="R135" s="92" t="str">
        <f>IFERROR(__xludf.DUMMYFUNCTION("""COMPUTED_VALUE"""),"")</f>
        <v/>
      </c>
      <c r="S135" s="63" t="str">
        <f>IFERROR(__xludf.DUMMYFUNCTION("""COMPUTED_VALUE"""),"")</f>
        <v/>
      </c>
      <c r="T135" s="63" t="str">
        <f>IFERROR(__xludf.DUMMYFUNCTION("""COMPUTED_VALUE"""),"")</f>
        <v/>
      </c>
      <c r="U135" s="116" t="str">
        <f>IFERROR(__xludf.DUMMYFUNCTION("""COMPUTED_VALUE"""),"")</f>
        <v/>
      </c>
      <c r="V135" s="92" t="str">
        <f>IFERROR(__xludf.DUMMYFUNCTION("""COMPUTED_VALUE"""),"")</f>
        <v/>
      </c>
      <c r="W135" s="64" t="str">
        <f>IFERROR(__xludf.DUMMYFUNCTION("""COMPUTED_VALUE"""),"")</f>
        <v/>
      </c>
      <c r="X135" s="64" t="str">
        <f>IFERROR(__xludf.DUMMYFUNCTION("""COMPUTED_VALUE"""),"")</f>
        <v/>
      </c>
      <c r="Y135" s="114" t="str">
        <f>IFERROR(__xludf.DUMMYFUNCTION("""COMPUTED_VALUE"""),"")</f>
        <v/>
      </c>
      <c r="Z135" s="118" t="str">
        <f>IFERROR(__xludf.DUMMYFUNCTION("""COMPUTED_VALUE"""),"")</f>
        <v/>
      </c>
      <c r="AA135" s="118" t="str">
        <f>IFERROR(__xludf.DUMMYFUNCTION("""COMPUTED_VALUE"""),"")</f>
        <v/>
      </c>
      <c r="AB135" s="74" t="str">
        <f>IFERROR(__xludf.DUMMYFUNCTION("""COMPUTED_VALUE"""),"")</f>
        <v/>
      </c>
    </row>
    <row r="136">
      <c r="A136" s="109">
        <f>IFERROR(__xludf.DUMMYFUNCTION("""COMPUTED_VALUE"""),45945.86198869213)</f>
        <v>45945.86199</v>
      </c>
      <c r="B136" s="81" t="str">
        <f>IFERROR(__xludf.DUMMYFUNCTION("""COMPUTED_VALUE"""),"Emma Korsu")</f>
        <v>Emma Korsu</v>
      </c>
      <c r="C136" s="74" t="b">
        <f>IFERROR(__xludf.DUMMYFUNCTION("""COMPUTED_VALUE"""),FALSE)</f>
        <v>0</v>
      </c>
      <c r="D136" s="137">
        <f>IFERROR(__xludf.DUMMYFUNCTION("""COMPUTED_VALUE"""),0.7506944444467081)</f>
        <v>0.7506944444</v>
      </c>
      <c r="E136" s="82">
        <f>IFERROR(__xludf.DUMMYFUNCTION("""COMPUTED_VALUE"""),0.11041666666278616)</f>
        <v>0.1104166667</v>
      </c>
      <c r="F136" s="137">
        <f>IFERROR(__xludf.DUMMYFUNCTION("""COMPUTED_VALUE"""),0.8611111111094942)</f>
        <v>0.8611111111</v>
      </c>
      <c r="G136" s="82">
        <f>IFERROR(__xludf.DUMMYFUNCTION("""COMPUTED_VALUE"""),0.11041666666278616)</f>
        <v>0.1104166667</v>
      </c>
      <c r="H136" s="115">
        <f>IFERROR(__xludf.DUMMYFUNCTION("""COMPUTED_VALUE"""),147.0)</f>
        <v>147</v>
      </c>
      <c r="I136" s="112">
        <f>IFERROR(__xludf.DUMMYFUNCTION("""COMPUTED_VALUE"""),55.47169811515706)</f>
        <v>55.47169812</v>
      </c>
      <c r="J136" s="74" t="str">
        <f>IFERROR(__xludf.DUMMYFUNCTION("""COMPUTED_VALUE"""),"Dinner")</f>
        <v>Dinner</v>
      </c>
      <c r="K136" s="113">
        <f>IFERROR(__xludf.DUMMYFUNCTION("""COMPUTED_VALUE"""),45945.0)</f>
        <v>45945</v>
      </c>
      <c r="L136" s="74" t="str">
        <f>IFERROR(__xludf.DUMMYFUNCTION("""COMPUTED_VALUE"""),"Wednesday")</f>
        <v>Wednesday</v>
      </c>
      <c r="M136" s="74" t="str">
        <f>IFERROR(__xludf.DUMMYFUNCTION("""COMPUTED_VALUE"""),"BF")</f>
        <v>BF</v>
      </c>
      <c r="N136" s="114">
        <f>IFERROR(__xludf.DUMMYFUNCTION("""COMPUTED_VALUE"""),1.3091134871817598)</f>
        <v>1.309113487</v>
      </c>
      <c r="O136" s="74" t="str">
        <f>IFERROR(__xludf.DUMMYFUNCTION("""COMPUTED_VALUE"""),"")</f>
        <v/>
      </c>
      <c r="P136" s="74" t="str">
        <f>IFERROR(__xludf.DUMMYFUNCTION("""COMPUTED_VALUE"""),"")</f>
        <v/>
      </c>
      <c r="Q136" s="92" t="str">
        <f>IFERROR(__xludf.DUMMYFUNCTION("""COMPUTED_VALUE"""),"")</f>
        <v/>
      </c>
      <c r="R136" s="92" t="str">
        <f>IFERROR(__xludf.DUMMYFUNCTION("""COMPUTED_VALUE"""),"")</f>
        <v/>
      </c>
      <c r="S136" s="63" t="str">
        <f>IFERROR(__xludf.DUMMYFUNCTION("""COMPUTED_VALUE"""),"")</f>
        <v/>
      </c>
      <c r="T136" s="63" t="str">
        <f>IFERROR(__xludf.DUMMYFUNCTION("""COMPUTED_VALUE"""),"")</f>
        <v/>
      </c>
      <c r="U136" s="116" t="str">
        <f>IFERROR(__xludf.DUMMYFUNCTION("""COMPUTED_VALUE"""),"")</f>
        <v/>
      </c>
      <c r="V136" s="92" t="str">
        <f>IFERROR(__xludf.DUMMYFUNCTION("""COMPUTED_VALUE"""),"")</f>
        <v/>
      </c>
      <c r="W136" s="64" t="str">
        <f>IFERROR(__xludf.DUMMYFUNCTION("""COMPUTED_VALUE"""),"")</f>
        <v/>
      </c>
      <c r="X136" s="64" t="str">
        <f>IFERROR(__xludf.DUMMYFUNCTION("""COMPUTED_VALUE"""),"")</f>
        <v/>
      </c>
      <c r="Y136" s="114" t="str">
        <f>IFERROR(__xludf.DUMMYFUNCTION("""COMPUTED_VALUE"""),"")</f>
        <v/>
      </c>
      <c r="Z136" s="118" t="str">
        <f>IFERROR(__xludf.DUMMYFUNCTION("""COMPUTED_VALUE"""),"")</f>
        <v/>
      </c>
      <c r="AA136" s="118" t="str">
        <f>IFERROR(__xludf.DUMMYFUNCTION("""COMPUTED_VALUE"""),"")</f>
        <v/>
      </c>
      <c r="AB136" s="74" t="str">
        <f>IFERROR(__xludf.DUMMYFUNCTION("""COMPUTED_VALUE"""),"")</f>
        <v/>
      </c>
    </row>
    <row r="137">
      <c r="A137" s="109">
        <f>IFERROR(__xludf.DUMMYFUNCTION("""COMPUTED_VALUE"""),45945.872763217594)</f>
        <v>45945.87276</v>
      </c>
      <c r="B137" s="81" t="str">
        <f>IFERROR(__xludf.DUMMYFUNCTION("""COMPUTED_VALUE"""),"Kaylie Forgue")</f>
        <v>Kaylie Forgue</v>
      </c>
      <c r="C137" s="74" t="b">
        <f>IFERROR(__xludf.DUMMYFUNCTION("""COMPUTED_VALUE"""),FALSE)</f>
        <v>0</v>
      </c>
      <c r="D137" s="137">
        <f>IFERROR(__xludf.DUMMYFUNCTION("""COMPUTED_VALUE"""),0.7479166666671517)</f>
        <v>0.7479166667</v>
      </c>
      <c r="E137" s="82">
        <f>IFERROR(__xludf.DUMMYFUNCTION("""COMPUTED_VALUE"""),0.11944444444816327)</f>
        <v>0.1194444444</v>
      </c>
      <c r="F137" s="137">
        <f>IFERROR(__xludf.DUMMYFUNCTION("""COMPUTED_VALUE"""),0.867361111115315)</f>
        <v>0.8673611111</v>
      </c>
      <c r="G137" s="82">
        <f>IFERROR(__xludf.DUMMYFUNCTION("""COMPUTED_VALUE"""),0.11944444444816327)</f>
        <v>0.1194444444</v>
      </c>
      <c r="H137" s="115">
        <f>IFERROR(__xludf.DUMMYFUNCTION("""COMPUTED_VALUE"""),175.0)</f>
        <v>175</v>
      </c>
      <c r="I137" s="112">
        <f>IFERROR(__xludf.DUMMYFUNCTION("""COMPUTED_VALUE"""),61.046511626006335)</f>
        <v>61.04651163</v>
      </c>
      <c r="J137" s="74" t="str">
        <f>IFERROR(__xludf.DUMMYFUNCTION("""COMPUTED_VALUE"""),"Dinner")</f>
        <v>Dinner</v>
      </c>
      <c r="K137" s="113">
        <f>IFERROR(__xludf.DUMMYFUNCTION("""COMPUTED_VALUE"""),45945.0)</f>
        <v>45945</v>
      </c>
      <c r="L137" s="74" t="str">
        <f>IFERROR(__xludf.DUMMYFUNCTION("""COMPUTED_VALUE"""),"Wednesday")</f>
        <v>Wednesday</v>
      </c>
      <c r="M137" s="74" t="str">
        <f>IFERROR(__xludf.DUMMYFUNCTION("""COMPUTED_VALUE"""),"MF")</f>
        <v>MF</v>
      </c>
      <c r="N137" s="114">
        <f>IFERROR(__xludf.DUMMYFUNCTION("""COMPUTED_VALUE"""),1.202920666419331)</f>
        <v>1.202920666</v>
      </c>
      <c r="O137" s="74">
        <f>IFERROR(__xludf.DUMMYFUNCTION("""COMPUTED_VALUE"""),415.0)</f>
        <v>415</v>
      </c>
      <c r="P137" s="74">
        <f>IFERROR(__xludf.DUMMYFUNCTION("""COMPUTED_VALUE"""),314.0)</f>
        <v>314</v>
      </c>
      <c r="Q137" s="92">
        <f>IFERROR(__xludf.DUMMYFUNCTION("""COMPUTED_VALUE"""),0.2305555555576575)</f>
        <v>0.2305555556</v>
      </c>
      <c r="R137" s="92">
        <f>IFERROR(__xludf.DUMMYFUNCTION("""COMPUTED_VALUE"""),0.3152777777722804)</f>
        <v>0.3152777778</v>
      </c>
      <c r="S137" s="63">
        <f>IFERROR(__xludf.DUMMYFUNCTION("""COMPUTED_VALUE"""),62.01786570900348)</f>
        <v>62.01786571</v>
      </c>
      <c r="T137" s="63">
        <f>IFERROR(__xludf.DUMMYFUNCTION("""COMPUTED_VALUE"""),36.22737448137436)</f>
        <v>36.22737448</v>
      </c>
      <c r="U137" s="116">
        <f>IFERROR(__xludf.DUMMYFUNCTION("""COMPUTED_VALUE"""),729.0)</f>
        <v>729</v>
      </c>
      <c r="V137" s="92">
        <f>IFERROR(__xludf.DUMMYFUNCTION("""COMPUTED_VALUE"""),0.5458333333299379)</f>
        <v>0.5458333333</v>
      </c>
      <c r="W137" s="64">
        <f>IFERROR(__xludf.DUMMYFUNCTION("""COMPUTED_VALUE"""),55.648854962178234)</f>
        <v>55.64885496</v>
      </c>
      <c r="X137" s="64">
        <f>IFERROR(__xludf.DUMMYFUNCTION("""COMPUTED_VALUE"""),51.70166921795184)</f>
        <v>51.70166922</v>
      </c>
      <c r="Y137" s="114">
        <f>IFERROR(__xludf.DUMMYFUNCTION("""COMPUTED_VALUE"""),0.7932077667938238)</f>
        <v>0.7932077668</v>
      </c>
      <c r="Z137" s="118">
        <f>IFERROR(__xludf.DUMMYFUNCTION("""COMPUTED_VALUE"""),4131.0)</f>
        <v>4131</v>
      </c>
      <c r="AA137" s="118">
        <f>IFERROR(__xludf.DUMMYFUNCTION("""COMPUTED_VALUE"""),4052.0)</f>
        <v>4052</v>
      </c>
      <c r="AB137" s="118">
        <f>IFERROR(__xludf.DUMMYFUNCTION("""COMPUTED_VALUE"""),8183.0)</f>
        <v>8183</v>
      </c>
    </row>
    <row r="138">
      <c r="A138" s="109">
        <f>IFERROR(__xludf.DUMMYFUNCTION("""COMPUTED_VALUE"""),45946.562111956024)</f>
        <v>45946.56211</v>
      </c>
      <c r="B138" s="81" t="str">
        <f>IFERROR(__xludf.DUMMYFUNCTION("""COMPUTED_VALUE"""),"Maureen Surgot")</f>
        <v>Maureen Surgot</v>
      </c>
      <c r="C138" s="74" t="b">
        <f>IFERROR(__xludf.DUMMYFUNCTION("""COMPUTED_VALUE"""),FALSE)</f>
        <v>0</v>
      </c>
      <c r="D138" s="137">
        <f>IFERROR(__xludf.DUMMYFUNCTION("""COMPUTED_VALUE"""),0.47916666666424135)</f>
        <v>0.4791666667</v>
      </c>
      <c r="E138" s="82">
        <f>IFERROR(__xludf.DUMMYFUNCTION("""COMPUTED_VALUE"""),0.08333333333575865)</f>
        <v>0.08333333334</v>
      </c>
      <c r="F138" s="137">
        <f>IFERROR(__xludf.DUMMYFUNCTION("""COMPUTED_VALUE"""),0.5625)</f>
        <v>0.5625</v>
      </c>
      <c r="G138" s="82">
        <f>IFERROR(__xludf.DUMMYFUNCTION("""COMPUTED_VALUE"""),0.08333333333575865)</f>
        <v>0.08333333334</v>
      </c>
      <c r="H138" s="115">
        <f>IFERROR(__xludf.DUMMYFUNCTION("""COMPUTED_VALUE"""),101.0)</f>
        <v>101</v>
      </c>
      <c r="I138" s="112">
        <f>IFERROR(__xludf.DUMMYFUNCTION("""COMPUTED_VALUE"""),50.49999999853026)</f>
        <v>50.5</v>
      </c>
      <c r="J138" s="74" t="str">
        <f>IFERROR(__xludf.DUMMYFUNCTION("""COMPUTED_VALUE"""),"Lunch")</f>
        <v>Lunch</v>
      </c>
      <c r="K138" s="113">
        <f>IFERROR(__xludf.DUMMYFUNCTION("""COMPUTED_VALUE"""),45946.0)</f>
        <v>45946</v>
      </c>
      <c r="L138" s="74" t="str">
        <f>IFERROR(__xludf.DUMMYFUNCTION("""COMPUTED_VALUE"""),"Thursday")</f>
        <v>Thursday</v>
      </c>
      <c r="M138" s="74" t="str">
        <f>IFERROR(__xludf.DUMMYFUNCTION("""COMPUTED_VALUE"""),"MF")</f>
        <v>MF</v>
      </c>
      <c r="N138" s="114">
        <f>IFERROR(__xludf.DUMMYFUNCTION("""COMPUTED_VALUE"""),1.0501395831654166)</f>
        <v>1.050139583</v>
      </c>
      <c r="O138" s="74" t="str">
        <f>IFERROR(__xludf.DUMMYFUNCTION("""COMPUTED_VALUE"""),"")</f>
        <v/>
      </c>
      <c r="P138" s="74" t="str">
        <f>IFERROR(__xludf.DUMMYFUNCTION("""COMPUTED_VALUE"""),"")</f>
        <v/>
      </c>
      <c r="Q138" s="92" t="str">
        <f>IFERROR(__xludf.DUMMYFUNCTION("""COMPUTED_VALUE"""),"")</f>
        <v/>
      </c>
      <c r="R138" s="92" t="str">
        <f>IFERROR(__xludf.DUMMYFUNCTION("""COMPUTED_VALUE"""),"")</f>
        <v/>
      </c>
      <c r="S138" s="63" t="str">
        <f>IFERROR(__xludf.DUMMYFUNCTION("""COMPUTED_VALUE"""),"")</f>
        <v/>
      </c>
      <c r="T138" s="63" t="str">
        <f>IFERROR(__xludf.DUMMYFUNCTION("""COMPUTED_VALUE"""),"")</f>
        <v/>
      </c>
      <c r="U138" s="116" t="str">
        <f>IFERROR(__xludf.DUMMYFUNCTION("""COMPUTED_VALUE"""),"")</f>
        <v/>
      </c>
      <c r="V138" s="92" t="str">
        <f>IFERROR(__xludf.DUMMYFUNCTION("""COMPUTED_VALUE"""),"")</f>
        <v/>
      </c>
      <c r="W138" s="64" t="str">
        <f>IFERROR(__xludf.DUMMYFUNCTION("""COMPUTED_VALUE"""),"")</f>
        <v/>
      </c>
      <c r="X138" s="64" t="str">
        <f>IFERROR(__xludf.DUMMYFUNCTION("""COMPUTED_VALUE"""),"")</f>
        <v/>
      </c>
      <c r="Y138" s="114" t="str">
        <f>IFERROR(__xludf.DUMMYFUNCTION("""COMPUTED_VALUE"""),"")</f>
        <v/>
      </c>
      <c r="Z138" s="118" t="str">
        <f>IFERROR(__xludf.DUMMYFUNCTION("""COMPUTED_VALUE"""),"")</f>
        <v/>
      </c>
      <c r="AA138" s="118" t="str">
        <f>IFERROR(__xludf.DUMMYFUNCTION("""COMPUTED_VALUE"""),"")</f>
        <v/>
      </c>
      <c r="AB138" s="74" t="str">
        <f>IFERROR(__xludf.DUMMYFUNCTION("""COMPUTED_VALUE"""),"")</f>
        <v/>
      </c>
    </row>
    <row r="139">
      <c r="A139" s="109">
        <f>IFERROR(__xludf.DUMMYFUNCTION("""COMPUTED_VALUE"""),45946.571441319444)</f>
        <v>45946.57144</v>
      </c>
      <c r="B139" s="81" t="str">
        <f>IFERROR(__xludf.DUMMYFUNCTION("""COMPUTED_VALUE"""),"Greta Traynor")</f>
        <v>Greta Traynor</v>
      </c>
      <c r="C139" s="74" t="b">
        <f>IFERROR(__xludf.DUMMYFUNCTION("""COMPUTED_VALUE"""),FALSE)</f>
        <v>0</v>
      </c>
      <c r="D139" s="137">
        <f>IFERROR(__xludf.DUMMYFUNCTION("""COMPUTED_VALUE"""),0.523611111115315)</f>
        <v>0.5236111111</v>
      </c>
      <c r="E139" s="82">
        <f>IFERROR(__xludf.DUMMYFUNCTION("""COMPUTED_VALUE"""),0.04722222221607808)</f>
        <v>0.04722222222</v>
      </c>
      <c r="F139" s="137">
        <f>IFERROR(__xludf.DUMMYFUNCTION("""COMPUTED_VALUE"""),0.5708333333313931)</f>
        <v>0.5708333333</v>
      </c>
      <c r="G139" s="82">
        <f>IFERROR(__xludf.DUMMYFUNCTION("""COMPUTED_VALUE"""),0.04722222221607808)</f>
        <v>0.04722222222</v>
      </c>
      <c r="H139" s="115">
        <f>IFERROR(__xludf.DUMMYFUNCTION("""COMPUTED_VALUE"""),69.0)</f>
        <v>69</v>
      </c>
      <c r="I139" s="112">
        <f>IFERROR(__xludf.DUMMYFUNCTION("""COMPUTED_VALUE"""),60.88235294909795)</f>
        <v>60.88235295</v>
      </c>
      <c r="J139" s="74" t="str">
        <f>IFERROR(__xludf.DUMMYFUNCTION("""COMPUTED_VALUE"""),"Lunch")</f>
        <v>Lunch</v>
      </c>
      <c r="K139" s="113">
        <f>IFERROR(__xludf.DUMMYFUNCTION("""COMPUTED_VALUE"""),45946.0)</f>
        <v>45946</v>
      </c>
      <c r="L139" s="74" t="str">
        <f>IFERROR(__xludf.DUMMYFUNCTION("""COMPUTED_VALUE"""),"Thursday")</f>
        <v>Thursday</v>
      </c>
      <c r="M139" s="74" t="str">
        <f>IFERROR(__xludf.DUMMYFUNCTION("""COMPUTED_VALUE"""),"BF")</f>
        <v>BF</v>
      </c>
      <c r="N139" s="114">
        <f>IFERROR(__xludf.DUMMYFUNCTION("""COMPUTED_VALUE"""),1.5678909200149154)</f>
        <v>1.56789092</v>
      </c>
      <c r="O139" s="74" t="str">
        <f>IFERROR(__xludf.DUMMYFUNCTION("""COMPUTED_VALUE"""),"")</f>
        <v/>
      </c>
      <c r="P139" s="74" t="str">
        <f>IFERROR(__xludf.DUMMYFUNCTION("""COMPUTED_VALUE"""),"")</f>
        <v/>
      </c>
      <c r="Q139" s="92" t="str">
        <f>IFERROR(__xludf.DUMMYFUNCTION("""COMPUTED_VALUE"""),"")</f>
        <v/>
      </c>
      <c r="R139" s="92" t="str">
        <f>IFERROR(__xludf.DUMMYFUNCTION("""COMPUTED_VALUE"""),"")</f>
        <v/>
      </c>
      <c r="S139" s="63" t="str">
        <f>IFERROR(__xludf.DUMMYFUNCTION("""COMPUTED_VALUE"""),"")</f>
        <v/>
      </c>
      <c r="T139" s="63" t="str">
        <f>IFERROR(__xludf.DUMMYFUNCTION("""COMPUTED_VALUE"""),"")</f>
        <v/>
      </c>
      <c r="U139" s="116" t="str">
        <f>IFERROR(__xludf.DUMMYFUNCTION("""COMPUTED_VALUE"""),"")</f>
        <v/>
      </c>
      <c r="V139" s="92" t="str">
        <f>IFERROR(__xludf.DUMMYFUNCTION("""COMPUTED_VALUE"""),"")</f>
        <v/>
      </c>
      <c r="W139" s="64" t="str">
        <f>IFERROR(__xludf.DUMMYFUNCTION("""COMPUTED_VALUE"""),"")</f>
        <v/>
      </c>
      <c r="X139" s="64" t="str">
        <f>IFERROR(__xludf.DUMMYFUNCTION("""COMPUTED_VALUE"""),"")</f>
        <v/>
      </c>
      <c r="Y139" s="114" t="str">
        <f>IFERROR(__xludf.DUMMYFUNCTION("""COMPUTED_VALUE"""),"")</f>
        <v/>
      </c>
      <c r="Z139" s="118" t="str">
        <f>IFERROR(__xludf.DUMMYFUNCTION("""COMPUTED_VALUE"""),"")</f>
        <v/>
      </c>
      <c r="AA139" s="118" t="str">
        <f>IFERROR(__xludf.DUMMYFUNCTION("""COMPUTED_VALUE"""),"")</f>
        <v/>
      </c>
      <c r="AB139" s="74" t="str">
        <f>IFERROR(__xludf.DUMMYFUNCTION("""COMPUTED_VALUE"""),"")</f>
        <v/>
      </c>
    </row>
    <row r="140">
      <c r="A140" s="109">
        <f>IFERROR(__xludf.DUMMYFUNCTION("""COMPUTED_VALUE"""),45946.632600185185)</f>
        <v>45946.6326</v>
      </c>
      <c r="B140" s="81" t="str">
        <f>IFERROR(__xludf.DUMMYFUNCTION("""COMPUTED_VALUE"""),"Brynn Hornig")</f>
        <v>Brynn Hornig</v>
      </c>
      <c r="C140" s="74" t="b">
        <f>IFERROR(__xludf.DUMMYFUNCTION("""COMPUTED_VALUE"""),FALSE)</f>
        <v>0</v>
      </c>
      <c r="D140" s="137">
        <f>IFERROR(__xludf.DUMMYFUNCTION("""COMPUTED_VALUE"""),0.5625)</f>
        <v>0.5625</v>
      </c>
      <c r="E140" s="82">
        <f>IFERROR(__xludf.DUMMYFUNCTION("""COMPUTED_VALUE"""),0.07291666666424135)</f>
        <v>0.07291666666</v>
      </c>
      <c r="F140" s="137">
        <f>IFERROR(__xludf.DUMMYFUNCTION("""COMPUTED_VALUE"""),0.6354166666642413)</f>
        <v>0.6354166667</v>
      </c>
      <c r="G140" s="82">
        <f>IFERROR(__xludf.DUMMYFUNCTION("""COMPUTED_VALUE"""),0.07291666666424135)</f>
        <v>0.07291666666</v>
      </c>
      <c r="H140" s="115">
        <f>IFERROR(__xludf.DUMMYFUNCTION("""COMPUTED_VALUE"""),79.0)</f>
        <v>79</v>
      </c>
      <c r="I140" s="112">
        <f>IFERROR(__xludf.DUMMYFUNCTION("""COMPUTED_VALUE"""),45.142857144358665)</f>
        <v>45.14285714</v>
      </c>
      <c r="J140" s="74" t="str">
        <f>IFERROR(__xludf.DUMMYFUNCTION("""COMPUTED_VALUE"""),"Lunch")</f>
        <v>Lunch</v>
      </c>
      <c r="K140" s="113">
        <f>IFERROR(__xludf.DUMMYFUNCTION("""COMPUTED_VALUE"""),45946.0)</f>
        <v>45946</v>
      </c>
      <c r="L140" s="74" t="str">
        <f>IFERROR(__xludf.DUMMYFUNCTION("""COMPUTED_VALUE"""),"Thursday")</f>
        <v>Thursday</v>
      </c>
      <c r="M140" s="74" t="str">
        <f>IFERROR(__xludf.DUMMYFUNCTION("""COMPUTED_VALUE"""),"MF")</f>
        <v>MF</v>
      </c>
      <c r="N140" s="114">
        <f>IFERROR(__xludf.DUMMYFUNCTION("""COMPUTED_VALUE"""),0.938738637343613)</f>
        <v>0.9387386373</v>
      </c>
      <c r="O140" s="74">
        <f>IFERROR(__xludf.DUMMYFUNCTION("""COMPUTED_VALUE"""),180.0)</f>
        <v>180</v>
      </c>
      <c r="P140" s="74">
        <f>IFERROR(__xludf.DUMMYFUNCTION("""COMPUTED_VALUE"""),69.0)</f>
        <v>69</v>
      </c>
      <c r="Q140" s="92">
        <f>IFERROR(__xludf.DUMMYFUNCTION("""COMPUTED_VALUE"""),0.15625)</f>
        <v>0.15625</v>
      </c>
      <c r="R140" s="92">
        <f>IFERROR(__xludf.DUMMYFUNCTION("""COMPUTED_VALUE"""),0.04722222221607808)</f>
        <v>0.04722222222</v>
      </c>
      <c r="S140" s="63">
        <f>IFERROR(__xludf.DUMMYFUNCTION("""COMPUTED_VALUE"""),47.82142857144446)</f>
        <v>47.82142857</v>
      </c>
      <c r="T140" s="63">
        <f>IFERROR(__xludf.DUMMYFUNCTION("""COMPUTED_VALUE"""),60.88235294909795)</f>
        <v>60.88235295</v>
      </c>
      <c r="U140" s="116">
        <f>IFERROR(__xludf.DUMMYFUNCTION("""COMPUTED_VALUE"""),249.0)</f>
        <v>249</v>
      </c>
      <c r="V140" s="92">
        <f>IFERROR(__xludf.DUMMYFUNCTION("""COMPUTED_VALUE"""),0.20347222221607808)</f>
        <v>0.2034722222</v>
      </c>
      <c r="W140" s="64">
        <f>IFERROR(__xludf.DUMMYFUNCTION("""COMPUTED_VALUE"""),50.98976109368988)</f>
        <v>50.98976109</v>
      </c>
      <c r="X140" s="64">
        <f>IFERROR(__xludf.DUMMYFUNCTION("""COMPUTED_VALUE"""),52.17507003066229)</f>
        <v>52.17507003</v>
      </c>
      <c r="Y140" s="114">
        <f>IFERROR(__xludf.DUMMYFUNCTION("""COMPUTED_VALUE"""),1.1750968795272045)</f>
        <v>1.17509688</v>
      </c>
      <c r="Z140" s="118">
        <f>IFERROR(__xludf.DUMMYFUNCTION("""COMPUTED_VALUE"""),3643.0)</f>
        <v>3643</v>
      </c>
      <c r="AA140" s="118">
        <f>IFERROR(__xludf.DUMMYFUNCTION("""COMPUTED_VALUE"""),4149.0)</f>
        <v>4149</v>
      </c>
      <c r="AB140" s="118">
        <f>IFERROR(__xludf.DUMMYFUNCTION("""COMPUTED_VALUE"""),7792.0)</f>
        <v>7792</v>
      </c>
    </row>
    <row r="141">
      <c r="A141" s="109">
        <f>IFERROR(__xludf.DUMMYFUNCTION("""COMPUTED_VALUE"""),45947.599242662036)</f>
        <v>45947.59924</v>
      </c>
      <c r="B141" s="81" t="str">
        <f>IFERROR(__xludf.DUMMYFUNCTION("""COMPUTED_VALUE"""),"Greta Traynor")</f>
        <v>Greta Traynor</v>
      </c>
      <c r="C141" s="74" t="b">
        <f>IFERROR(__xludf.DUMMYFUNCTION("""COMPUTED_VALUE"""),FALSE)</f>
        <v>0</v>
      </c>
      <c r="D141" s="137">
        <f>IFERROR(__xludf.DUMMYFUNCTION("""COMPUTED_VALUE"""),0.5402777777781012)</f>
        <v>0.5402777778</v>
      </c>
      <c r="E141" s="82">
        <f>IFERROR(__xludf.DUMMYFUNCTION("""COMPUTED_VALUE"""),0.0506944444423425)</f>
        <v>0.05069444444</v>
      </c>
      <c r="F141" s="137">
        <f>IFERROR(__xludf.DUMMYFUNCTION("""COMPUTED_VALUE"""),0.5909722222204437)</f>
        <v>0.5909722222</v>
      </c>
      <c r="G141" s="82">
        <f>IFERROR(__xludf.DUMMYFUNCTION("""COMPUTED_VALUE"""),0.0506944444423425)</f>
        <v>0.05069444444</v>
      </c>
      <c r="H141" s="115">
        <f>IFERROR(__xludf.DUMMYFUNCTION("""COMPUTED_VALUE"""),68.0)</f>
        <v>68</v>
      </c>
      <c r="I141" s="112">
        <f>IFERROR(__xludf.DUMMYFUNCTION("""COMPUTED_VALUE"""),55.89041096122149)</f>
        <v>55.89041096</v>
      </c>
      <c r="J141" s="74" t="str">
        <f>IFERROR(__xludf.DUMMYFUNCTION("""COMPUTED_VALUE"""),"Lunch")</f>
        <v>Lunch</v>
      </c>
      <c r="K141" s="113">
        <f>IFERROR(__xludf.DUMMYFUNCTION("""COMPUTED_VALUE"""),45947.0)</f>
        <v>45947</v>
      </c>
      <c r="L141" s="74" t="str">
        <f>IFERROR(__xludf.DUMMYFUNCTION("""COMPUTED_VALUE"""),"Friday")</f>
        <v>Friday</v>
      </c>
      <c r="M141" s="74" t="str">
        <f>IFERROR(__xludf.DUMMYFUNCTION("""COMPUTED_VALUE"""),"BF")</f>
        <v>BF</v>
      </c>
      <c r="N141" s="114">
        <f>IFERROR(__xludf.DUMMYFUNCTION("""COMPUTED_VALUE"""),1.4393344477876266)</f>
        <v>1.439334448</v>
      </c>
      <c r="O141" s="74" t="str">
        <f>IFERROR(__xludf.DUMMYFUNCTION("""COMPUTED_VALUE"""),"")</f>
        <v/>
      </c>
      <c r="P141" s="74" t="str">
        <f>IFERROR(__xludf.DUMMYFUNCTION("""COMPUTED_VALUE"""),"")</f>
        <v/>
      </c>
      <c r="Q141" s="92" t="str">
        <f>IFERROR(__xludf.DUMMYFUNCTION("""COMPUTED_VALUE"""),"")</f>
        <v/>
      </c>
      <c r="R141" s="92" t="str">
        <f>IFERROR(__xludf.DUMMYFUNCTION("""COMPUTED_VALUE"""),"")</f>
        <v/>
      </c>
      <c r="S141" s="63" t="str">
        <f>IFERROR(__xludf.DUMMYFUNCTION("""COMPUTED_VALUE"""),"")</f>
        <v/>
      </c>
      <c r="T141" s="63" t="str">
        <f>IFERROR(__xludf.DUMMYFUNCTION("""COMPUTED_VALUE"""),"")</f>
        <v/>
      </c>
      <c r="U141" s="116" t="str">
        <f>IFERROR(__xludf.DUMMYFUNCTION("""COMPUTED_VALUE"""),"")</f>
        <v/>
      </c>
      <c r="V141" s="92" t="str">
        <f>IFERROR(__xludf.DUMMYFUNCTION("""COMPUTED_VALUE"""),"")</f>
        <v/>
      </c>
      <c r="W141" s="64" t="str">
        <f>IFERROR(__xludf.DUMMYFUNCTION("""COMPUTED_VALUE"""),"")</f>
        <v/>
      </c>
      <c r="X141" s="64" t="str">
        <f>IFERROR(__xludf.DUMMYFUNCTION("""COMPUTED_VALUE"""),"")</f>
        <v/>
      </c>
      <c r="Y141" s="114" t="str">
        <f>IFERROR(__xludf.DUMMYFUNCTION("""COMPUTED_VALUE"""),"")</f>
        <v/>
      </c>
      <c r="Z141" s="118" t="str">
        <f>IFERROR(__xludf.DUMMYFUNCTION("""COMPUTED_VALUE"""),"")</f>
        <v/>
      </c>
      <c r="AA141" s="118" t="str">
        <f>IFERROR(__xludf.DUMMYFUNCTION("""COMPUTED_VALUE"""),"")</f>
        <v/>
      </c>
      <c r="AB141" s="74" t="str">
        <f>IFERROR(__xludf.DUMMYFUNCTION("""COMPUTED_VALUE"""),"")</f>
        <v/>
      </c>
    </row>
    <row r="142">
      <c r="A142" s="109">
        <f>IFERROR(__xludf.DUMMYFUNCTION("""COMPUTED_VALUE"""),45947.63057009259)</f>
        <v>45947.63057</v>
      </c>
      <c r="B142" s="81" t="str">
        <f>IFERROR(__xludf.DUMMYFUNCTION("""COMPUTED_VALUE"""),"Brynn Hornig")</f>
        <v>Brynn Hornig</v>
      </c>
      <c r="C142" s="74" t="b">
        <f>IFERROR(__xludf.DUMMYFUNCTION("""COMPUTED_VALUE"""),FALSE)</f>
        <v>0</v>
      </c>
      <c r="D142" s="137">
        <f>IFERROR(__xludf.DUMMYFUNCTION("""COMPUTED_VALUE"""),0.5520833333357587)</f>
        <v>0.5520833333</v>
      </c>
      <c r="E142" s="82">
        <f>IFERROR(__xludf.DUMMYFUNCTION("""COMPUTED_VALUE"""),0.0833333333284827)</f>
        <v>0.08333333333</v>
      </c>
      <c r="F142" s="137">
        <f>IFERROR(__xludf.DUMMYFUNCTION("""COMPUTED_VALUE"""),0.6354166666642413)</f>
        <v>0.6354166667</v>
      </c>
      <c r="G142" s="82">
        <f>IFERROR(__xludf.DUMMYFUNCTION("""COMPUTED_VALUE"""),0.0833333333284827)</f>
        <v>0.08333333333</v>
      </c>
      <c r="H142" s="115">
        <f>IFERROR(__xludf.DUMMYFUNCTION("""COMPUTED_VALUE"""),89.0)</f>
        <v>89</v>
      </c>
      <c r="I142" s="112">
        <f>IFERROR(__xludf.DUMMYFUNCTION("""COMPUTED_VALUE"""),44.50000000259024)</f>
        <v>44.5</v>
      </c>
      <c r="J142" s="74" t="str">
        <f>IFERROR(__xludf.DUMMYFUNCTION("""COMPUTED_VALUE"""),"Lunch")</f>
        <v>Lunch</v>
      </c>
      <c r="K142" s="113">
        <f>IFERROR(__xludf.DUMMYFUNCTION("""COMPUTED_VALUE"""),45947.0)</f>
        <v>45947</v>
      </c>
      <c r="L142" s="74" t="str">
        <f>IFERROR(__xludf.DUMMYFUNCTION("""COMPUTED_VALUE"""),"Friday")</f>
        <v>Friday</v>
      </c>
      <c r="M142" s="74" t="str">
        <f>IFERROR(__xludf.DUMMYFUNCTION("""COMPUTED_VALUE"""),"MF")</f>
        <v>MF</v>
      </c>
      <c r="N142" s="114">
        <f>IFERROR(__xludf.DUMMYFUNCTION("""COMPUTED_VALUE"""),0.9253705238602219)</f>
        <v>0.9253705239</v>
      </c>
      <c r="O142" s="74" t="str">
        <f>IFERROR(__xludf.DUMMYFUNCTION("""COMPUTED_VALUE"""),"")</f>
        <v/>
      </c>
      <c r="P142" s="74" t="str">
        <f>IFERROR(__xludf.DUMMYFUNCTION("""COMPUTED_VALUE"""),"")</f>
        <v/>
      </c>
      <c r="Q142" s="92" t="str">
        <f>IFERROR(__xludf.DUMMYFUNCTION("""COMPUTED_VALUE"""),"")</f>
        <v/>
      </c>
      <c r="R142" s="92" t="str">
        <f>IFERROR(__xludf.DUMMYFUNCTION("""COMPUTED_VALUE"""),"")</f>
        <v/>
      </c>
      <c r="S142" s="63" t="str">
        <f>IFERROR(__xludf.DUMMYFUNCTION("""COMPUTED_VALUE"""),"")</f>
        <v/>
      </c>
      <c r="T142" s="63" t="str">
        <f>IFERROR(__xludf.DUMMYFUNCTION("""COMPUTED_VALUE"""),"")</f>
        <v/>
      </c>
      <c r="U142" s="116" t="str">
        <f>IFERROR(__xludf.DUMMYFUNCTION("""COMPUTED_VALUE"""),"")</f>
        <v/>
      </c>
      <c r="V142" s="92" t="str">
        <f>IFERROR(__xludf.DUMMYFUNCTION("""COMPUTED_VALUE"""),"")</f>
        <v/>
      </c>
      <c r="W142" s="64" t="str">
        <f>IFERROR(__xludf.DUMMYFUNCTION("""COMPUTED_VALUE"""),"")</f>
        <v/>
      </c>
      <c r="X142" s="64" t="str">
        <f>IFERROR(__xludf.DUMMYFUNCTION("""COMPUTED_VALUE"""),"")</f>
        <v/>
      </c>
      <c r="Y142" s="114" t="str">
        <f>IFERROR(__xludf.DUMMYFUNCTION("""COMPUTED_VALUE"""),"")</f>
        <v/>
      </c>
      <c r="Z142" s="118" t="str">
        <f>IFERROR(__xludf.DUMMYFUNCTION("""COMPUTED_VALUE"""),"")</f>
        <v/>
      </c>
      <c r="AA142" s="118" t="str">
        <f>IFERROR(__xludf.DUMMYFUNCTION("""COMPUTED_VALUE"""),"")</f>
        <v/>
      </c>
      <c r="AB142" s="74" t="str">
        <f>IFERROR(__xludf.DUMMYFUNCTION("""COMPUTED_VALUE"""),"")</f>
        <v/>
      </c>
    </row>
    <row r="143">
      <c r="A143" s="109">
        <f>IFERROR(__xludf.DUMMYFUNCTION("""COMPUTED_VALUE"""),45947.762227349536)</f>
        <v>45947.76223</v>
      </c>
      <c r="B143" s="81" t="str">
        <f>IFERROR(__xludf.DUMMYFUNCTION("""COMPUTED_VALUE"""),"Emmett Khan")</f>
        <v>Emmett Khan</v>
      </c>
      <c r="C143" s="74" t="b">
        <f>IFERROR(__xludf.DUMMYFUNCTION("""COMPUTED_VALUE"""),FALSE)</f>
        <v>0</v>
      </c>
      <c r="D143" s="137">
        <f>IFERROR(__xludf.DUMMYFUNCTION("""COMPUTED_VALUE"""),0.6666666666642413)</f>
        <v>0.6666666667</v>
      </c>
      <c r="E143" s="82">
        <f>IFERROR(__xludf.DUMMYFUNCTION("""COMPUTED_VALUE"""),0.09375)</f>
        <v>0.09375</v>
      </c>
      <c r="F143" s="137">
        <f>IFERROR(__xludf.DUMMYFUNCTION("""COMPUTED_VALUE"""),0.7604166666642413)</f>
        <v>0.7604166667</v>
      </c>
      <c r="G143" s="82">
        <f>IFERROR(__xludf.DUMMYFUNCTION("""COMPUTED_VALUE"""),0.09375)</f>
        <v>0.09375</v>
      </c>
      <c r="H143" s="115">
        <f>IFERROR(__xludf.DUMMYFUNCTION("""COMPUTED_VALUE"""),156.0)</f>
        <v>156</v>
      </c>
      <c r="I143" s="112">
        <f>IFERROR(__xludf.DUMMYFUNCTION("""COMPUTED_VALUE"""),69.33333333333333)</f>
        <v>69.33333333</v>
      </c>
      <c r="J143" s="74" t="str">
        <f>IFERROR(__xludf.DUMMYFUNCTION("""COMPUTED_VALUE"""),"Dinner")</f>
        <v>Dinner</v>
      </c>
      <c r="K143" s="113">
        <f>IFERROR(__xludf.DUMMYFUNCTION("""COMPUTED_VALUE"""),45947.0)</f>
        <v>45947</v>
      </c>
      <c r="L143" s="74" t="str">
        <f>IFERROR(__xludf.DUMMYFUNCTION("""COMPUTED_VALUE"""),"Friday")</f>
        <v>Friday</v>
      </c>
      <c r="M143" s="74" t="str">
        <f>IFERROR(__xludf.DUMMYFUNCTION("""COMPUTED_VALUE"""),"MF")</f>
        <v>MF</v>
      </c>
      <c r="N143" s="114">
        <f>IFERROR(__xludf.DUMMYFUNCTION("""COMPUTED_VALUE"""),1.3662123734335831)</f>
        <v>1.366212373</v>
      </c>
      <c r="O143" s="74" t="str">
        <f>IFERROR(__xludf.DUMMYFUNCTION("""COMPUTED_VALUE"""),"")</f>
        <v/>
      </c>
      <c r="P143" s="74" t="str">
        <f>IFERROR(__xludf.DUMMYFUNCTION("""COMPUTED_VALUE"""),"")</f>
        <v/>
      </c>
      <c r="Q143" s="92" t="str">
        <f>IFERROR(__xludf.DUMMYFUNCTION("""COMPUTED_VALUE"""),"")</f>
        <v/>
      </c>
      <c r="R143" s="92" t="str">
        <f>IFERROR(__xludf.DUMMYFUNCTION("""COMPUTED_VALUE"""),"")</f>
        <v/>
      </c>
      <c r="S143" s="63" t="str">
        <f>IFERROR(__xludf.DUMMYFUNCTION("""COMPUTED_VALUE"""),"")</f>
        <v/>
      </c>
      <c r="T143" s="63" t="str">
        <f>IFERROR(__xludf.DUMMYFUNCTION("""COMPUTED_VALUE"""),"")</f>
        <v/>
      </c>
      <c r="U143" s="116" t="str">
        <f>IFERROR(__xludf.DUMMYFUNCTION("""COMPUTED_VALUE"""),"")</f>
        <v/>
      </c>
      <c r="V143" s="92" t="str">
        <f>IFERROR(__xludf.DUMMYFUNCTION("""COMPUTED_VALUE"""),"")</f>
        <v/>
      </c>
      <c r="W143" s="64" t="str">
        <f>IFERROR(__xludf.DUMMYFUNCTION("""COMPUTED_VALUE"""),"")</f>
        <v/>
      </c>
      <c r="X143" s="64" t="str">
        <f>IFERROR(__xludf.DUMMYFUNCTION("""COMPUTED_VALUE"""),"")</f>
        <v/>
      </c>
      <c r="Y143" s="114" t="str">
        <f>IFERROR(__xludf.DUMMYFUNCTION("""COMPUTED_VALUE"""),"")</f>
        <v/>
      </c>
      <c r="Z143" s="118" t="str">
        <f>IFERROR(__xludf.DUMMYFUNCTION("""COMPUTED_VALUE"""),"")</f>
        <v/>
      </c>
      <c r="AA143" s="118" t="str">
        <f>IFERROR(__xludf.DUMMYFUNCTION("""COMPUTED_VALUE"""),"")</f>
        <v/>
      </c>
      <c r="AB143" s="74" t="str">
        <f>IFERROR(__xludf.DUMMYFUNCTION("""COMPUTED_VALUE"""),"")</f>
        <v/>
      </c>
    </row>
    <row r="144">
      <c r="A144" s="109">
        <f>IFERROR(__xludf.DUMMYFUNCTION("""COMPUTED_VALUE"""),45947.865299363424)</f>
        <v>45947.8653</v>
      </c>
      <c r="B144" s="81" t="str">
        <f>IFERROR(__xludf.DUMMYFUNCTION("""COMPUTED_VALUE"""),"Elliott Haber")</f>
        <v>Elliott Haber</v>
      </c>
      <c r="C144" s="74" t="b">
        <f>IFERROR(__xludf.DUMMYFUNCTION("""COMPUTED_VALUE"""),FALSE)</f>
        <v>0</v>
      </c>
      <c r="D144" s="137">
        <f>IFERROR(__xludf.DUMMYFUNCTION("""COMPUTED_VALUE"""),0.7604166666642413)</f>
        <v>0.7604166667</v>
      </c>
      <c r="E144" s="82">
        <f>IFERROR(__xludf.DUMMYFUNCTION("""COMPUTED_VALUE"""),0.09375)</f>
        <v>0.09375</v>
      </c>
      <c r="F144" s="137">
        <f>IFERROR(__xludf.DUMMYFUNCTION("""COMPUTED_VALUE"""),0.8541666666642413)</f>
        <v>0.8541666667</v>
      </c>
      <c r="G144" s="82">
        <f>IFERROR(__xludf.DUMMYFUNCTION("""COMPUTED_VALUE"""),0.09375)</f>
        <v>0.09375</v>
      </c>
      <c r="H144" s="115">
        <f>IFERROR(__xludf.DUMMYFUNCTION("""COMPUTED_VALUE"""),97.0)</f>
        <v>97</v>
      </c>
      <c r="I144" s="112">
        <f>IFERROR(__xludf.DUMMYFUNCTION("""COMPUTED_VALUE"""),43.111111111111114)</f>
        <v>43.11111111</v>
      </c>
      <c r="J144" s="74" t="str">
        <f>IFERROR(__xludf.DUMMYFUNCTION("""COMPUTED_VALUE"""),"Dinner")</f>
        <v>Dinner</v>
      </c>
      <c r="K144" s="113">
        <f>IFERROR(__xludf.DUMMYFUNCTION("""COMPUTED_VALUE"""),45947.0)</f>
        <v>45947</v>
      </c>
      <c r="L144" s="74" t="str">
        <f>IFERROR(__xludf.DUMMYFUNCTION("""COMPUTED_VALUE"""),"Friday")</f>
        <v>Friday</v>
      </c>
      <c r="M144" s="74" t="str">
        <f>IFERROR(__xludf.DUMMYFUNCTION("""COMPUTED_VALUE"""),"MF")</f>
        <v>MF</v>
      </c>
      <c r="N144" s="114">
        <f>IFERROR(__xludf.DUMMYFUNCTION("""COMPUTED_VALUE"""),0.8495038475837025)</f>
        <v>0.8495038476</v>
      </c>
      <c r="O144" s="74">
        <f>IFERROR(__xludf.DUMMYFUNCTION("""COMPUTED_VALUE"""),342.0)</f>
        <v>342</v>
      </c>
      <c r="P144" s="74">
        <f>IFERROR(__xludf.DUMMYFUNCTION("""COMPUTED_VALUE"""),68.0)</f>
        <v>68</v>
      </c>
      <c r="Q144" s="92">
        <f>IFERROR(__xludf.DUMMYFUNCTION("""COMPUTED_VALUE"""),0.2708333333284827)</f>
        <v>0.2708333333</v>
      </c>
      <c r="R144" s="92">
        <f>IFERROR(__xludf.DUMMYFUNCTION("""COMPUTED_VALUE"""),0.0506944444423425)</f>
        <v>0.05069444444</v>
      </c>
      <c r="S144" s="63">
        <f>IFERROR(__xludf.DUMMYFUNCTION("""COMPUTED_VALUE"""),52.31481481567823)</f>
        <v>52.31481482</v>
      </c>
      <c r="T144" s="63">
        <f>IFERROR(__xludf.DUMMYFUNCTION("""COMPUTED_VALUE"""),55.89041096122149)</f>
        <v>55.89041096</v>
      </c>
      <c r="U144" s="116">
        <f>IFERROR(__xludf.DUMMYFUNCTION("""COMPUTED_VALUE"""),410.0)</f>
        <v>410</v>
      </c>
      <c r="V144" s="92">
        <f>IFERROR(__xludf.DUMMYFUNCTION("""COMPUTED_VALUE"""),0.3215277777708252)</f>
        <v>0.3215277778</v>
      </c>
      <c r="W144" s="64">
        <f>IFERROR(__xludf.DUMMYFUNCTION("""COMPUTED_VALUE"""),53.13174946119209)</f>
        <v>53.13174946</v>
      </c>
      <c r="X144" s="64">
        <f>IFERROR(__xludf.DUMMYFUNCTION("""COMPUTED_VALUE"""),53.208713852064044)</f>
        <v>53.20871385</v>
      </c>
      <c r="Y144" s="114">
        <f>IFERROR(__xludf.DUMMYFUNCTION("""COMPUTED_VALUE"""),1.1585736945100396)</f>
        <v>1.158573695</v>
      </c>
      <c r="Z144" s="118">
        <f>IFERROR(__xludf.DUMMYFUNCTION("""COMPUTED_VALUE"""),3601.0)</f>
        <v>3601</v>
      </c>
      <c r="AA144" s="118">
        <f>IFERROR(__xludf.DUMMYFUNCTION("""COMPUTED_VALUE"""),2222.0)</f>
        <v>2222</v>
      </c>
      <c r="AB144" s="118">
        <f>IFERROR(__xludf.DUMMYFUNCTION("""COMPUTED_VALUE"""),5823.0)</f>
        <v>5823</v>
      </c>
    </row>
    <row r="145">
      <c r="A145" s="109">
        <f>IFERROR(__xludf.DUMMYFUNCTION("""COMPUTED_VALUE"""),45950.43649923611)</f>
        <v>45950.4365</v>
      </c>
      <c r="B145" s="81" t="str">
        <f>IFERROR(__xludf.DUMMYFUNCTION("""COMPUTED_VALUE"""),"Sarah Wilme")</f>
        <v>Sarah Wilme</v>
      </c>
      <c r="C145" s="74" t="b">
        <f>IFERROR(__xludf.DUMMYFUNCTION("""COMPUTED_VALUE"""),FALSE)</f>
        <v>0</v>
      </c>
      <c r="D145" s="137">
        <f>IFERROR(__xludf.DUMMYFUNCTION("""COMPUTED_VALUE"""),0.30277777777519077)</f>
        <v>0.3027777778</v>
      </c>
      <c r="E145" s="82">
        <f>IFERROR(__xludf.DUMMYFUNCTION("""COMPUTED_VALUE"""),0.13333333333139308)</f>
        <v>0.1333333333</v>
      </c>
      <c r="F145" s="137">
        <f>IFERROR(__xludf.DUMMYFUNCTION("""COMPUTED_VALUE"""),0.43611111110658385)</f>
        <v>0.4361111111</v>
      </c>
      <c r="G145" s="82">
        <f>IFERROR(__xludf.DUMMYFUNCTION("""COMPUTED_VALUE"""),0.13333333333139308)</f>
        <v>0.1333333333</v>
      </c>
      <c r="H145" s="115">
        <f>IFERROR(__xludf.DUMMYFUNCTION("""COMPUTED_VALUE"""),76.0)</f>
        <v>76</v>
      </c>
      <c r="I145" s="112">
        <f>IFERROR(__xludf.DUMMYFUNCTION("""COMPUTED_VALUE"""),23.750000000345608)</f>
        <v>23.75</v>
      </c>
      <c r="J145" s="74" t="str">
        <f>IFERROR(__xludf.DUMMYFUNCTION("""COMPUTED_VALUE"""),"Breakfast")</f>
        <v>Breakfast</v>
      </c>
      <c r="K145" s="113">
        <f>IFERROR(__xludf.DUMMYFUNCTION("""COMPUTED_VALUE"""),45950.0)</f>
        <v>45950</v>
      </c>
      <c r="L145" s="74" t="str">
        <f>IFERROR(__xludf.DUMMYFUNCTION("""COMPUTED_VALUE"""),"Monday")</f>
        <v>Monday</v>
      </c>
      <c r="M145" s="74" t="str">
        <f>IFERROR(__xludf.DUMMYFUNCTION("""COMPUTED_VALUE"""),"BF")</f>
        <v>BF</v>
      </c>
      <c r="N145" s="114">
        <f>IFERROR(__xludf.DUMMYFUNCTION("""COMPUTED_VALUE"""),1.0058403811200531)</f>
        <v>1.005840381</v>
      </c>
      <c r="O145" s="74" t="str">
        <f>IFERROR(__xludf.DUMMYFUNCTION("""COMPUTED_VALUE"""),"")</f>
        <v/>
      </c>
      <c r="P145" s="74" t="str">
        <f>IFERROR(__xludf.DUMMYFUNCTION("""COMPUTED_VALUE"""),"")</f>
        <v/>
      </c>
      <c r="Q145" s="92" t="str">
        <f>IFERROR(__xludf.DUMMYFUNCTION("""COMPUTED_VALUE"""),"")</f>
        <v/>
      </c>
      <c r="R145" s="92" t="str">
        <f>IFERROR(__xludf.DUMMYFUNCTION("""COMPUTED_VALUE"""),"")</f>
        <v/>
      </c>
      <c r="S145" s="63" t="str">
        <f>IFERROR(__xludf.DUMMYFUNCTION("""COMPUTED_VALUE"""),"")</f>
        <v/>
      </c>
      <c r="T145" s="63" t="str">
        <f>IFERROR(__xludf.DUMMYFUNCTION("""COMPUTED_VALUE"""),"")</f>
        <v/>
      </c>
      <c r="U145" s="116" t="str">
        <f>IFERROR(__xludf.DUMMYFUNCTION("""COMPUTED_VALUE"""),"")</f>
        <v/>
      </c>
      <c r="V145" s="92" t="str">
        <f>IFERROR(__xludf.DUMMYFUNCTION("""COMPUTED_VALUE"""),"")</f>
        <v/>
      </c>
      <c r="W145" s="64" t="str">
        <f>IFERROR(__xludf.DUMMYFUNCTION("""COMPUTED_VALUE"""),"")</f>
        <v/>
      </c>
      <c r="X145" s="64" t="str">
        <f>IFERROR(__xludf.DUMMYFUNCTION("""COMPUTED_VALUE"""),"")</f>
        <v/>
      </c>
      <c r="Y145" s="114" t="str">
        <f>IFERROR(__xludf.DUMMYFUNCTION("""COMPUTED_VALUE"""),"")</f>
        <v/>
      </c>
      <c r="Z145" s="118" t="str">
        <f>IFERROR(__xludf.DUMMYFUNCTION("""COMPUTED_VALUE"""),"")</f>
        <v/>
      </c>
      <c r="AA145" s="118" t="str">
        <f>IFERROR(__xludf.DUMMYFUNCTION("""COMPUTED_VALUE"""),"")</f>
        <v/>
      </c>
      <c r="AB145" s="74" t="str">
        <f>IFERROR(__xludf.DUMMYFUNCTION("""COMPUTED_VALUE"""),"")</f>
        <v/>
      </c>
    </row>
    <row r="146">
      <c r="A146" s="109">
        <f>IFERROR(__xludf.DUMMYFUNCTION("""COMPUTED_VALUE"""),45950.49556805556)</f>
        <v>45950.49557</v>
      </c>
      <c r="B146" s="81" t="str">
        <f>IFERROR(__xludf.DUMMYFUNCTION("""COMPUTED_VALUE"""),"Oluwatimilehin Shodipe")</f>
        <v>Oluwatimilehin Shodipe</v>
      </c>
      <c r="C146" s="74" t="b">
        <f>IFERROR(__xludf.DUMMYFUNCTION("""COMPUTED_VALUE"""),FALSE)</f>
        <v>0</v>
      </c>
      <c r="D146" s="137">
        <f>IFERROR(__xludf.DUMMYFUNCTION("""COMPUTED_VALUE"""),0.44097222221898846)</f>
        <v>0.4409722222</v>
      </c>
      <c r="E146" s="82">
        <f>IFERROR(__xludf.DUMMYFUNCTION("""COMPUTED_VALUE"""),0.054861111114344885)</f>
        <v>0.05486111111</v>
      </c>
      <c r="F146" s="137">
        <f>IFERROR(__xludf.DUMMYFUNCTION("""COMPUTED_VALUE"""),0.49583333333333335)</f>
        <v>0.4958333333</v>
      </c>
      <c r="G146" s="82">
        <f>IFERROR(__xludf.DUMMYFUNCTION("""COMPUTED_VALUE"""),0.054861111114344885)</f>
        <v>0.05486111111</v>
      </c>
      <c r="H146" s="115">
        <f>IFERROR(__xludf.DUMMYFUNCTION("""COMPUTED_VALUE"""),63.0)</f>
        <v>63</v>
      </c>
      <c r="I146" s="112">
        <f>IFERROR(__xludf.DUMMYFUNCTION("""COMPUTED_VALUE"""),47.84810126300239)</f>
        <v>47.84810126</v>
      </c>
      <c r="J146" s="74" t="str">
        <f>IFERROR(__xludf.DUMMYFUNCTION("""COMPUTED_VALUE"""),"Breakfast/Lunch")</f>
        <v>Breakfast/Lunch</v>
      </c>
      <c r="K146" s="113">
        <f>IFERROR(__xludf.DUMMYFUNCTION("""COMPUTED_VALUE"""),45950.0)</f>
        <v>45950</v>
      </c>
      <c r="L146" s="74" t="str">
        <f>IFERROR(__xludf.DUMMYFUNCTION("""COMPUTED_VALUE"""),"Monday")</f>
        <v>Monday</v>
      </c>
      <c r="M146" s="74" t="str">
        <f>IFERROR(__xludf.DUMMYFUNCTION("""COMPUTED_VALUE"""),"BF")</f>
        <v>BF</v>
      </c>
      <c r="N146" s="114">
        <f>IFERROR(__xludf.DUMMYFUNCTION("""COMPUTED_VALUE"""),0.8402833659045835)</f>
        <v>0.8402833659</v>
      </c>
      <c r="O146" s="74" t="str">
        <f>IFERROR(__xludf.DUMMYFUNCTION("""COMPUTED_VALUE"""),"")</f>
        <v/>
      </c>
      <c r="P146" s="74" t="str">
        <f>IFERROR(__xludf.DUMMYFUNCTION("""COMPUTED_VALUE"""),"")</f>
        <v/>
      </c>
      <c r="Q146" s="92" t="str">
        <f>IFERROR(__xludf.DUMMYFUNCTION("""COMPUTED_VALUE"""),"")</f>
        <v/>
      </c>
      <c r="R146" s="92" t="str">
        <f>IFERROR(__xludf.DUMMYFUNCTION("""COMPUTED_VALUE"""),"")</f>
        <v/>
      </c>
      <c r="S146" s="63" t="str">
        <f>IFERROR(__xludf.DUMMYFUNCTION("""COMPUTED_VALUE"""),"")</f>
        <v/>
      </c>
      <c r="T146" s="63" t="str">
        <f>IFERROR(__xludf.DUMMYFUNCTION("""COMPUTED_VALUE"""),"")</f>
        <v/>
      </c>
      <c r="U146" s="116" t="str">
        <f>IFERROR(__xludf.DUMMYFUNCTION("""COMPUTED_VALUE"""),"")</f>
        <v/>
      </c>
      <c r="V146" s="92" t="str">
        <f>IFERROR(__xludf.DUMMYFUNCTION("""COMPUTED_VALUE"""),"")</f>
        <v/>
      </c>
      <c r="W146" s="64" t="str">
        <f>IFERROR(__xludf.DUMMYFUNCTION("""COMPUTED_VALUE"""),"")</f>
        <v/>
      </c>
      <c r="X146" s="64" t="str">
        <f>IFERROR(__xludf.DUMMYFUNCTION("""COMPUTED_VALUE"""),"")</f>
        <v/>
      </c>
      <c r="Y146" s="114" t="str">
        <f>IFERROR(__xludf.DUMMYFUNCTION("""COMPUTED_VALUE"""),"")</f>
        <v/>
      </c>
      <c r="Z146" s="118" t="str">
        <f>IFERROR(__xludf.DUMMYFUNCTION("""COMPUTED_VALUE"""),"")</f>
        <v/>
      </c>
      <c r="AA146" s="118" t="str">
        <f>IFERROR(__xludf.DUMMYFUNCTION("""COMPUTED_VALUE"""),"")</f>
        <v/>
      </c>
      <c r="AB146" s="74" t="str">
        <f>IFERROR(__xludf.DUMMYFUNCTION("""COMPUTED_VALUE"""),"")</f>
        <v/>
      </c>
    </row>
    <row r="147">
      <c r="A147" s="109">
        <f>IFERROR(__xludf.DUMMYFUNCTION("""COMPUTED_VALUE"""),45950.56153375)</f>
        <v>45950.56153</v>
      </c>
      <c r="B147" s="81" t="str">
        <f>IFERROR(__xludf.DUMMYFUNCTION("""COMPUTED_VALUE"""),"Orpheus Wilson")</f>
        <v>Orpheus Wilson</v>
      </c>
      <c r="C147" s="74" t="b">
        <f>IFERROR(__xludf.DUMMYFUNCTION("""COMPUTED_VALUE"""),FALSE)</f>
        <v>0</v>
      </c>
      <c r="D147" s="137">
        <f>IFERROR(__xludf.DUMMYFUNCTION("""COMPUTED_VALUE"""),0.48472222222335404)</f>
        <v>0.4847222222</v>
      </c>
      <c r="E147" s="82">
        <f>IFERROR(__xludf.DUMMYFUNCTION("""COMPUTED_VALUE"""),0.07638888888322981)</f>
        <v>0.07638888888</v>
      </c>
      <c r="F147" s="137">
        <f>IFERROR(__xludf.DUMMYFUNCTION("""COMPUTED_VALUE"""),0.5611111111065838)</f>
        <v>0.5611111111</v>
      </c>
      <c r="G147" s="82">
        <f>IFERROR(__xludf.DUMMYFUNCTION("""COMPUTED_VALUE"""),0.07638888888322981)</f>
        <v>0.07638888888</v>
      </c>
      <c r="H147" s="115">
        <f>IFERROR(__xludf.DUMMYFUNCTION("""COMPUTED_VALUE"""),138.0)</f>
        <v>138</v>
      </c>
      <c r="I147" s="112">
        <f>IFERROR(__xludf.DUMMYFUNCTION("""COMPUTED_VALUE"""),75.27272727830366)</f>
        <v>75.27272728</v>
      </c>
      <c r="J147" s="74" t="str">
        <f>IFERROR(__xludf.DUMMYFUNCTION("""COMPUTED_VALUE"""),"Lunch")</f>
        <v>Lunch</v>
      </c>
      <c r="K147" s="113">
        <f>IFERROR(__xludf.DUMMYFUNCTION("""COMPUTED_VALUE"""),45950.0)</f>
        <v>45950</v>
      </c>
      <c r="L147" s="74" t="str">
        <f>IFERROR(__xludf.DUMMYFUNCTION("""COMPUTED_VALUE"""),"Monday")</f>
        <v>Monday</v>
      </c>
      <c r="M147" s="74" t="str">
        <f>IFERROR(__xludf.DUMMYFUNCTION("""COMPUTED_VALUE"""),"MF")</f>
        <v>MF</v>
      </c>
      <c r="N147" s="114">
        <f>IFERROR(__xludf.DUMMYFUNCTION("""COMPUTED_VALUE"""),1.5652845633675734)</f>
        <v>1.565284563</v>
      </c>
      <c r="O147" s="74" t="str">
        <f>IFERROR(__xludf.DUMMYFUNCTION("""COMPUTED_VALUE"""),"")</f>
        <v/>
      </c>
      <c r="P147" s="74" t="str">
        <f>IFERROR(__xludf.DUMMYFUNCTION("""COMPUTED_VALUE"""),"")</f>
        <v/>
      </c>
      <c r="Q147" s="92" t="str">
        <f>IFERROR(__xludf.DUMMYFUNCTION("""COMPUTED_VALUE"""),"")</f>
        <v/>
      </c>
      <c r="R147" s="92" t="str">
        <f>IFERROR(__xludf.DUMMYFUNCTION("""COMPUTED_VALUE"""),"")</f>
        <v/>
      </c>
      <c r="S147" s="63" t="str">
        <f>IFERROR(__xludf.DUMMYFUNCTION("""COMPUTED_VALUE"""),"")</f>
        <v/>
      </c>
      <c r="T147" s="63" t="str">
        <f>IFERROR(__xludf.DUMMYFUNCTION("""COMPUTED_VALUE"""),"")</f>
        <v/>
      </c>
      <c r="U147" s="116" t="str">
        <f>IFERROR(__xludf.DUMMYFUNCTION("""COMPUTED_VALUE"""),"")</f>
        <v/>
      </c>
      <c r="V147" s="92" t="str">
        <f>IFERROR(__xludf.DUMMYFUNCTION("""COMPUTED_VALUE"""),"")</f>
        <v/>
      </c>
      <c r="W147" s="64" t="str">
        <f>IFERROR(__xludf.DUMMYFUNCTION("""COMPUTED_VALUE"""),"")</f>
        <v/>
      </c>
      <c r="X147" s="64" t="str">
        <f>IFERROR(__xludf.DUMMYFUNCTION("""COMPUTED_VALUE"""),"")</f>
        <v/>
      </c>
      <c r="Y147" s="114" t="str">
        <f>IFERROR(__xludf.DUMMYFUNCTION("""COMPUTED_VALUE"""),"")</f>
        <v/>
      </c>
      <c r="Z147" s="118" t="str">
        <f>IFERROR(__xludf.DUMMYFUNCTION("""COMPUTED_VALUE"""),"")</f>
        <v/>
      </c>
      <c r="AA147" s="118" t="str">
        <f>IFERROR(__xludf.DUMMYFUNCTION("""COMPUTED_VALUE"""),"")</f>
        <v/>
      </c>
      <c r="AB147" s="74" t="str">
        <f>IFERROR(__xludf.DUMMYFUNCTION("""COMPUTED_VALUE"""),"")</f>
        <v/>
      </c>
    </row>
    <row r="148">
      <c r="A148" s="109">
        <f>IFERROR(__xludf.DUMMYFUNCTION("""COMPUTED_VALUE"""),45950.632575972224)</f>
        <v>45950.63258</v>
      </c>
      <c r="B148" s="81" t="str">
        <f>IFERROR(__xludf.DUMMYFUNCTION("""COMPUTED_VALUE"""),"Greta Traynor")</f>
        <v>Greta Traynor</v>
      </c>
      <c r="C148" s="74" t="b">
        <f>IFERROR(__xludf.DUMMYFUNCTION("""COMPUTED_VALUE"""),FALSE)</f>
        <v>0</v>
      </c>
      <c r="D148" s="137">
        <f>IFERROR(__xludf.DUMMYFUNCTION("""COMPUTED_VALUE"""),0.5638888888934162)</f>
        <v>0.5638888889</v>
      </c>
      <c r="E148" s="82">
        <f>IFERROR(__xludf.DUMMYFUNCTION("""COMPUTED_VALUE"""),0.06666666666569654)</f>
        <v>0.06666666667</v>
      </c>
      <c r="F148" s="137">
        <f>IFERROR(__xludf.DUMMYFUNCTION("""COMPUTED_VALUE"""),0.6305555555591127)</f>
        <v>0.6305555556</v>
      </c>
      <c r="G148" s="82">
        <f>IFERROR(__xludf.DUMMYFUNCTION("""COMPUTED_VALUE"""),0.06666666666569654)</f>
        <v>0.06666666667</v>
      </c>
      <c r="H148" s="115">
        <f>IFERROR(__xludf.DUMMYFUNCTION("""COMPUTED_VALUE"""),70.0)</f>
        <v>70</v>
      </c>
      <c r="I148" s="112">
        <f>IFERROR(__xludf.DUMMYFUNCTION("""COMPUTED_VALUE"""),43.750000000636646)</f>
        <v>43.75</v>
      </c>
      <c r="J148" s="74" t="str">
        <f>IFERROR(__xludf.DUMMYFUNCTION("""COMPUTED_VALUE"""),"Lunch")</f>
        <v>Lunch</v>
      </c>
      <c r="K148" s="113">
        <f>IFERROR(__xludf.DUMMYFUNCTION("""COMPUTED_VALUE"""),45950.0)</f>
        <v>45950</v>
      </c>
      <c r="L148" s="74" t="str">
        <f>IFERROR(__xludf.DUMMYFUNCTION("""COMPUTED_VALUE"""),"Monday")</f>
        <v>Monday</v>
      </c>
      <c r="M148" s="74" t="str">
        <f>IFERROR(__xludf.DUMMYFUNCTION("""COMPUTED_VALUE"""),"MF")</f>
        <v>MF</v>
      </c>
      <c r="N148" s="114">
        <f>IFERROR(__xludf.DUMMYFUNCTION("""COMPUTED_VALUE"""),0.9097743913958946)</f>
        <v>0.9097743914</v>
      </c>
      <c r="O148" s="74" t="str">
        <f>IFERROR(__xludf.DUMMYFUNCTION("""COMPUTED_VALUE"""),"")</f>
        <v/>
      </c>
      <c r="P148" s="74" t="str">
        <f>IFERROR(__xludf.DUMMYFUNCTION("""COMPUTED_VALUE"""),"")</f>
        <v/>
      </c>
      <c r="Q148" s="92" t="str">
        <f>IFERROR(__xludf.DUMMYFUNCTION("""COMPUTED_VALUE"""),"")</f>
        <v/>
      </c>
      <c r="R148" s="92" t="str">
        <f>IFERROR(__xludf.DUMMYFUNCTION("""COMPUTED_VALUE"""),"")</f>
        <v/>
      </c>
      <c r="S148" s="63" t="str">
        <f>IFERROR(__xludf.DUMMYFUNCTION("""COMPUTED_VALUE"""),"")</f>
        <v/>
      </c>
      <c r="T148" s="63" t="str">
        <f>IFERROR(__xludf.DUMMYFUNCTION("""COMPUTED_VALUE"""),"")</f>
        <v/>
      </c>
      <c r="U148" s="116" t="str">
        <f>IFERROR(__xludf.DUMMYFUNCTION("""COMPUTED_VALUE"""),"")</f>
        <v/>
      </c>
      <c r="V148" s="92" t="str">
        <f>IFERROR(__xludf.DUMMYFUNCTION("""COMPUTED_VALUE"""),"")</f>
        <v/>
      </c>
      <c r="W148" s="64" t="str">
        <f>IFERROR(__xludf.DUMMYFUNCTION("""COMPUTED_VALUE"""),"")</f>
        <v/>
      </c>
      <c r="X148" s="64" t="str">
        <f>IFERROR(__xludf.DUMMYFUNCTION("""COMPUTED_VALUE"""),"")</f>
        <v/>
      </c>
      <c r="Y148" s="114" t="str">
        <f>IFERROR(__xludf.DUMMYFUNCTION("""COMPUTED_VALUE"""),"")</f>
        <v/>
      </c>
      <c r="Z148" s="118" t="str">
        <f>IFERROR(__xludf.DUMMYFUNCTION("""COMPUTED_VALUE"""),"")</f>
        <v/>
      </c>
      <c r="AA148" s="118" t="str">
        <f>IFERROR(__xludf.DUMMYFUNCTION("""COMPUTED_VALUE"""),"")</f>
        <v/>
      </c>
      <c r="AB148" s="74" t="str">
        <f>IFERROR(__xludf.DUMMYFUNCTION("""COMPUTED_VALUE"""),"")</f>
        <v/>
      </c>
    </row>
    <row r="149">
      <c r="A149" s="109">
        <f>IFERROR(__xludf.DUMMYFUNCTION("""COMPUTED_VALUE"""),45950.65369207176)</f>
        <v>45950.65369</v>
      </c>
      <c r="B149" s="81" t="str">
        <f>IFERROR(__xludf.DUMMYFUNCTION("""COMPUTED_VALUE"""),"Emma Korsu")</f>
        <v>Emma Korsu</v>
      </c>
      <c r="C149" s="74" t="b">
        <f>IFERROR(__xludf.DUMMYFUNCTION("""COMPUTED_VALUE"""),FALSE)</f>
        <v>0</v>
      </c>
      <c r="D149" s="137">
        <f>IFERROR(__xludf.DUMMYFUNCTION("""COMPUTED_VALUE"""),0.5027777777795563)</f>
        <v>0.5027777778</v>
      </c>
      <c r="E149" s="82">
        <f>IFERROR(__xludf.DUMMYFUNCTION("""COMPUTED_VALUE"""),0.1500000000014552)</f>
        <v>0.15</v>
      </c>
      <c r="F149" s="137">
        <f>IFERROR(__xludf.DUMMYFUNCTION("""COMPUTED_VALUE"""),0.6527777777810115)</f>
        <v>0.6527777778</v>
      </c>
      <c r="G149" s="82">
        <f>IFERROR(__xludf.DUMMYFUNCTION("""COMPUTED_VALUE"""),0.1500000000014552)</f>
        <v>0.15</v>
      </c>
      <c r="H149" s="115">
        <f>IFERROR(__xludf.DUMMYFUNCTION("""COMPUTED_VALUE"""),161.0)</f>
        <v>161</v>
      </c>
      <c r="I149" s="112">
        <f>IFERROR(__xludf.DUMMYFUNCTION("""COMPUTED_VALUE"""),44.72222222178836)</f>
        <v>44.72222222</v>
      </c>
      <c r="J149" s="74" t="str">
        <f>IFERROR(__xludf.DUMMYFUNCTION("""COMPUTED_VALUE"""),"Lunch")</f>
        <v>Lunch</v>
      </c>
      <c r="K149" s="113">
        <f>IFERROR(__xludf.DUMMYFUNCTION("""COMPUTED_VALUE"""),45950.0)</f>
        <v>45950</v>
      </c>
      <c r="L149" s="74" t="str">
        <f>IFERROR(__xludf.DUMMYFUNCTION("""COMPUTED_VALUE"""),"Monday")</f>
        <v>Monday</v>
      </c>
      <c r="M149" s="74" t="str">
        <f>IFERROR(__xludf.DUMMYFUNCTION("""COMPUTED_VALUE"""),"BF")</f>
        <v>BF</v>
      </c>
      <c r="N149" s="114">
        <f>IFERROR(__xludf.DUMMYFUNCTION("""COMPUTED_VALUE"""),1.151722342319067)</f>
        <v>1.151722342</v>
      </c>
      <c r="O149" s="74" t="str">
        <f>IFERROR(__xludf.DUMMYFUNCTION("""COMPUTED_VALUE"""),"")</f>
        <v/>
      </c>
      <c r="P149" s="74" t="str">
        <f>IFERROR(__xludf.DUMMYFUNCTION("""COMPUTED_VALUE"""),"")</f>
        <v/>
      </c>
      <c r="Q149" s="92" t="str">
        <f>IFERROR(__xludf.DUMMYFUNCTION("""COMPUTED_VALUE"""),"")</f>
        <v/>
      </c>
      <c r="R149" s="92" t="str">
        <f>IFERROR(__xludf.DUMMYFUNCTION("""COMPUTED_VALUE"""),"")</f>
        <v/>
      </c>
      <c r="S149" s="63" t="str">
        <f>IFERROR(__xludf.DUMMYFUNCTION("""COMPUTED_VALUE"""),"")</f>
        <v/>
      </c>
      <c r="T149" s="63" t="str">
        <f>IFERROR(__xludf.DUMMYFUNCTION("""COMPUTED_VALUE"""),"")</f>
        <v/>
      </c>
      <c r="U149" s="116" t="str">
        <f>IFERROR(__xludf.DUMMYFUNCTION("""COMPUTED_VALUE"""),"")</f>
        <v/>
      </c>
      <c r="V149" s="92" t="str">
        <f>IFERROR(__xludf.DUMMYFUNCTION("""COMPUTED_VALUE"""),"")</f>
        <v/>
      </c>
      <c r="W149" s="64" t="str">
        <f>IFERROR(__xludf.DUMMYFUNCTION("""COMPUTED_VALUE"""),"")</f>
        <v/>
      </c>
      <c r="X149" s="64" t="str">
        <f>IFERROR(__xludf.DUMMYFUNCTION("""COMPUTED_VALUE"""),"")</f>
        <v/>
      </c>
      <c r="Y149" s="114" t="str">
        <f>IFERROR(__xludf.DUMMYFUNCTION("""COMPUTED_VALUE"""),"")</f>
        <v/>
      </c>
      <c r="Z149" s="118" t="str">
        <f>IFERROR(__xludf.DUMMYFUNCTION("""COMPUTED_VALUE"""),"")</f>
        <v/>
      </c>
      <c r="AA149" s="118" t="str">
        <f>IFERROR(__xludf.DUMMYFUNCTION("""COMPUTED_VALUE"""),"")</f>
        <v/>
      </c>
      <c r="AB149" s="74" t="str">
        <f>IFERROR(__xludf.DUMMYFUNCTION("""COMPUTED_VALUE"""),"")</f>
        <v/>
      </c>
    </row>
    <row r="150">
      <c r="A150" s="109">
        <f>IFERROR(__xludf.DUMMYFUNCTION("""COMPUTED_VALUE"""),45950.76611474537)</f>
        <v>45950.76611</v>
      </c>
      <c r="B150" s="81" t="str">
        <f>IFERROR(__xludf.DUMMYFUNCTION("""COMPUTED_VALUE"""),"Maureen Surgot")</f>
        <v>Maureen Surgot</v>
      </c>
      <c r="C150" s="74" t="b">
        <f>IFERROR(__xludf.DUMMYFUNCTION("""COMPUTED_VALUE"""),FALSE)</f>
        <v>0</v>
      </c>
      <c r="D150" s="137">
        <f>IFERROR(__xludf.DUMMYFUNCTION("""COMPUTED_VALUE"""),0.6666666666642413)</f>
        <v>0.6666666667</v>
      </c>
      <c r="E150" s="82">
        <f>IFERROR(__xludf.DUMMYFUNCTION("""COMPUTED_VALUE"""),0.1041666666715173)</f>
        <v>0.1041666667</v>
      </c>
      <c r="F150" s="137">
        <f>IFERROR(__xludf.DUMMYFUNCTION("""COMPUTED_VALUE"""),0.7708333333357587)</f>
        <v>0.7708333333</v>
      </c>
      <c r="G150" s="82">
        <f>IFERROR(__xludf.DUMMYFUNCTION("""COMPUTED_VALUE"""),0.1041666666715173)</f>
        <v>0.1041666667</v>
      </c>
      <c r="H150" s="115">
        <f>IFERROR(__xludf.DUMMYFUNCTION("""COMPUTED_VALUE"""),74.0)</f>
        <v>74</v>
      </c>
      <c r="I150" s="112">
        <f>IFERROR(__xludf.DUMMYFUNCTION("""COMPUTED_VALUE"""),29.59999999862164)</f>
        <v>29.6</v>
      </c>
      <c r="J150" s="74" t="str">
        <f>IFERROR(__xludf.DUMMYFUNCTION("""COMPUTED_VALUE"""),"Dinner")</f>
        <v>Dinner</v>
      </c>
      <c r="K150" s="113">
        <f>IFERROR(__xludf.DUMMYFUNCTION("""COMPUTED_VALUE"""),45950.0)</f>
        <v>45950</v>
      </c>
      <c r="L150" s="74" t="str">
        <f>IFERROR(__xludf.DUMMYFUNCTION("""COMPUTED_VALUE"""),"Monday")</f>
        <v>Monday</v>
      </c>
      <c r="M150" s="74" t="str">
        <f>IFERROR(__xludf.DUMMYFUNCTION("""COMPUTED_VALUE"""),"MF")</f>
        <v>MF</v>
      </c>
      <c r="N150" s="114">
        <f>IFERROR(__xludf.DUMMYFUNCTION("""COMPUTED_VALUE"""),0.5832675901694846)</f>
        <v>0.5832675902</v>
      </c>
      <c r="O150" s="74" t="str">
        <f>IFERROR(__xludf.DUMMYFUNCTION("""COMPUTED_VALUE"""),"")</f>
        <v/>
      </c>
      <c r="P150" s="74" t="str">
        <f>IFERROR(__xludf.DUMMYFUNCTION("""COMPUTED_VALUE"""),"")</f>
        <v/>
      </c>
      <c r="Q150" s="92" t="str">
        <f>IFERROR(__xludf.DUMMYFUNCTION("""COMPUTED_VALUE"""),"")</f>
        <v/>
      </c>
      <c r="R150" s="92" t="str">
        <f>IFERROR(__xludf.DUMMYFUNCTION("""COMPUTED_VALUE"""),"")</f>
        <v/>
      </c>
      <c r="S150" s="63" t="str">
        <f>IFERROR(__xludf.DUMMYFUNCTION("""COMPUTED_VALUE"""),"")</f>
        <v/>
      </c>
      <c r="T150" s="63" t="str">
        <f>IFERROR(__xludf.DUMMYFUNCTION("""COMPUTED_VALUE"""),"")</f>
        <v/>
      </c>
      <c r="U150" s="116" t="str">
        <f>IFERROR(__xludf.DUMMYFUNCTION("""COMPUTED_VALUE"""),"")</f>
        <v/>
      </c>
      <c r="V150" s="92" t="str">
        <f>IFERROR(__xludf.DUMMYFUNCTION("""COMPUTED_VALUE"""),"")</f>
        <v/>
      </c>
      <c r="W150" s="64" t="str">
        <f>IFERROR(__xludf.DUMMYFUNCTION("""COMPUTED_VALUE"""),"")</f>
        <v/>
      </c>
      <c r="X150" s="64" t="str">
        <f>IFERROR(__xludf.DUMMYFUNCTION("""COMPUTED_VALUE"""),"")</f>
        <v/>
      </c>
      <c r="Y150" s="114" t="str">
        <f>IFERROR(__xludf.DUMMYFUNCTION("""COMPUTED_VALUE"""),"")</f>
        <v/>
      </c>
      <c r="Z150" s="118" t="str">
        <f>IFERROR(__xludf.DUMMYFUNCTION("""COMPUTED_VALUE"""),"")</f>
        <v/>
      </c>
      <c r="AA150" s="118" t="str">
        <f>IFERROR(__xludf.DUMMYFUNCTION("""COMPUTED_VALUE"""),"")</f>
        <v/>
      </c>
      <c r="AB150" s="74" t="str">
        <f>IFERROR(__xludf.DUMMYFUNCTION("""COMPUTED_VALUE"""),"")</f>
        <v/>
      </c>
    </row>
    <row r="151">
      <c r="A151" s="109">
        <f>IFERROR(__xludf.DUMMYFUNCTION("""COMPUTED_VALUE"""),45950.88186332176)</f>
        <v>45950.88186</v>
      </c>
      <c r="B151" s="81" t="str">
        <f>IFERROR(__xludf.DUMMYFUNCTION("""COMPUTED_VALUE"""),"Laila Maisuria")</f>
        <v>Laila Maisuria</v>
      </c>
      <c r="C151" s="74" t="b">
        <f>IFERROR(__xludf.DUMMYFUNCTION("""COMPUTED_VALUE"""),FALSE)</f>
        <v>0</v>
      </c>
      <c r="D151" s="137">
        <f>IFERROR(__xludf.DUMMYFUNCTION("""COMPUTED_VALUE"""),0.7708333333357587)</f>
        <v>0.7708333333</v>
      </c>
      <c r="E151" s="82">
        <f>IFERROR(__xludf.DUMMYFUNCTION("""COMPUTED_VALUE"""),0.09722222221898846)</f>
        <v>0.09722222222</v>
      </c>
      <c r="F151" s="137">
        <f>IFERROR(__xludf.DUMMYFUNCTION("""COMPUTED_VALUE"""),0.8680555555547471)</f>
        <v>0.8680555556</v>
      </c>
      <c r="G151" s="82">
        <f>IFERROR(__xludf.DUMMYFUNCTION("""COMPUTED_VALUE"""),0.09722222221898846)</f>
        <v>0.09722222222</v>
      </c>
      <c r="H151" s="115">
        <f>IFERROR(__xludf.DUMMYFUNCTION("""COMPUTED_VALUE"""),86.0)</f>
        <v>86</v>
      </c>
      <c r="I151" s="112">
        <f>IFERROR(__xludf.DUMMYFUNCTION("""COMPUTED_VALUE"""),36.85714285836878)</f>
        <v>36.85714286</v>
      </c>
      <c r="J151" s="74" t="str">
        <f>IFERROR(__xludf.DUMMYFUNCTION("""COMPUTED_VALUE"""),"Dinner")</f>
        <v>Dinner</v>
      </c>
      <c r="K151" s="113">
        <f>IFERROR(__xludf.DUMMYFUNCTION("""COMPUTED_VALUE"""),45950.0)</f>
        <v>45950</v>
      </c>
      <c r="L151" s="74" t="str">
        <f>IFERROR(__xludf.DUMMYFUNCTION("""COMPUTED_VALUE"""),"Monday")</f>
        <v>Monday</v>
      </c>
      <c r="M151" s="74" t="str">
        <f>IFERROR(__xludf.DUMMYFUNCTION("""COMPUTED_VALUE"""),"MF")</f>
        <v>MF</v>
      </c>
      <c r="N151" s="114">
        <f>IFERROR(__xludf.DUMMYFUNCTION("""COMPUTED_VALUE"""),0.7262694897477787)</f>
        <v>0.7262694897</v>
      </c>
      <c r="O151" s="74" t="str">
        <f>IFERROR(__xludf.DUMMYFUNCTION("""COMPUTED_VALUE"""),"")</f>
        <v/>
      </c>
      <c r="P151" s="74" t="str">
        <f>IFERROR(__xludf.DUMMYFUNCTION("""COMPUTED_VALUE"""),"")</f>
        <v/>
      </c>
      <c r="Q151" s="92" t="str">
        <f>IFERROR(__xludf.DUMMYFUNCTION("""COMPUTED_VALUE"""),"")</f>
        <v/>
      </c>
      <c r="R151" s="92" t="str">
        <f>IFERROR(__xludf.DUMMYFUNCTION("""COMPUTED_VALUE"""),"")</f>
        <v/>
      </c>
      <c r="S151" s="63" t="str">
        <f>IFERROR(__xludf.DUMMYFUNCTION("""COMPUTED_VALUE"""),"")</f>
        <v/>
      </c>
      <c r="T151" s="63" t="str">
        <f>IFERROR(__xludf.DUMMYFUNCTION("""COMPUTED_VALUE"""),"")</f>
        <v/>
      </c>
      <c r="U151" s="116" t="str">
        <f>IFERROR(__xludf.DUMMYFUNCTION("""COMPUTED_VALUE"""),"")</f>
        <v/>
      </c>
      <c r="V151" s="92" t="str">
        <f>IFERROR(__xludf.DUMMYFUNCTION("""COMPUTED_VALUE"""),"")</f>
        <v/>
      </c>
      <c r="W151" s="64" t="str">
        <f>IFERROR(__xludf.DUMMYFUNCTION("""COMPUTED_VALUE"""),"")</f>
        <v/>
      </c>
      <c r="X151" s="64" t="str">
        <f>IFERROR(__xludf.DUMMYFUNCTION("""COMPUTED_VALUE"""),"")</f>
        <v/>
      </c>
      <c r="Y151" s="114" t="str">
        <f>IFERROR(__xludf.DUMMYFUNCTION("""COMPUTED_VALUE"""),"")</f>
        <v/>
      </c>
      <c r="Z151" s="118" t="str">
        <f>IFERROR(__xludf.DUMMYFUNCTION("""COMPUTED_VALUE"""),"")</f>
        <v/>
      </c>
      <c r="AA151" s="118" t="str">
        <f>IFERROR(__xludf.DUMMYFUNCTION("""COMPUTED_VALUE"""),"")</f>
        <v/>
      </c>
      <c r="AB151" s="74" t="str">
        <f>IFERROR(__xludf.DUMMYFUNCTION("""COMPUTED_VALUE"""),"")</f>
        <v/>
      </c>
    </row>
    <row r="152">
      <c r="A152" s="109">
        <f>IFERROR(__xludf.DUMMYFUNCTION("""COMPUTED_VALUE"""),45950.895965358795)</f>
        <v>45950.89597</v>
      </c>
      <c r="B152" s="81" t="str">
        <f>IFERROR(__xludf.DUMMYFUNCTION("""COMPUTED_VALUE"""),"Kaylie Forgue")</f>
        <v>Kaylie Forgue</v>
      </c>
      <c r="C152" s="74" t="b">
        <f>IFERROR(__xludf.DUMMYFUNCTION("""COMPUTED_VALUE"""),FALSE)</f>
        <v>0</v>
      </c>
      <c r="D152" s="137">
        <f>IFERROR(__xludf.DUMMYFUNCTION("""COMPUTED_VALUE"""),0.6888888888934162)</f>
        <v>0.6888888889</v>
      </c>
      <c r="E152" s="82">
        <f>IFERROR(__xludf.DUMMYFUNCTION("""COMPUTED_VALUE"""),0.17152777776937)</f>
        <v>0.1715277778</v>
      </c>
      <c r="F152" s="137">
        <f>IFERROR(__xludf.DUMMYFUNCTION("""COMPUTED_VALUE"""),0.8604166666627862)</f>
        <v>0.8604166667</v>
      </c>
      <c r="G152" s="82">
        <f>IFERROR(__xludf.DUMMYFUNCTION("""COMPUTED_VALUE"""),0.17152777776937)</f>
        <v>0.1715277778</v>
      </c>
      <c r="H152" s="115">
        <f>IFERROR(__xludf.DUMMYFUNCTION("""COMPUTED_VALUE"""),175.0)</f>
        <v>175</v>
      </c>
      <c r="I152" s="112">
        <f>IFERROR(__xludf.DUMMYFUNCTION("""COMPUTED_VALUE"""),42.5101214595736)</f>
        <v>42.51012146</v>
      </c>
      <c r="J152" s="74" t="str">
        <f>IFERROR(__xludf.DUMMYFUNCTION("""COMPUTED_VALUE"""),"Dinner")</f>
        <v>Dinner</v>
      </c>
      <c r="K152" s="113">
        <f>IFERROR(__xludf.DUMMYFUNCTION("""COMPUTED_VALUE"""),45950.0)</f>
        <v>45950</v>
      </c>
      <c r="L152" s="74" t="str">
        <f>IFERROR(__xludf.DUMMYFUNCTION("""COMPUTED_VALUE"""),"Monday")</f>
        <v>Monday</v>
      </c>
      <c r="M152" s="74" t="str">
        <f>IFERROR(__xludf.DUMMYFUNCTION("""COMPUTED_VALUE"""),"BF")</f>
        <v>BF</v>
      </c>
      <c r="N152" s="114">
        <f>IFERROR(__xludf.DUMMYFUNCTION("""COMPUTED_VALUE"""),1.0032246214805638)</f>
        <v>1.003224621</v>
      </c>
      <c r="O152" s="74">
        <f>IFERROR(__xludf.DUMMYFUNCTION("""COMPUTED_VALUE"""),368.0)</f>
        <v>368</v>
      </c>
      <c r="P152" s="74">
        <f>IFERROR(__xludf.DUMMYFUNCTION("""COMPUTED_VALUE"""),475.0)</f>
        <v>475</v>
      </c>
      <c r="Q152" s="92">
        <f>IFERROR(__xludf.DUMMYFUNCTION("""COMPUTED_VALUE"""),0.3444444444394321)</f>
        <v>0.3444444444</v>
      </c>
      <c r="R152" s="92">
        <f>IFERROR(__xludf.DUMMYFUNCTION("""COMPUTED_VALUE"""),0.5097222222165632)</f>
        <v>0.5097222222</v>
      </c>
      <c r="S152" s="63">
        <f>IFERROR(__xludf.DUMMYFUNCTION("""COMPUTED_VALUE"""),46.36996753398268)</f>
        <v>46.36996753</v>
      </c>
      <c r="T152" s="63">
        <f>IFERROR(__xludf.DUMMYFUNCTION("""COMPUTED_VALUE"""),39.707611236177485)</f>
        <v>39.70761124</v>
      </c>
      <c r="U152" s="116">
        <f>IFERROR(__xludf.DUMMYFUNCTION("""COMPUTED_VALUE"""),843.0)</f>
        <v>843</v>
      </c>
      <c r="V152" s="92">
        <f>IFERROR(__xludf.DUMMYFUNCTION("""COMPUTED_VALUE"""),0.8541666666559953)</f>
        <v>0.8541666667</v>
      </c>
      <c r="W152" s="64">
        <f>IFERROR(__xludf.DUMMYFUNCTION("""COMPUTED_VALUE"""),41.12195122002595)</f>
        <v>41.12195122</v>
      </c>
      <c r="X152" s="64">
        <f>IFERROR(__xludf.DUMMYFUNCTION("""COMPUTED_VALUE"""),43.038789385080086)</f>
        <v>43.03878939</v>
      </c>
      <c r="Y152" s="114">
        <f>IFERROR(__xludf.DUMMYFUNCTION("""COMPUTED_VALUE"""),0.9792389030609701)</f>
        <v>0.9792389031</v>
      </c>
      <c r="Z152" s="118">
        <f>IFERROR(__xludf.DUMMYFUNCTION("""COMPUTED_VALUE"""),3630.0)</f>
        <v>3630</v>
      </c>
      <c r="AA152" s="118">
        <f>IFERROR(__xludf.DUMMYFUNCTION("""COMPUTED_VALUE"""),4480.0)</f>
        <v>4480</v>
      </c>
      <c r="AB152" s="118">
        <f>IFERROR(__xludf.DUMMYFUNCTION("""COMPUTED_VALUE"""),8110.0)</f>
        <v>8110</v>
      </c>
    </row>
    <row r="153">
      <c r="A153" s="109">
        <f>IFERROR(__xludf.DUMMYFUNCTION("""COMPUTED_VALUE"""),45951.47829608797)</f>
        <v>45951.4783</v>
      </c>
      <c r="B153" s="81" t="str">
        <f>IFERROR(__xludf.DUMMYFUNCTION("""COMPUTED_VALUE"""),"Emmett Khan")</f>
        <v>Emmett Khan</v>
      </c>
      <c r="C153" s="74" t="b">
        <f>IFERROR(__xludf.DUMMYFUNCTION("""COMPUTED_VALUE"""),FALSE)</f>
        <v>0</v>
      </c>
      <c r="D153" s="137">
        <f>IFERROR(__xludf.DUMMYFUNCTION("""COMPUTED_VALUE"""),0.39583333333575865)</f>
        <v>0.3958333333</v>
      </c>
      <c r="E153" s="82">
        <f>IFERROR(__xludf.DUMMYFUNCTION("""COMPUTED_VALUE"""),0.0833333333284827)</f>
        <v>0.08333333333</v>
      </c>
      <c r="F153" s="137">
        <f>IFERROR(__xludf.DUMMYFUNCTION("""COMPUTED_VALUE"""),0.47916666666424135)</f>
        <v>0.4791666667</v>
      </c>
      <c r="G153" s="82">
        <f>IFERROR(__xludf.DUMMYFUNCTION("""COMPUTED_VALUE"""),0.0833333333284827)</f>
        <v>0.08333333333</v>
      </c>
      <c r="H153" s="115">
        <f>IFERROR(__xludf.DUMMYFUNCTION("""COMPUTED_VALUE"""),134.0)</f>
        <v>134</v>
      </c>
      <c r="I153" s="112">
        <f>IFERROR(__xludf.DUMMYFUNCTION("""COMPUTED_VALUE"""),67.00000000389991)</f>
        <v>67</v>
      </c>
      <c r="J153" s="74" t="str">
        <f>IFERROR(__xludf.DUMMYFUNCTION("""COMPUTED_VALUE"""),"Breakfast/Lunch")</f>
        <v>Breakfast/Lunch</v>
      </c>
      <c r="K153" s="113">
        <f>IFERROR(__xludf.DUMMYFUNCTION("""COMPUTED_VALUE"""),45951.0)</f>
        <v>45951</v>
      </c>
      <c r="L153" s="74" t="str">
        <f>IFERROR(__xludf.DUMMYFUNCTION("""COMPUTED_VALUE"""),"Tuesday")</f>
        <v>Tuesday</v>
      </c>
      <c r="M153" s="74" t="str">
        <f>IFERROR(__xludf.DUMMYFUNCTION("""COMPUTED_VALUE"""),"BF")</f>
        <v>BF</v>
      </c>
      <c r="N153" s="114">
        <f>IFERROR(__xludf.DUMMYFUNCTION("""COMPUTED_VALUE"""),1.1766190095910078)</f>
        <v>1.17661901</v>
      </c>
      <c r="O153" s="74" t="str">
        <f>IFERROR(__xludf.DUMMYFUNCTION("""COMPUTED_VALUE"""),"")</f>
        <v/>
      </c>
      <c r="P153" s="74" t="str">
        <f>IFERROR(__xludf.DUMMYFUNCTION("""COMPUTED_VALUE"""),"")</f>
        <v/>
      </c>
      <c r="Q153" s="92" t="str">
        <f>IFERROR(__xludf.DUMMYFUNCTION("""COMPUTED_VALUE"""),"")</f>
        <v/>
      </c>
      <c r="R153" s="92" t="str">
        <f>IFERROR(__xludf.DUMMYFUNCTION("""COMPUTED_VALUE"""),"")</f>
        <v/>
      </c>
      <c r="S153" s="63" t="str">
        <f>IFERROR(__xludf.DUMMYFUNCTION("""COMPUTED_VALUE"""),"")</f>
        <v/>
      </c>
      <c r="T153" s="63" t="str">
        <f>IFERROR(__xludf.DUMMYFUNCTION("""COMPUTED_VALUE"""),"")</f>
        <v/>
      </c>
      <c r="U153" s="116" t="str">
        <f>IFERROR(__xludf.DUMMYFUNCTION("""COMPUTED_VALUE"""),"")</f>
        <v/>
      </c>
      <c r="V153" s="92" t="str">
        <f>IFERROR(__xludf.DUMMYFUNCTION("""COMPUTED_VALUE"""),"")</f>
        <v/>
      </c>
      <c r="W153" s="64" t="str">
        <f>IFERROR(__xludf.DUMMYFUNCTION("""COMPUTED_VALUE"""),"")</f>
        <v/>
      </c>
      <c r="X153" s="64" t="str">
        <f>IFERROR(__xludf.DUMMYFUNCTION("""COMPUTED_VALUE"""),"")</f>
        <v/>
      </c>
      <c r="Y153" s="114" t="str">
        <f>IFERROR(__xludf.DUMMYFUNCTION("""COMPUTED_VALUE"""),"")</f>
        <v/>
      </c>
      <c r="Z153" s="118" t="str">
        <f>IFERROR(__xludf.DUMMYFUNCTION("""COMPUTED_VALUE"""),"")</f>
        <v/>
      </c>
      <c r="AA153" s="118" t="str">
        <f>IFERROR(__xludf.DUMMYFUNCTION("""COMPUTED_VALUE"""),"")</f>
        <v/>
      </c>
      <c r="AB153" s="74" t="str">
        <f>IFERROR(__xludf.DUMMYFUNCTION("""COMPUTED_VALUE"""),"")</f>
        <v/>
      </c>
    </row>
    <row r="154">
      <c r="A154" s="109">
        <f>IFERROR(__xludf.DUMMYFUNCTION("""COMPUTED_VALUE"""),45951.57807944444)</f>
        <v>45951.57808</v>
      </c>
      <c r="B154" s="81" t="str">
        <f>IFERROR(__xludf.DUMMYFUNCTION("""COMPUTED_VALUE"""),"Maureen Surgot")</f>
        <v>Maureen Surgot</v>
      </c>
      <c r="C154" s="74" t="b">
        <f>IFERROR(__xludf.DUMMYFUNCTION("""COMPUTED_VALUE"""),FALSE)</f>
        <v>0</v>
      </c>
      <c r="D154" s="137">
        <f>IFERROR(__xludf.DUMMYFUNCTION("""COMPUTED_VALUE"""),0.47916666666424135)</f>
        <v>0.4791666667</v>
      </c>
      <c r="E154" s="82">
        <f>IFERROR(__xludf.DUMMYFUNCTION("""COMPUTED_VALUE"""),0.1041666666715173)</f>
        <v>0.1041666667</v>
      </c>
      <c r="F154" s="137">
        <f>IFERROR(__xludf.DUMMYFUNCTION("""COMPUTED_VALUE"""),0.5833333333357587)</f>
        <v>0.5833333333</v>
      </c>
      <c r="G154" s="82">
        <f>IFERROR(__xludf.DUMMYFUNCTION("""COMPUTED_VALUE"""),0.1041666666715173)</f>
        <v>0.1041666667</v>
      </c>
      <c r="H154" s="115">
        <f>IFERROR(__xludf.DUMMYFUNCTION("""COMPUTED_VALUE"""),92.0)</f>
        <v>92</v>
      </c>
      <c r="I154" s="112">
        <f>IFERROR(__xludf.DUMMYFUNCTION("""COMPUTED_VALUE"""),36.79999999828637)</f>
        <v>36.8</v>
      </c>
      <c r="J154" s="74" t="str">
        <f>IFERROR(__xludf.DUMMYFUNCTION("""COMPUTED_VALUE"""),"Lunch")</f>
        <v>Lunch</v>
      </c>
      <c r="K154" s="113">
        <f>IFERROR(__xludf.DUMMYFUNCTION("""COMPUTED_VALUE"""),45951.0)</f>
        <v>45951</v>
      </c>
      <c r="L154" s="74" t="str">
        <f>IFERROR(__xludf.DUMMYFUNCTION("""COMPUTED_VALUE"""),"Tuesday")</f>
        <v>Tuesday</v>
      </c>
      <c r="M154" s="74" t="str">
        <f>IFERROR(__xludf.DUMMYFUNCTION("""COMPUTED_VALUE"""),"MF")</f>
        <v>MF</v>
      </c>
      <c r="N154" s="114">
        <f>IFERROR(__xludf.DUMMYFUNCTION("""COMPUTED_VALUE"""),0.7652502308873761)</f>
        <v>0.7652502309</v>
      </c>
      <c r="O154" s="74" t="str">
        <f>IFERROR(__xludf.DUMMYFUNCTION("""COMPUTED_VALUE"""),"")</f>
        <v/>
      </c>
      <c r="P154" s="74" t="str">
        <f>IFERROR(__xludf.DUMMYFUNCTION("""COMPUTED_VALUE"""),"")</f>
        <v/>
      </c>
      <c r="Q154" s="82" t="str">
        <f>IFERROR(__xludf.DUMMYFUNCTION("""COMPUTED_VALUE"""),"")</f>
        <v/>
      </c>
      <c r="R154" s="82" t="str">
        <f>IFERROR(__xludf.DUMMYFUNCTION("""COMPUTED_VALUE"""),"")</f>
        <v/>
      </c>
      <c r="S154" s="63" t="str">
        <f>IFERROR(__xludf.DUMMYFUNCTION("""COMPUTED_VALUE"""),"")</f>
        <v/>
      </c>
      <c r="T154" s="63" t="str">
        <f>IFERROR(__xludf.DUMMYFUNCTION("""COMPUTED_VALUE"""),"")</f>
        <v/>
      </c>
      <c r="U154" s="138" t="str">
        <f>IFERROR(__xludf.DUMMYFUNCTION("""COMPUTED_VALUE"""),"")</f>
        <v/>
      </c>
      <c r="V154" s="82" t="str">
        <f>IFERROR(__xludf.DUMMYFUNCTION("""COMPUTED_VALUE"""),"")</f>
        <v/>
      </c>
      <c r="W154" s="64" t="str">
        <f>IFERROR(__xludf.DUMMYFUNCTION("""COMPUTED_VALUE"""),"")</f>
        <v/>
      </c>
      <c r="X154" s="64" t="str">
        <f>IFERROR(__xludf.DUMMYFUNCTION("""COMPUTED_VALUE"""),"")</f>
        <v/>
      </c>
      <c r="Y154" s="114" t="str">
        <f>IFERROR(__xludf.DUMMYFUNCTION("""COMPUTED_VALUE"""),"")</f>
        <v/>
      </c>
      <c r="Z154" s="118" t="str">
        <f>IFERROR(__xludf.DUMMYFUNCTION("""COMPUTED_VALUE"""),"")</f>
        <v/>
      </c>
      <c r="AA154" s="118" t="str">
        <f>IFERROR(__xludf.DUMMYFUNCTION("""COMPUTED_VALUE"""),"")</f>
        <v/>
      </c>
      <c r="AB154" s="74" t="str">
        <f>IFERROR(__xludf.DUMMYFUNCTION("""COMPUTED_VALUE"""),"")</f>
        <v/>
      </c>
    </row>
    <row r="155">
      <c r="A155" s="109">
        <f>IFERROR(__xludf.DUMMYFUNCTION("""COMPUTED_VALUE"""),45951.65189869213)</f>
        <v>45951.6519</v>
      </c>
      <c r="B155" s="81" t="str">
        <f>IFERROR(__xludf.DUMMYFUNCTION("""COMPUTED_VALUE"""),"Brynn Hornig")</f>
        <v>Brynn Hornig</v>
      </c>
      <c r="C155" s="74" t="b">
        <f>IFERROR(__xludf.DUMMYFUNCTION("""COMPUTED_VALUE"""),FALSE)</f>
        <v>0</v>
      </c>
      <c r="D155" s="137">
        <f>IFERROR(__xludf.DUMMYFUNCTION("""COMPUTED_VALUE"""),0.5208333333357587)</f>
        <v>0.5208333333</v>
      </c>
      <c r="E155" s="82">
        <f>IFERROR(__xludf.DUMMYFUNCTION("""COMPUTED_VALUE"""),0.13541666666424135)</f>
        <v>0.1354166667</v>
      </c>
      <c r="F155" s="137">
        <f>IFERROR(__xludf.DUMMYFUNCTION("""COMPUTED_VALUE"""),0.65625)</f>
        <v>0.65625</v>
      </c>
      <c r="G155" s="82">
        <f>IFERROR(__xludf.DUMMYFUNCTION("""COMPUTED_VALUE"""),0.13541666666424135)</f>
        <v>0.1354166667</v>
      </c>
      <c r="H155" s="115">
        <f>IFERROR(__xludf.DUMMYFUNCTION("""COMPUTED_VALUE"""),113.0)</f>
        <v>113</v>
      </c>
      <c r="I155" s="112">
        <f>IFERROR(__xludf.DUMMYFUNCTION("""COMPUTED_VALUE"""),34.769230769853486)</f>
        <v>34.76923077</v>
      </c>
      <c r="J155" s="74" t="str">
        <f>IFERROR(__xludf.DUMMYFUNCTION("""COMPUTED_VALUE"""),"Lunch")</f>
        <v>Lunch</v>
      </c>
      <c r="K155" s="113">
        <f>IFERROR(__xludf.DUMMYFUNCTION("""COMPUTED_VALUE"""),45951.0)</f>
        <v>45951</v>
      </c>
      <c r="L155" s="74" t="str">
        <f>IFERROR(__xludf.DUMMYFUNCTION("""COMPUTED_VALUE"""),"Tuesday")</f>
        <v>Tuesday</v>
      </c>
      <c r="M155" s="74" t="str">
        <f>IFERROR(__xludf.DUMMYFUNCTION("""COMPUTED_VALUE"""),"BF")</f>
        <v>BF</v>
      </c>
      <c r="N155" s="114">
        <f>IFERROR(__xludf.DUMMYFUNCTION("""COMPUTED_VALUE"""),0.8954049667813339)</f>
        <v>0.8954049668</v>
      </c>
      <c r="O155" s="74" t="str">
        <f>IFERROR(__xludf.DUMMYFUNCTION("""COMPUTED_VALUE"""),"")</f>
        <v/>
      </c>
      <c r="P155" s="74" t="str">
        <f>IFERROR(__xludf.DUMMYFUNCTION("""COMPUTED_VALUE"""),"")</f>
        <v/>
      </c>
      <c r="Q155" s="82" t="str">
        <f>IFERROR(__xludf.DUMMYFUNCTION("""COMPUTED_VALUE"""),"")</f>
        <v/>
      </c>
      <c r="R155" s="82" t="str">
        <f>IFERROR(__xludf.DUMMYFUNCTION("""COMPUTED_VALUE"""),"")</f>
        <v/>
      </c>
      <c r="S155" s="63" t="str">
        <f>IFERROR(__xludf.DUMMYFUNCTION("""COMPUTED_VALUE"""),"")</f>
        <v/>
      </c>
      <c r="T155" s="63" t="str">
        <f>IFERROR(__xludf.DUMMYFUNCTION("""COMPUTED_VALUE"""),"")</f>
        <v/>
      </c>
      <c r="U155" s="138" t="str">
        <f>IFERROR(__xludf.DUMMYFUNCTION("""COMPUTED_VALUE"""),"")</f>
        <v/>
      </c>
      <c r="V155" s="82" t="str">
        <f>IFERROR(__xludf.DUMMYFUNCTION("""COMPUTED_VALUE"""),"")</f>
        <v/>
      </c>
      <c r="W155" s="64" t="str">
        <f>IFERROR(__xludf.DUMMYFUNCTION("""COMPUTED_VALUE"""),"")</f>
        <v/>
      </c>
      <c r="X155" s="64" t="str">
        <f>IFERROR(__xludf.DUMMYFUNCTION("""COMPUTED_VALUE"""),"")</f>
        <v/>
      </c>
      <c r="Y155" s="114" t="str">
        <f>IFERROR(__xludf.DUMMYFUNCTION("""COMPUTED_VALUE"""),"")</f>
        <v/>
      </c>
      <c r="Z155" s="118" t="str">
        <f>IFERROR(__xludf.DUMMYFUNCTION("""COMPUTED_VALUE"""),"")</f>
        <v/>
      </c>
      <c r="AA155" s="118" t="str">
        <f>IFERROR(__xludf.DUMMYFUNCTION("""COMPUTED_VALUE"""),"")</f>
        <v/>
      </c>
      <c r="AB155" s="74" t="str">
        <f>IFERROR(__xludf.DUMMYFUNCTION("""COMPUTED_VALUE"""),"")</f>
        <v/>
      </c>
    </row>
    <row r="156">
      <c r="A156" s="109">
        <f>IFERROR(__xludf.DUMMYFUNCTION("""COMPUTED_VALUE"""),45951.8662915162)</f>
        <v>45951.86629</v>
      </c>
      <c r="B156" s="81" t="str">
        <f>IFERROR(__xludf.DUMMYFUNCTION("""COMPUTED_VALUE"""),"Kaylie Forgue")</f>
        <v>Kaylie Forgue</v>
      </c>
      <c r="C156" s="74" t="b">
        <f>IFERROR(__xludf.DUMMYFUNCTION("""COMPUTED_VALUE"""),FALSE)</f>
        <v>0</v>
      </c>
      <c r="D156" s="137">
        <f>IFERROR(__xludf.DUMMYFUNCTION("""COMPUTED_VALUE"""),0.7881944444452529)</f>
        <v>0.7881944444</v>
      </c>
      <c r="E156" s="82">
        <f>IFERROR(__xludf.DUMMYFUNCTION("""COMPUTED_VALUE"""),0.07291666666424135)</f>
        <v>0.07291666666</v>
      </c>
      <c r="F156" s="137">
        <f>IFERROR(__xludf.DUMMYFUNCTION("""COMPUTED_VALUE"""),0.8611111111094942)</f>
        <v>0.8611111111</v>
      </c>
      <c r="G156" s="82">
        <f>IFERROR(__xludf.DUMMYFUNCTION("""COMPUTED_VALUE"""),0.07291666666424135)</f>
        <v>0.07291666666</v>
      </c>
      <c r="H156" s="115">
        <f>IFERROR(__xludf.DUMMYFUNCTION("""COMPUTED_VALUE"""),85.0)</f>
        <v>85</v>
      </c>
      <c r="I156" s="112">
        <f>IFERROR(__xludf.DUMMYFUNCTION("""COMPUTED_VALUE"""),48.57142857304413)</f>
        <v>48.57142857</v>
      </c>
      <c r="J156" s="74" t="str">
        <f>IFERROR(__xludf.DUMMYFUNCTION("""COMPUTED_VALUE"""),"Dinner")</f>
        <v>Dinner</v>
      </c>
      <c r="K156" s="113">
        <f>IFERROR(__xludf.DUMMYFUNCTION("""COMPUTED_VALUE"""),45951.0)</f>
        <v>45951</v>
      </c>
      <c r="L156" s="74" t="str">
        <f>IFERROR(__xludf.DUMMYFUNCTION("""COMPUTED_VALUE"""),"Tuesday")</f>
        <v>Tuesday</v>
      </c>
      <c r="M156" s="74" t="str">
        <f>IFERROR(__xludf.DUMMYFUNCTION("""COMPUTED_VALUE"""),"BF")</f>
        <v>BF</v>
      </c>
      <c r="N156" s="114">
        <f>IFERROR(__xludf.DUMMYFUNCTION("""COMPUTED_VALUE"""),1.1462694382395964)</f>
        <v>1.146269438</v>
      </c>
      <c r="O156" s="74">
        <f>IFERROR(__xludf.DUMMYFUNCTION("""COMPUTED_VALUE"""),92.0)</f>
        <v>92</v>
      </c>
      <c r="P156" s="74">
        <f>IFERROR(__xludf.DUMMYFUNCTION("""COMPUTED_VALUE"""),332.0)</f>
        <v>332</v>
      </c>
      <c r="Q156" s="82">
        <f>IFERROR(__xludf.DUMMYFUNCTION("""COMPUTED_VALUE"""),0.1041666666715173)</f>
        <v>0.1041666667</v>
      </c>
      <c r="R156" s="82">
        <f>IFERROR(__xludf.DUMMYFUNCTION("""COMPUTED_VALUE"""),0.2916666666569654)</f>
        <v>0.2916666667</v>
      </c>
      <c r="S156" s="63">
        <f>IFERROR(__xludf.DUMMYFUNCTION("""COMPUTED_VALUE"""),36.79999999828637)</f>
        <v>36.8</v>
      </c>
      <c r="T156" s="63">
        <f>IFERROR(__xludf.DUMMYFUNCTION("""COMPUTED_VALUE"""),50.11355311559918)</f>
        <v>50.11355312</v>
      </c>
      <c r="U156" s="138">
        <f>IFERROR(__xludf.DUMMYFUNCTION("""COMPUTED_VALUE"""),424.0)</f>
        <v>424</v>
      </c>
      <c r="V156" s="82">
        <f>IFERROR(__xludf.DUMMYFUNCTION("""COMPUTED_VALUE"""),0.3958333333284827)</f>
        <v>0.3958333333</v>
      </c>
      <c r="W156" s="64">
        <f>IFERROR(__xludf.DUMMYFUNCTION("""COMPUTED_VALUE"""),44.63157894791535)</f>
        <v>44.63157895</v>
      </c>
      <c r="X156" s="64">
        <f>IFERROR(__xludf.DUMMYFUNCTION("""COMPUTED_VALUE"""),46.78516483627097)</f>
        <v>46.78516484</v>
      </c>
      <c r="Y156" s="114">
        <f>IFERROR(__xludf.DUMMYFUNCTION("""COMPUTED_VALUE"""),0.9534191393663964)</f>
        <v>0.9534191394</v>
      </c>
      <c r="Z156" s="118">
        <f>IFERROR(__xludf.DUMMYFUNCTION("""COMPUTED_VALUE"""),4103.0)</f>
        <v>4103</v>
      </c>
      <c r="AA156" s="118">
        <f>IFERROR(__xludf.DUMMYFUNCTION("""COMPUTED_VALUE"""),3814.0)</f>
        <v>3814</v>
      </c>
      <c r="AB156" s="118">
        <f>IFERROR(__xludf.DUMMYFUNCTION("""COMPUTED_VALUE"""),7917.0)</f>
        <v>7917</v>
      </c>
    </row>
    <row r="157">
      <c r="A157" s="109">
        <f>IFERROR(__xludf.DUMMYFUNCTION("""COMPUTED_VALUE"""),45952.633233437504)</f>
        <v>45952.63323</v>
      </c>
      <c r="B157" s="81" t="str">
        <f>IFERROR(__xludf.DUMMYFUNCTION("""COMPUTED_VALUE"""),"Greta Traynor")</f>
        <v>Greta Traynor</v>
      </c>
      <c r="C157" s="74" t="b">
        <f>IFERROR(__xludf.DUMMYFUNCTION("""COMPUTED_VALUE"""),FALSE)</f>
        <v>0</v>
      </c>
      <c r="D157" s="137">
        <f>IFERROR(__xludf.DUMMYFUNCTION("""COMPUTED_VALUE"""),0.5645833333328483)</f>
        <v>0.5645833333</v>
      </c>
      <c r="E157" s="82">
        <f>IFERROR(__xludf.DUMMYFUNCTION("""COMPUTED_VALUE"""),0.06666666666569654)</f>
        <v>0.06666666667</v>
      </c>
      <c r="F157" s="137">
        <f>IFERROR(__xludf.DUMMYFUNCTION("""COMPUTED_VALUE"""),0.6312499999985448)</f>
        <v>0.63125</v>
      </c>
      <c r="G157" s="82">
        <f>IFERROR(__xludf.DUMMYFUNCTION("""COMPUTED_VALUE"""),0.06666666666569654)</f>
        <v>0.06666666667</v>
      </c>
      <c r="H157" s="115">
        <f>IFERROR(__xludf.DUMMYFUNCTION("""COMPUTED_VALUE"""),73.0)</f>
        <v>73</v>
      </c>
      <c r="I157" s="112">
        <f>IFERROR(__xludf.DUMMYFUNCTION("""COMPUTED_VALUE"""),45.62500000066393)</f>
        <v>45.625</v>
      </c>
      <c r="J157" s="74" t="str">
        <f>IFERROR(__xludf.DUMMYFUNCTION("""COMPUTED_VALUE"""),"Lunch")</f>
        <v>Lunch</v>
      </c>
      <c r="K157" s="113">
        <f>IFERROR(__xludf.DUMMYFUNCTION("""COMPUTED_VALUE"""),45952.0)</f>
        <v>45952</v>
      </c>
      <c r="L157" s="74" t="str">
        <f>IFERROR(__xludf.DUMMYFUNCTION("""COMPUTED_VALUE"""),"Wednesday")</f>
        <v>Wednesday</v>
      </c>
      <c r="M157" s="74" t="str">
        <f>IFERROR(__xludf.DUMMYFUNCTION("""COMPUTED_VALUE"""),"MF")</f>
        <v>MF</v>
      </c>
      <c r="N157" s="114">
        <f>IFERROR(__xludf.DUMMYFUNCTION("""COMPUTED_VALUE"""),0.9487647224557186)</f>
        <v>0.9487647225</v>
      </c>
      <c r="O157" s="74" t="str">
        <f>IFERROR(__xludf.DUMMYFUNCTION("""COMPUTED_VALUE"""),"")</f>
        <v/>
      </c>
      <c r="P157" s="74" t="str">
        <f>IFERROR(__xludf.DUMMYFUNCTION("""COMPUTED_VALUE"""),"")</f>
        <v/>
      </c>
      <c r="Q157" s="82" t="str">
        <f>IFERROR(__xludf.DUMMYFUNCTION("""COMPUTED_VALUE"""),"")</f>
        <v/>
      </c>
      <c r="R157" s="82" t="str">
        <f>IFERROR(__xludf.DUMMYFUNCTION("""COMPUTED_VALUE"""),"")</f>
        <v/>
      </c>
      <c r="S157" s="63" t="str">
        <f>IFERROR(__xludf.DUMMYFUNCTION("""COMPUTED_VALUE"""),"")</f>
        <v/>
      </c>
      <c r="T157" s="63" t="str">
        <f>IFERROR(__xludf.DUMMYFUNCTION("""COMPUTED_VALUE"""),"")</f>
        <v/>
      </c>
      <c r="U157" s="138" t="str">
        <f>IFERROR(__xludf.DUMMYFUNCTION("""COMPUTED_VALUE"""),"")</f>
        <v/>
      </c>
      <c r="V157" s="82" t="str">
        <f>IFERROR(__xludf.DUMMYFUNCTION("""COMPUTED_VALUE"""),"")</f>
        <v/>
      </c>
      <c r="W157" s="64" t="str">
        <f>IFERROR(__xludf.DUMMYFUNCTION("""COMPUTED_VALUE"""),"")</f>
        <v/>
      </c>
      <c r="X157" s="64" t="str">
        <f>IFERROR(__xludf.DUMMYFUNCTION("""COMPUTED_VALUE"""),"")</f>
        <v/>
      </c>
      <c r="Y157" s="114" t="str">
        <f>IFERROR(__xludf.DUMMYFUNCTION("""COMPUTED_VALUE"""),"")</f>
        <v/>
      </c>
      <c r="Z157" s="118" t="str">
        <f>IFERROR(__xludf.DUMMYFUNCTION("""COMPUTED_VALUE"""),"")</f>
        <v/>
      </c>
      <c r="AA157" s="118" t="str">
        <f>IFERROR(__xludf.DUMMYFUNCTION("""COMPUTED_VALUE"""),"")</f>
        <v/>
      </c>
      <c r="AB157" s="74" t="str">
        <f>IFERROR(__xludf.DUMMYFUNCTION("""COMPUTED_VALUE"""),"")</f>
        <v/>
      </c>
    </row>
    <row r="158">
      <c r="A158" s="109">
        <f>IFERROR(__xludf.DUMMYFUNCTION("""COMPUTED_VALUE"""),45952.65583478009)</f>
        <v>45952.65583</v>
      </c>
      <c r="B158" s="81" t="str">
        <f>IFERROR(__xludf.DUMMYFUNCTION("""COMPUTED_VALUE"""),"Sarah Wilme")</f>
        <v>Sarah Wilme</v>
      </c>
      <c r="C158" s="74" t="b">
        <f>IFERROR(__xludf.DUMMYFUNCTION("""COMPUTED_VALUE"""),FALSE)</f>
        <v>0</v>
      </c>
      <c r="D158" s="137">
        <f>IFERROR(__xludf.DUMMYFUNCTION("""COMPUTED_VALUE"""),0.5208333333357587)</f>
        <v>0.5208333333</v>
      </c>
      <c r="E158" s="82">
        <f>IFERROR(__xludf.DUMMYFUNCTION("""COMPUTED_VALUE"""),0.13472222221753327)</f>
        <v>0.1347222222</v>
      </c>
      <c r="F158" s="137">
        <f>IFERROR(__xludf.DUMMYFUNCTION("""COMPUTED_VALUE"""),0.6555555555532919)</f>
        <v>0.6555555556</v>
      </c>
      <c r="G158" s="82">
        <f>IFERROR(__xludf.DUMMYFUNCTION("""COMPUTED_VALUE"""),0.13472222221753327)</f>
        <v>0.1347222222</v>
      </c>
      <c r="H158" s="115">
        <f>IFERROR(__xludf.DUMMYFUNCTION("""COMPUTED_VALUE"""),125.0)</f>
        <v>125</v>
      </c>
      <c r="I158" s="112">
        <f>IFERROR(__xludf.DUMMYFUNCTION("""COMPUTED_VALUE"""),38.65979381577853)</f>
        <v>38.65979382</v>
      </c>
      <c r="J158" s="74" t="str">
        <f>IFERROR(__xludf.DUMMYFUNCTION("""COMPUTED_VALUE"""),"Lunch")</f>
        <v>Lunch</v>
      </c>
      <c r="K158" s="113">
        <f>IFERROR(__xludf.DUMMYFUNCTION("""COMPUTED_VALUE"""),45952.0)</f>
        <v>45952</v>
      </c>
      <c r="L158" s="74" t="str">
        <f>IFERROR(__xludf.DUMMYFUNCTION("""COMPUTED_VALUE"""),"Wednesday")</f>
        <v>Wednesday</v>
      </c>
      <c r="M158" s="74" t="str">
        <f>IFERROR(__xludf.DUMMYFUNCTION("""COMPUTED_VALUE"""),"BF")</f>
        <v>BF</v>
      </c>
      <c r="N158" s="114">
        <f>IFERROR(__xludf.DUMMYFUNCTION("""COMPUTED_VALUE"""),0.9955978499071136)</f>
        <v>0.9955978499</v>
      </c>
      <c r="O158" s="74" t="str">
        <f>IFERROR(__xludf.DUMMYFUNCTION("""COMPUTED_VALUE"""),"")</f>
        <v/>
      </c>
      <c r="P158" s="74" t="str">
        <f>IFERROR(__xludf.DUMMYFUNCTION("""COMPUTED_VALUE"""),"")</f>
        <v/>
      </c>
      <c r="Q158" s="82" t="str">
        <f>IFERROR(__xludf.DUMMYFUNCTION("""COMPUTED_VALUE"""),"")</f>
        <v/>
      </c>
      <c r="R158" s="82" t="str">
        <f>IFERROR(__xludf.DUMMYFUNCTION("""COMPUTED_VALUE"""),"")</f>
        <v/>
      </c>
      <c r="S158" s="63" t="str">
        <f>IFERROR(__xludf.DUMMYFUNCTION("""COMPUTED_VALUE"""),"")</f>
        <v/>
      </c>
      <c r="T158" s="63" t="str">
        <f>IFERROR(__xludf.DUMMYFUNCTION("""COMPUTED_VALUE"""),"")</f>
        <v/>
      </c>
      <c r="U158" s="138" t="str">
        <f>IFERROR(__xludf.DUMMYFUNCTION("""COMPUTED_VALUE"""),"")</f>
        <v/>
      </c>
      <c r="V158" s="82" t="str">
        <f>IFERROR(__xludf.DUMMYFUNCTION("""COMPUTED_VALUE"""),"")</f>
        <v/>
      </c>
      <c r="W158" s="64" t="str">
        <f>IFERROR(__xludf.DUMMYFUNCTION("""COMPUTED_VALUE"""),"")</f>
        <v/>
      </c>
      <c r="X158" s="64" t="str">
        <f>IFERROR(__xludf.DUMMYFUNCTION("""COMPUTED_VALUE"""),"")</f>
        <v/>
      </c>
      <c r="Y158" s="114" t="str">
        <f>IFERROR(__xludf.DUMMYFUNCTION("""COMPUTED_VALUE"""),"")</f>
        <v/>
      </c>
      <c r="Z158" s="118" t="str">
        <f>IFERROR(__xludf.DUMMYFUNCTION("""COMPUTED_VALUE"""),"")</f>
        <v/>
      </c>
      <c r="AA158" s="118" t="str">
        <f>IFERROR(__xludf.DUMMYFUNCTION("""COMPUTED_VALUE"""),"")</f>
        <v/>
      </c>
      <c r="AB158" s="74" t="str">
        <f>IFERROR(__xludf.DUMMYFUNCTION("""COMPUTED_VALUE"""),"")</f>
        <v/>
      </c>
    </row>
    <row r="159">
      <c r="A159" s="109">
        <f>IFERROR(__xludf.DUMMYFUNCTION("""COMPUTED_VALUE"""),45952.754779097224)</f>
        <v>45952.75478</v>
      </c>
      <c r="B159" s="81" t="str">
        <f>IFERROR(__xludf.DUMMYFUNCTION("""COMPUTED_VALUE"""),"Orpheus Wilson")</f>
        <v>Orpheus Wilson</v>
      </c>
      <c r="C159" s="74" t="b">
        <f>IFERROR(__xludf.DUMMYFUNCTION("""COMPUTED_VALUE"""),FALSE)</f>
        <v>0</v>
      </c>
      <c r="D159" s="137">
        <f>IFERROR(__xludf.DUMMYFUNCTION("""COMPUTED_VALUE"""),0.6902777777795563)</f>
        <v>0.6902777778</v>
      </c>
      <c r="E159" s="82">
        <f>IFERROR(__xludf.DUMMYFUNCTION("""COMPUTED_VALUE"""),0.05486111110803904)</f>
        <v>0.05486111111</v>
      </c>
      <c r="F159" s="137">
        <f>IFERROR(__xludf.DUMMYFUNCTION("""COMPUTED_VALUE"""),0.7451388888875954)</f>
        <v>0.7451388889</v>
      </c>
      <c r="G159" s="82">
        <f>IFERROR(__xludf.DUMMYFUNCTION("""COMPUTED_VALUE"""),0.05486111110803904)</f>
        <v>0.05486111111</v>
      </c>
      <c r="H159" s="115">
        <f>IFERROR(__xludf.DUMMYFUNCTION("""COMPUTED_VALUE"""),99.0)</f>
        <v>99</v>
      </c>
      <c r="I159" s="112">
        <f>IFERROR(__xludf.DUMMYFUNCTION("""COMPUTED_VALUE"""),75.18987342193195)</f>
        <v>75.18987342</v>
      </c>
      <c r="J159" s="74" t="str">
        <f>IFERROR(__xludf.DUMMYFUNCTION("""COMPUTED_VALUE"""),"Dinner")</f>
        <v>Dinner</v>
      </c>
      <c r="K159" s="113">
        <f>IFERROR(__xludf.DUMMYFUNCTION("""COMPUTED_VALUE"""),45952.0)</f>
        <v>45952</v>
      </c>
      <c r="L159" s="74" t="str">
        <f>IFERROR(__xludf.DUMMYFUNCTION("""COMPUTED_VALUE"""),"Wednesday")</f>
        <v>Wednesday</v>
      </c>
      <c r="M159" s="74" t="str">
        <f>IFERROR(__xludf.DUMMYFUNCTION("""COMPUTED_VALUE"""),"MF")</f>
        <v>MF</v>
      </c>
      <c r="N159" s="114">
        <f>IFERROR(__xludf.DUMMYFUNCTION("""COMPUTED_VALUE"""),1.481615414797332)</f>
        <v>1.481615415</v>
      </c>
      <c r="O159" s="74" t="str">
        <f>IFERROR(__xludf.DUMMYFUNCTION("""COMPUTED_VALUE"""),"")</f>
        <v/>
      </c>
      <c r="P159" s="74" t="str">
        <f>IFERROR(__xludf.DUMMYFUNCTION("""COMPUTED_VALUE"""),"")</f>
        <v/>
      </c>
      <c r="Q159" s="82" t="str">
        <f>IFERROR(__xludf.DUMMYFUNCTION("""COMPUTED_VALUE"""),"")</f>
        <v/>
      </c>
      <c r="R159" s="82" t="str">
        <f>IFERROR(__xludf.DUMMYFUNCTION("""COMPUTED_VALUE"""),"")</f>
        <v/>
      </c>
      <c r="S159" s="63" t="str">
        <f>IFERROR(__xludf.DUMMYFUNCTION("""COMPUTED_VALUE"""),"")</f>
        <v/>
      </c>
      <c r="T159" s="63" t="str">
        <f>IFERROR(__xludf.DUMMYFUNCTION("""COMPUTED_VALUE"""),"")</f>
        <v/>
      </c>
      <c r="U159" s="138" t="str">
        <f>IFERROR(__xludf.DUMMYFUNCTION("""COMPUTED_VALUE"""),"")</f>
        <v/>
      </c>
      <c r="V159" s="82" t="str">
        <f>IFERROR(__xludf.DUMMYFUNCTION("""COMPUTED_VALUE"""),"")</f>
        <v/>
      </c>
      <c r="W159" s="64" t="str">
        <f>IFERROR(__xludf.DUMMYFUNCTION("""COMPUTED_VALUE"""),"")</f>
        <v/>
      </c>
      <c r="X159" s="64" t="str">
        <f>IFERROR(__xludf.DUMMYFUNCTION("""COMPUTED_VALUE"""),"")</f>
        <v/>
      </c>
      <c r="Y159" s="114" t="str">
        <f>IFERROR(__xludf.DUMMYFUNCTION("""COMPUTED_VALUE"""),"")</f>
        <v/>
      </c>
      <c r="Z159" s="118" t="str">
        <f>IFERROR(__xludf.DUMMYFUNCTION("""COMPUTED_VALUE"""),"")</f>
        <v/>
      </c>
      <c r="AA159" s="118" t="str">
        <f>IFERROR(__xludf.DUMMYFUNCTION("""COMPUTED_VALUE"""),"")</f>
        <v/>
      </c>
      <c r="AB159" s="74" t="str">
        <f>IFERROR(__xludf.DUMMYFUNCTION("""COMPUTED_VALUE"""),"")</f>
        <v/>
      </c>
    </row>
    <row r="160">
      <c r="A160" s="109">
        <f>IFERROR(__xludf.DUMMYFUNCTION("""COMPUTED_VALUE"""),45952.86215417824)</f>
        <v>45952.86215</v>
      </c>
      <c r="B160" s="81" t="str">
        <f>IFERROR(__xludf.DUMMYFUNCTION("""COMPUTED_VALUE"""),"Emma Korsu")</f>
        <v>Emma Korsu</v>
      </c>
      <c r="C160" s="74" t="b">
        <f>IFERROR(__xludf.DUMMYFUNCTION("""COMPUTED_VALUE"""),FALSE)</f>
        <v>0</v>
      </c>
      <c r="D160" s="137">
        <f>IFERROR(__xludf.DUMMYFUNCTION("""COMPUTED_VALUE"""),0.75)</f>
        <v>0.75</v>
      </c>
      <c r="E160" s="82">
        <f>IFERROR(__xludf.DUMMYFUNCTION("""COMPUTED_VALUE"""),0.11111111110949423)</f>
        <v>0.1111111111</v>
      </c>
      <c r="F160" s="137">
        <f>IFERROR(__xludf.DUMMYFUNCTION("""COMPUTED_VALUE"""),0.8611111111094942)</f>
        <v>0.8611111111</v>
      </c>
      <c r="G160" s="82">
        <f>IFERROR(__xludf.DUMMYFUNCTION("""COMPUTED_VALUE"""),0.11111111110949423)</f>
        <v>0.1111111111</v>
      </c>
      <c r="H160" s="115">
        <f>IFERROR(__xludf.DUMMYFUNCTION("""COMPUTED_VALUE"""),183.0)</f>
        <v>183</v>
      </c>
      <c r="I160" s="112">
        <f>IFERROR(__xludf.DUMMYFUNCTION("""COMPUTED_VALUE"""),68.62500000099863)</f>
        <v>68.625</v>
      </c>
      <c r="J160" s="74" t="str">
        <f>IFERROR(__xludf.DUMMYFUNCTION("""COMPUTED_VALUE"""),"Dinner")</f>
        <v>Dinner</v>
      </c>
      <c r="K160" s="113">
        <f>IFERROR(__xludf.DUMMYFUNCTION("""COMPUTED_VALUE"""),45952.0)</f>
        <v>45952</v>
      </c>
      <c r="L160" s="74" t="str">
        <f>IFERROR(__xludf.DUMMYFUNCTION("""COMPUTED_VALUE"""),"Wednesday")</f>
        <v>Wednesday</v>
      </c>
      <c r="M160" s="74" t="str">
        <f>IFERROR(__xludf.DUMMYFUNCTION("""COMPUTED_VALUE"""),"BF")</f>
        <v>BF</v>
      </c>
      <c r="N160" s="114">
        <f>IFERROR(__xludf.DUMMYFUNCTION("""COMPUTED_VALUE"""),1.6195270040707173)</f>
        <v>1.619527004</v>
      </c>
      <c r="O160" s="74" t="str">
        <f>IFERROR(__xludf.DUMMYFUNCTION("""COMPUTED_VALUE"""),"")</f>
        <v/>
      </c>
      <c r="P160" s="74" t="str">
        <f>IFERROR(__xludf.DUMMYFUNCTION("""COMPUTED_VALUE"""),"")</f>
        <v/>
      </c>
      <c r="Q160" s="82" t="str">
        <f>IFERROR(__xludf.DUMMYFUNCTION("""COMPUTED_VALUE"""),"")</f>
        <v/>
      </c>
      <c r="R160" s="82" t="str">
        <f>IFERROR(__xludf.DUMMYFUNCTION("""COMPUTED_VALUE"""),"")</f>
        <v/>
      </c>
      <c r="S160" s="63" t="str">
        <f>IFERROR(__xludf.DUMMYFUNCTION("""COMPUTED_VALUE"""),"")</f>
        <v/>
      </c>
      <c r="T160" s="63" t="str">
        <f>IFERROR(__xludf.DUMMYFUNCTION("""COMPUTED_VALUE"""),"")</f>
        <v/>
      </c>
      <c r="U160" s="138" t="str">
        <f>IFERROR(__xludf.DUMMYFUNCTION("""COMPUTED_VALUE"""),"")</f>
        <v/>
      </c>
      <c r="V160" s="82" t="str">
        <f>IFERROR(__xludf.DUMMYFUNCTION("""COMPUTED_VALUE"""),"")</f>
        <v/>
      </c>
      <c r="W160" s="64" t="str">
        <f>IFERROR(__xludf.DUMMYFUNCTION("""COMPUTED_VALUE"""),"")</f>
        <v/>
      </c>
      <c r="X160" s="64" t="str">
        <f>IFERROR(__xludf.DUMMYFUNCTION("""COMPUTED_VALUE"""),"")</f>
        <v/>
      </c>
      <c r="Y160" s="114" t="str">
        <f>IFERROR(__xludf.DUMMYFUNCTION("""COMPUTED_VALUE"""),"")</f>
        <v/>
      </c>
      <c r="Z160" s="118" t="str">
        <f>IFERROR(__xludf.DUMMYFUNCTION("""COMPUTED_VALUE"""),"")</f>
        <v/>
      </c>
      <c r="AA160" s="118" t="str">
        <f>IFERROR(__xludf.DUMMYFUNCTION("""COMPUTED_VALUE"""),"")</f>
        <v/>
      </c>
      <c r="AB160" s="74" t="str">
        <f>IFERROR(__xludf.DUMMYFUNCTION("""COMPUTED_VALUE"""),"")</f>
        <v/>
      </c>
    </row>
    <row r="161">
      <c r="A161" s="109">
        <f>IFERROR(__xludf.DUMMYFUNCTION("""COMPUTED_VALUE"""),45952.89637320602)</f>
        <v>45952.89637</v>
      </c>
      <c r="B161" s="81" t="str">
        <f>IFERROR(__xludf.DUMMYFUNCTION("""COMPUTED_VALUE"""),"Kaylie Forgue")</f>
        <v>Kaylie Forgue</v>
      </c>
      <c r="C161" s="74" t="b">
        <f>IFERROR(__xludf.DUMMYFUNCTION("""COMPUTED_VALUE"""),FALSE)</f>
        <v>0</v>
      </c>
      <c r="D161" s="137">
        <f>IFERROR(__xludf.DUMMYFUNCTION("""COMPUTED_VALUE"""),0.7472222222204437)</f>
        <v>0.7472222222</v>
      </c>
      <c r="E161" s="82">
        <f>IFERROR(__xludf.DUMMYFUNCTION("""COMPUTED_VALUE"""),0.12013888889487134)</f>
        <v>0.1201388889</v>
      </c>
      <c r="F161" s="137">
        <f>IFERROR(__xludf.DUMMYFUNCTION("""COMPUTED_VALUE"""),0.867361111115315)</f>
        <v>0.8673611111</v>
      </c>
      <c r="G161" s="82">
        <f>IFERROR(__xludf.DUMMYFUNCTION("""COMPUTED_VALUE"""),0.12013888889487134)</f>
        <v>0.1201388889</v>
      </c>
      <c r="H161" s="115">
        <f>IFERROR(__xludf.DUMMYFUNCTION("""COMPUTED_VALUE"""),174.0)</f>
        <v>174</v>
      </c>
      <c r="I161" s="112">
        <f>IFERROR(__xludf.DUMMYFUNCTION("""COMPUTED_VALUE"""),60.346820806243514)</f>
        <v>60.34682081</v>
      </c>
      <c r="J161" s="74" t="str">
        <f>IFERROR(__xludf.DUMMYFUNCTION("""COMPUTED_VALUE"""),"Dinner")</f>
        <v>Dinner</v>
      </c>
      <c r="K161" s="113">
        <f>IFERROR(__xludf.DUMMYFUNCTION("""COMPUTED_VALUE"""),45952.0)</f>
        <v>45952</v>
      </c>
      <c r="L161" s="74" t="str">
        <f>IFERROR(__xludf.DUMMYFUNCTION("""COMPUTED_VALUE"""),"Wednesday")</f>
        <v>Wednesday</v>
      </c>
      <c r="M161" s="74" t="str">
        <f>IFERROR(__xludf.DUMMYFUNCTION("""COMPUTED_VALUE"""),"MF")</f>
        <v>MF</v>
      </c>
      <c r="N161" s="114">
        <f>IFERROR(__xludf.DUMMYFUNCTION("""COMPUTED_VALUE"""),1.1891332685029197)</f>
        <v>1.189133269</v>
      </c>
      <c r="O161" s="74">
        <f>IFERROR(__xludf.DUMMYFUNCTION("""COMPUTED_VALUE"""),346.0)</f>
        <v>346</v>
      </c>
      <c r="P161" s="74">
        <f>IFERROR(__xludf.DUMMYFUNCTION("""COMPUTED_VALUE"""),308.0)</f>
        <v>308</v>
      </c>
      <c r="Q161" s="82">
        <f>IFERROR(__xludf.DUMMYFUNCTION("""COMPUTED_VALUE"""),0.24166666666860692)</f>
        <v>0.2416666667</v>
      </c>
      <c r="R161" s="82">
        <f>IFERROR(__xludf.DUMMYFUNCTION("""COMPUTED_VALUE"""),0.2458333333270275)</f>
        <v>0.2458333333</v>
      </c>
      <c r="S161" s="63">
        <f>IFERROR(__xludf.DUMMYFUNCTION("""COMPUTED_VALUE"""),60.38723140961313)</f>
        <v>60.38723141</v>
      </c>
      <c r="T161" s="63">
        <f>IFERROR(__xludf.DUMMYFUNCTION("""COMPUTED_VALUE"""),53.64239690838858)</f>
        <v>53.64239691</v>
      </c>
      <c r="U161" s="138">
        <f>IFERROR(__xludf.DUMMYFUNCTION("""COMPUTED_VALUE"""),654.0)</f>
        <v>654</v>
      </c>
      <c r="V161" s="82">
        <f>IFERROR(__xludf.DUMMYFUNCTION("""COMPUTED_VALUE"""),0.4874999999956344)</f>
        <v>0.4875</v>
      </c>
      <c r="W161" s="64">
        <f>IFERROR(__xludf.DUMMYFUNCTION("""COMPUTED_VALUE"""),55.89743589793646)</f>
        <v>55.8974359</v>
      </c>
      <c r="X161" s="64">
        <f>IFERROR(__xludf.DUMMYFUNCTION("""COMPUTED_VALUE"""),57.68929760912331)</f>
        <v>57.68929761</v>
      </c>
      <c r="Y161" s="114">
        <f>IFERROR(__xludf.DUMMYFUNCTION("""COMPUTED_VALUE"""),1.2414740049670219)</f>
        <v>1.241474005</v>
      </c>
      <c r="Z161" s="118">
        <f>IFERROR(__xludf.DUMMYFUNCTION("""COMPUTED_VALUE"""),3511.0)</f>
        <v>3511</v>
      </c>
      <c r="AA161" s="118">
        <f>IFERROR(__xludf.DUMMYFUNCTION("""COMPUTED_VALUE"""),4309.0)</f>
        <v>4309</v>
      </c>
      <c r="AB161" s="118">
        <f>IFERROR(__xludf.DUMMYFUNCTION("""COMPUTED_VALUE"""),7820.0)</f>
        <v>7820</v>
      </c>
    </row>
    <row r="162">
      <c r="A162" s="109">
        <f>IFERROR(__xludf.DUMMYFUNCTION("""COMPUTED_VALUE"""),45953.43240116898)</f>
        <v>45953.4324</v>
      </c>
      <c r="B162" s="81" t="str">
        <f>IFERROR(__xludf.DUMMYFUNCTION("""COMPUTED_VALUE"""),"Evan Morgan")</f>
        <v>Evan Morgan</v>
      </c>
      <c r="C162" s="74" t="b">
        <f>IFERROR(__xludf.DUMMYFUNCTION("""COMPUTED_VALUE"""),FALSE)</f>
        <v>0</v>
      </c>
      <c r="D162" s="137">
        <f>IFERROR(__xludf.DUMMYFUNCTION("""COMPUTED_VALUE"""),0.2881944444452529)</f>
        <v>0.2881944444</v>
      </c>
      <c r="E162" s="82">
        <f>IFERROR(__xludf.DUMMYFUNCTION("""COMPUTED_VALUE"""),0.14236111110949423)</f>
        <v>0.1423611111</v>
      </c>
      <c r="F162" s="137">
        <f>IFERROR(__xludf.DUMMYFUNCTION("""COMPUTED_VALUE"""),0.4305555555547471)</f>
        <v>0.4305555556</v>
      </c>
      <c r="G162" s="82">
        <f>IFERROR(__xludf.DUMMYFUNCTION("""COMPUTED_VALUE"""),0.14236111110949423)</f>
        <v>0.1423611111</v>
      </c>
      <c r="H162" s="115">
        <f>IFERROR(__xludf.DUMMYFUNCTION("""COMPUTED_VALUE"""),95.0)</f>
        <v>95</v>
      </c>
      <c r="I162" s="112">
        <f>IFERROR(__xludf.DUMMYFUNCTION("""COMPUTED_VALUE"""),27.804878049096285)</f>
        <v>27.80487805</v>
      </c>
      <c r="J162" s="74" t="str">
        <f>IFERROR(__xludf.DUMMYFUNCTION("""COMPUTED_VALUE"""),"Breakfast")</f>
        <v>Breakfast</v>
      </c>
      <c r="K162" s="113">
        <f>IFERROR(__xludf.DUMMYFUNCTION("""COMPUTED_VALUE"""),45953.0)</f>
        <v>45953</v>
      </c>
      <c r="L162" s="74" t="str">
        <f>IFERROR(__xludf.DUMMYFUNCTION("""COMPUTED_VALUE"""),"Thursday")</f>
        <v>Thursday</v>
      </c>
      <c r="M162" s="74" t="str">
        <f>IFERROR(__xludf.DUMMYFUNCTION("""COMPUTED_VALUE"""),"BF")</f>
        <v>BF</v>
      </c>
      <c r="N162" s="114">
        <f>IFERROR(__xludf.DUMMYFUNCTION("""COMPUTED_VALUE"""),1.1775692266733737)</f>
        <v>1.177569227</v>
      </c>
      <c r="O162" s="74" t="str">
        <f>IFERROR(__xludf.DUMMYFUNCTION("""COMPUTED_VALUE"""),"")</f>
        <v/>
      </c>
      <c r="P162" s="74" t="str">
        <f>IFERROR(__xludf.DUMMYFUNCTION("""COMPUTED_VALUE"""),"")</f>
        <v/>
      </c>
      <c r="Q162" s="82" t="str">
        <f>IFERROR(__xludf.DUMMYFUNCTION("""COMPUTED_VALUE"""),"")</f>
        <v/>
      </c>
      <c r="R162" s="82" t="str">
        <f>IFERROR(__xludf.DUMMYFUNCTION("""COMPUTED_VALUE"""),"")</f>
        <v/>
      </c>
      <c r="S162" s="63" t="str">
        <f>IFERROR(__xludf.DUMMYFUNCTION("""COMPUTED_VALUE"""),"")</f>
        <v/>
      </c>
      <c r="T162" s="63" t="str">
        <f>IFERROR(__xludf.DUMMYFUNCTION("""COMPUTED_VALUE"""),"")</f>
        <v/>
      </c>
      <c r="U162" s="138" t="str">
        <f>IFERROR(__xludf.DUMMYFUNCTION("""COMPUTED_VALUE"""),"")</f>
        <v/>
      </c>
      <c r="V162" s="82" t="str">
        <f>IFERROR(__xludf.DUMMYFUNCTION("""COMPUTED_VALUE"""),"")</f>
        <v/>
      </c>
      <c r="W162" s="64" t="str">
        <f>IFERROR(__xludf.DUMMYFUNCTION("""COMPUTED_VALUE"""),"")</f>
        <v/>
      </c>
      <c r="X162" s="64" t="str">
        <f>IFERROR(__xludf.DUMMYFUNCTION("""COMPUTED_VALUE"""),"")</f>
        <v/>
      </c>
      <c r="Y162" s="114" t="str">
        <f>IFERROR(__xludf.DUMMYFUNCTION("""COMPUTED_VALUE"""),"")</f>
        <v/>
      </c>
      <c r="Z162" s="118" t="str">
        <f>IFERROR(__xludf.DUMMYFUNCTION("""COMPUTED_VALUE"""),"")</f>
        <v/>
      </c>
      <c r="AA162" s="118" t="str">
        <f>IFERROR(__xludf.DUMMYFUNCTION("""COMPUTED_VALUE"""),"")</f>
        <v/>
      </c>
      <c r="AB162" s="74" t="str">
        <f>IFERROR(__xludf.DUMMYFUNCTION("""COMPUTED_VALUE"""),"")</f>
        <v/>
      </c>
    </row>
    <row r="163">
      <c r="A163" s="109">
        <f>IFERROR(__xludf.DUMMYFUNCTION("""COMPUTED_VALUE"""),45953.559149768524)</f>
        <v>45953.55915</v>
      </c>
      <c r="B163" s="81" t="str">
        <f>IFERROR(__xludf.DUMMYFUNCTION("""COMPUTED_VALUE"""),"Maureen Surgot")</f>
        <v>Maureen Surgot</v>
      </c>
      <c r="C163" s="74" t="b">
        <f>IFERROR(__xludf.DUMMYFUNCTION("""COMPUTED_VALUE"""),FALSE)</f>
        <v>0</v>
      </c>
      <c r="D163" s="137">
        <f>IFERROR(__xludf.DUMMYFUNCTION("""COMPUTED_VALUE"""),0.47916666666424135)</f>
        <v>0.4791666667</v>
      </c>
      <c r="E163" s="82">
        <f>IFERROR(__xludf.DUMMYFUNCTION("""COMPUTED_VALUE"""),0.08333333333575865)</f>
        <v>0.08333333334</v>
      </c>
      <c r="F163" s="137">
        <f>IFERROR(__xludf.DUMMYFUNCTION("""COMPUTED_VALUE"""),0.5625)</f>
        <v>0.5625</v>
      </c>
      <c r="G163" s="82">
        <f>IFERROR(__xludf.DUMMYFUNCTION("""COMPUTED_VALUE"""),0.08333333333575865)</f>
        <v>0.08333333334</v>
      </c>
      <c r="H163" s="115">
        <f>IFERROR(__xludf.DUMMYFUNCTION("""COMPUTED_VALUE"""),68.0)</f>
        <v>68</v>
      </c>
      <c r="I163" s="112">
        <f>IFERROR(__xludf.DUMMYFUNCTION("""COMPUTED_VALUE"""),33.99999999901047)</f>
        <v>34</v>
      </c>
      <c r="J163" s="74" t="str">
        <f>IFERROR(__xludf.DUMMYFUNCTION("""COMPUTED_VALUE"""),"Lunch")</f>
        <v>Lunch</v>
      </c>
      <c r="K163" s="113">
        <f>IFERROR(__xludf.DUMMYFUNCTION("""COMPUTED_VALUE"""),45953.0)</f>
        <v>45953</v>
      </c>
      <c r="L163" s="74" t="str">
        <f>IFERROR(__xludf.DUMMYFUNCTION("""COMPUTED_VALUE"""),"Thursday")</f>
        <v>Thursday</v>
      </c>
      <c r="M163" s="74" t="str">
        <f>IFERROR(__xludf.DUMMYFUNCTION("""COMPUTED_VALUE"""),"MF")</f>
        <v>MF</v>
      </c>
      <c r="N163" s="114">
        <f>IFERROR(__xludf.DUMMYFUNCTION("""COMPUTED_VALUE"""),0.7070246698539437)</f>
        <v>0.7070246699</v>
      </c>
      <c r="O163" s="74" t="str">
        <f>IFERROR(__xludf.DUMMYFUNCTION("""COMPUTED_VALUE"""),"")</f>
        <v/>
      </c>
      <c r="P163" s="74" t="str">
        <f>IFERROR(__xludf.DUMMYFUNCTION("""COMPUTED_VALUE"""),"")</f>
        <v/>
      </c>
      <c r="Q163" s="82" t="str">
        <f>IFERROR(__xludf.DUMMYFUNCTION("""COMPUTED_VALUE"""),"")</f>
        <v/>
      </c>
      <c r="R163" s="82" t="str">
        <f>IFERROR(__xludf.DUMMYFUNCTION("""COMPUTED_VALUE"""),"")</f>
        <v/>
      </c>
      <c r="S163" s="63" t="str">
        <f>IFERROR(__xludf.DUMMYFUNCTION("""COMPUTED_VALUE"""),"")</f>
        <v/>
      </c>
      <c r="T163" s="63" t="str">
        <f>IFERROR(__xludf.DUMMYFUNCTION("""COMPUTED_VALUE"""),"")</f>
        <v/>
      </c>
      <c r="U163" s="138" t="str">
        <f>IFERROR(__xludf.DUMMYFUNCTION("""COMPUTED_VALUE"""),"")</f>
        <v/>
      </c>
      <c r="V163" s="82" t="str">
        <f>IFERROR(__xludf.DUMMYFUNCTION("""COMPUTED_VALUE"""),"")</f>
        <v/>
      </c>
      <c r="W163" s="64" t="str">
        <f>IFERROR(__xludf.DUMMYFUNCTION("""COMPUTED_VALUE"""),"")</f>
        <v/>
      </c>
      <c r="X163" s="64" t="str">
        <f>IFERROR(__xludf.DUMMYFUNCTION("""COMPUTED_VALUE"""),"")</f>
        <v/>
      </c>
      <c r="Y163" s="114" t="str">
        <f>IFERROR(__xludf.DUMMYFUNCTION("""COMPUTED_VALUE"""),"")</f>
        <v/>
      </c>
      <c r="Z163" s="118" t="str">
        <f>IFERROR(__xludf.DUMMYFUNCTION("""COMPUTED_VALUE"""),"")</f>
        <v/>
      </c>
      <c r="AA163" s="118" t="str">
        <f>IFERROR(__xludf.DUMMYFUNCTION("""COMPUTED_VALUE"""),"")</f>
        <v/>
      </c>
      <c r="AB163" s="74" t="str">
        <f>IFERROR(__xludf.DUMMYFUNCTION("""COMPUTED_VALUE"""),"")</f>
        <v/>
      </c>
    </row>
    <row r="164">
      <c r="A164" s="109">
        <f>IFERROR(__xludf.DUMMYFUNCTION("""COMPUTED_VALUE"""),45953.57090561342)</f>
        <v>45953.57091</v>
      </c>
      <c r="B164" s="81" t="str">
        <f>IFERROR(__xludf.DUMMYFUNCTION("""COMPUTED_VALUE"""),"Greta Traynor")</f>
        <v>Greta Traynor</v>
      </c>
      <c r="C164" s="74" t="b">
        <f>IFERROR(__xludf.DUMMYFUNCTION("""COMPUTED_VALUE"""),FALSE)</f>
        <v>0</v>
      </c>
      <c r="D164" s="137">
        <f>IFERROR(__xludf.DUMMYFUNCTION("""COMPUTED_VALUE"""),0.5215277777751908)</f>
        <v>0.5215277778</v>
      </c>
      <c r="E164" s="82">
        <f>IFERROR(__xludf.DUMMYFUNCTION("""COMPUTED_VALUE"""),0.04930555555620231)</f>
        <v>0.04930555556</v>
      </c>
      <c r="F164" s="137">
        <f>IFERROR(__xludf.DUMMYFUNCTION("""COMPUTED_VALUE"""),0.5708333333313931)</f>
        <v>0.5708333333</v>
      </c>
      <c r="G164" s="82">
        <f>IFERROR(__xludf.DUMMYFUNCTION("""COMPUTED_VALUE"""),0.04930555555620231)</f>
        <v>0.04930555556</v>
      </c>
      <c r="H164" s="115">
        <f>IFERROR(__xludf.DUMMYFUNCTION("""COMPUTED_VALUE"""),58.0)</f>
        <v>58</v>
      </c>
      <c r="I164" s="112">
        <f>IFERROR(__xludf.DUMMYFUNCTION("""COMPUTED_VALUE"""),49.01408450639933)</f>
        <v>49.01408451</v>
      </c>
      <c r="J164" s="74" t="str">
        <f>IFERROR(__xludf.DUMMYFUNCTION("""COMPUTED_VALUE"""),"Lunch")</f>
        <v>Lunch</v>
      </c>
      <c r="K164" s="113">
        <f>IFERROR(__xludf.DUMMYFUNCTION("""COMPUTED_VALUE"""),45953.0)</f>
        <v>45953</v>
      </c>
      <c r="L164" s="74" t="str">
        <f>IFERROR(__xludf.DUMMYFUNCTION("""COMPUTED_VALUE"""),"Thursday")</f>
        <v>Thursday</v>
      </c>
      <c r="M164" s="74" t="str">
        <f>IFERROR(__xludf.DUMMYFUNCTION("""COMPUTED_VALUE"""),"BF")</f>
        <v>BF</v>
      </c>
      <c r="N164" s="114">
        <f>IFERROR(__xludf.DUMMYFUNCTION("""COMPUTED_VALUE"""),1.2622498035625915)</f>
        <v>1.262249804</v>
      </c>
      <c r="O164" s="74" t="str">
        <f>IFERROR(__xludf.DUMMYFUNCTION("""COMPUTED_VALUE"""),"")</f>
        <v/>
      </c>
      <c r="P164" s="74" t="str">
        <f>IFERROR(__xludf.DUMMYFUNCTION("""COMPUTED_VALUE"""),"")</f>
        <v/>
      </c>
      <c r="Q164" s="82" t="str">
        <f>IFERROR(__xludf.DUMMYFUNCTION("""COMPUTED_VALUE"""),"")</f>
        <v/>
      </c>
      <c r="R164" s="82" t="str">
        <f>IFERROR(__xludf.DUMMYFUNCTION("""COMPUTED_VALUE"""),"")</f>
        <v/>
      </c>
      <c r="S164" s="63" t="str">
        <f>IFERROR(__xludf.DUMMYFUNCTION("""COMPUTED_VALUE"""),"")</f>
        <v/>
      </c>
      <c r="T164" s="63" t="str">
        <f>IFERROR(__xludf.DUMMYFUNCTION("""COMPUTED_VALUE"""),"")</f>
        <v/>
      </c>
      <c r="U164" s="138" t="str">
        <f>IFERROR(__xludf.DUMMYFUNCTION("""COMPUTED_VALUE"""),"")</f>
        <v/>
      </c>
      <c r="V164" s="82" t="str">
        <f>IFERROR(__xludf.DUMMYFUNCTION("""COMPUTED_VALUE"""),"")</f>
        <v/>
      </c>
      <c r="W164" s="64" t="str">
        <f>IFERROR(__xludf.DUMMYFUNCTION("""COMPUTED_VALUE"""),"")</f>
        <v/>
      </c>
      <c r="X164" s="64" t="str">
        <f>IFERROR(__xludf.DUMMYFUNCTION("""COMPUTED_VALUE"""),"")</f>
        <v/>
      </c>
      <c r="Y164" s="114" t="str">
        <f>IFERROR(__xludf.DUMMYFUNCTION("""COMPUTED_VALUE"""),"")</f>
        <v/>
      </c>
      <c r="Z164" s="118" t="str">
        <f>IFERROR(__xludf.DUMMYFUNCTION("""COMPUTED_VALUE"""),"")</f>
        <v/>
      </c>
      <c r="AA164" s="118" t="str">
        <f>IFERROR(__xludf.DUMMYFUNCTION("""COMPUTED_VALUE"""),"")</f>
        <v/>
      </c>
      <c r="AB164" s="74" t="str">
        <f>IFERROR(__xludf.DUMMYFUNCTION("""COMPUTED_VALUE"""),"")</f>
        <v/>
      </c>
    </row>
    <row r="165">
      <c r="A165" s="109">
        <f>IFERROR(__xludf.DUMMYFUNCTION("""COMPUTED_VALUE"""),45953.6324275)</f>
        <v>45953.63243</v>
      </c>
      <c r="B165" s="81" t="str">
        <f>IFERROR(__xludf.DUMMYFUNCTION("""COMPUTED_VALUE"""),"Brynn Hornig")</f>
        <v>Brynn Hornig</v>
      </c>
      <c r="C165" s="74" t="b">
        <f>IFERROR(__xludf.DUMMYFUNCTION("""COMPUTED_VALUE"""),FALSE)</f>
        <v>0</v>
      </c>
      <c r="D165" s="137">
        <f>IFERROR(__xludf.DUMMYFUNCTION("""COMPUTED_VALUE"""),0.5208333333357587)</f>
        <v>0.5208333333</v>
      </c>
      <c r="E165" s="82">
        <f>IFERROR(__xludf.DUMMYFUNCTION("""COMPUTED_VALUE"""),0.1145833333284827)</f>
        <v>0.1145833333</v>
      </c>
      <c r="F165" s="137">
        <f>IFERROR(__xludf.DUMMYFUNCTION("""COMPUTED_VALUE"""),0.6354166666642413)</f>
        <v>0.6354166667</v>
      </c>
      <c r="G165" s="82">
        <f>IFERROR(__xludf.DUMMYFUNCTION("""COMPUTED_VALUE"""),0.1145833333284827)</f>
        <v>0.1145833333</v>
      </c>
      <c r="H165" s="115">
        <f>IFERROR(__xludf.DUMMYFUNCTION("""COMPUTED_VALUE"""),68.0)</f>
        <v>68</v>
      </c>
      <c r="I165" s="112">
        <f>IFERROR(__xludf.DUMMYFUNCTION("""COMPUTED_VALUE"""),24.7272727283195)</f>
        <v>24.72727273</v>
      </c>
      <c r="J165" s="74" t="str">
        <f>IFERROR(__xludf.DUMMYFUNCTION("""COMPUTED_VALUE"""),"Lunch")</f>
        <v>Lunch</v>
      </c>
      <c r="K165" s="113">
        <f>IFERROR(__xludf.DUMMYFUNCTION("""COMPUTED_VALUE"""),45953.0)</f>
        <v>45953</v>
      </c>
      <c r="L165" s="74" t="str">
        <f>IFERROR(__xludf.DUMMYFUNCTION("""COMPUTED_VALUE"""),"Thursday")</f>
        <v>Thursday</v>
      </c>
      <c r="M165" s="74" t="str">
        <f>IFERROR(__xludf.DUMMYFUNCTION("""COMPUTED_VALUE"""),"MF")</f>
        <v>MF</v>
      </c>
      <c r="N165" s="114">
        <f>IFERROR(__xludf.DUMMYFUNCTION("""COMPUTED_VALUE"""),0.51419975993051)</f>
        <v>0.5141997599</v>
      </c>
      <c r="O165" s="74" t="str">
        <f>IFERROR(__xludf.DUMMYFUNCTION("""COMPUTED_VALUE"""),"")</f>
        <v/>
      </c>
      <c r="P165" s="74" t="str">
        <f>IFERROR(__xludf.DUMMYFUNCTION("""COMPUTED_VALUE"""),"")</f>
        <v/>
      </c>
      <c r="Q165" s="82" t="str">
        <f>IFERROR(__xludf.DUMMYFUNCTION("""COMPUTED_VALUE"""),"")</f>
        <v/>
      </c>
      <c r="R165" s="82" t="str">
        <f>IFERROR(__xludf.DUMMYFUNCTION("""COMPUTED_VALUE"""),"")</f>
        <v/>
      </c>
      <c r="S165" s="63" t="str">
        <f>IFERROR(__xludf.DUMMYFUNCTION("""COMPUTED_VALUE"""),"")</f>
        <v/>
      </c>
      <c r="T165" s="63" t="str">
        <f>IFERROR(__xludf.DUMMYFUNCTION("""COMPUTED_VALUE"""),"")</f>
        <v/>
      </c>
      <c r="U165" s="138" t="str">
        <f>IFERROR(__xludf.DUMMYFUNCTION("""COMPUTED_VALUE"""),"")</f>
        <v/>
      </c>
      <c r="V165" s="82" t="str">
        <f>IFERROR(__xludf.DUMMYFUNCTION("""COMPUTED_VALUE"""),"")</f>
        <v/>
      </c>
      <c r="W165" s="64" t="str">
        <f>IFERROR(__xludf.DUMMYFUNCTION("""COMPUTED_VALUE"""),"")</f>
        <v/>
      </c>
      <c r="X165" s="64" t="str">
        <f>IFERROR(__xludf.DUMMYFUNCTION("""COMPUTED_VALUE"""),"")</f>
        <v/>
      </c>
      <c r="Y165" s="114" t="str">
        <f>IFERROR(__xludf.DUMMYFUNCTION("""COMPUTED_VALUE"""),"")</f>
        <v/>
      </c>
      <c r="Z165" s="118" t="str">
        <f>IFERROR(__xludf.DUMMYFUNCTION("""COMPUTED_VALUE"""),"")</f>
        <v/>
      </c>
      <c r="AA165" s="118" t="str">
        <f>IFERROR(__xludf.DUMMYFUNCTION("""COMPUTED_VALUE"""),"")</f>
        <v/>
      </c>
      <c r="AB165" s="74" t="str">
        <f>IFERROR(__xludf.DUMMYFUNCTION("""COMPUTED_VALUE"""),"")</f>
        <v/>
      </c>
    </row>
    <row r="166">
      <c r="A166" s="109">
        <f>IFERROR(__xludf.DUMMYFUNCTION("""COMPUTED_VALUE"""),45953.65495166667)</f>
        <v>45953.65495</v>
      </c>
      <c r="B166" s="81" t="str">
        <f>IFERROR(__xludf.DUMMYFUNCTION("""COMPUTED_VALUE"""),"Emmett Khan")</f>
        <v>Emmett Khan</v>
      </c>
      <c r="C166" s="74" t="b">
        <f>IFERROR(__xludf.DUMMYFUNCTION("""COMPUTED_VALUE"""),FALSE)</f>
        <v>0</v>
      </c>
      <c r="D166" s="137">
        <f>IFERROR(__xludf.DUMMYFUNCTION("""COMPUTED_VALUE"""),0.5833333333357587)</f>
        <v>0.5833333333</v>
      </c>
      <c r="E166" s="82">
        <f>IFERROR(__xludf.DUMMYFUNCTION("""COMPUTED_VALUE"""),0.07291666666424135)</f>
        <v>0.07291666666</v>
      </c>
      <c r="F166" s="137">
        <f>IFERROR(__xludf.DUMMYFUNCTION("""COMPUTED_VALUE"""),0.65625)</f>
        <v>0.65625</v>
      </c>
      <c r="G166" s="82">
        <f>IFERROR(__xludf.DUMMYFUNCTION("""COMPUTED_VALUE"""),0.15625)</f>
        <v>0.15625</v>
      </c>
      <c r="H166" s="115">
        <f>IFERROR(__xludf.DUMMYFUNCTION("""COMPUTED_VALUE"""),73.0)</f>
        <v>73</v>
      </c>
      <c r="I166" s="112">
        <f>IFERROR(__xludf.DUMMYFUNCTION("""COMPUTED_VALUE"""),19.466666666666665)</f>
        <v>19.46666667</v>
      </c>
      <c r="J166" s="74" t="str">
        <f>IFERROR(__xludf.DUMMYFUNCTION("""COMPUTED_VALUE"""),"Lunch")</f>
        <v>Lunch</v>
      </c>
      <c r="K166" s="113">
        <f>IFERROR(__xludf.DUMMYFUNCTION("""COMPUTED_VALUE"""),45953.0)</f>
        <v>45953</v>
      </c>
      <c r="L166" s="74" t="str">
        <f>IFERROR(__xludf.DUMMYFUNCTION("""COMPUTED_VALUE"""),"Thursday")</f>
        <v>Thursday</v>
      </c>
      <c r="M166" s="74" t="str">
        <f>IFERROR(__xludf.DUMMYFUNCTION("""COMPUTED_VALUE"""),"BF")</f>
        <v>BF</v>
      </c>
      <c r="N166" s="114">
        <f>IFERROR(__xludf.DUMMYFUNCTION("""COMPUTED_VALUE"""),0.5013211288851132)</f>
        <v>0.5013211289</v>
      </c>
      <c r="O166" s="74" t="str">
        <f>IFERROR(__xludf.DUMMYFUNCTION("""COMPUTED_VALUE"""),"")</f>
        <v/>
      </c>
      <c r="P166" s="74" t="str">
        <f>IFERROR(__xludf.DUMMYFUNCTION("""COMPUTED_VALUE"""),"")</f>
        <v/>
      </c>
      <c r="Q166" s="82" t="str">
        <f>IFERROR(__xludf.DUMMYFUNCTION("""COMPUTED_VALUE"""),"")</f>
        <v/>
      </c>
      <c r="R166" s="82" t="str">
        <f>IFERROR(__xludf.DUMMYFUNCTION("""COMPUTED_VALUE"""),"")</f>
        <v/>
      </c>
      <c r="S166" s="63" t="str">
        <f>IFERROR(__xludf.DUMMYFUNCTION("""COMPUTED_VALUE"""),"")</f>
        <v/>
      </c>
      <c r="T166" s="63" t="str">
        <f>IFERROR(__xludf.DUMMYFUNCTION("""COMPUTED_VALUE"""),"")</f>
        <v/>
      </c>
      <c r="U166" s="138" t="str">
        <f>IFERROR(__xludf.DUMMYFUNCTION("""COMPUTED_VALUE"""),"")</f>
        <v/>
      </c>
      <c r="V166" s="82" t="str">
        <f>IFERROR(__xludf.DUMMYFUNCTION("""COMPUTED_VALUE"""),"")</f>
        <v/>
      </c>
      <c r="W166" s="64" t="str">
        <f>IFERROR(__xludf.DUMMYFUNCTION("""COMPUTED_VALUE"""),"")</f>
        <v/>
      </c>
      <c r="X166" s="64" t="str">
        <f>IFERROR(__xludf.DUMMYFUNCTION("""COMPUTED_VALUE"""),"")</f>
        <v/>
      </c>
      <c r="Y166" s="114" t="str">
        <f>IFERROR(__xludf.DUMMYFUNCTION("""COMPUTED_VALUE"""),"")</f>
        <v/>
      </c>
      <c r="Z166" s="118" t="str">
        <f>IFERROR(__xludf.DUMMYFUNCTION("""COMPUTED_VALUE"""),"")</f>
        <v/>
      </c>
      <c r="AA166" s="118" t="str">
        <f>IFERROR(__xludf.DUMMYFUNCTION("""COMPUTED_VALUE"""),"")</f>
        <v/>
      </c>
      <c r="AB166" s="74" t="str">
        <f>IFERROR(__xludf.DUMMYFUNCTION("""COMPUTED_VALUE"""),"")</f>
        <v/>
      </c>
    </row>
    <row r="167">
      <c r="A167" s="109">
        <f>IFERROR(__xludf.DUMMYFUNCTION("""COMPUTED_VALUE"""),45953.76940063658)</f>
        <v>45953.7694</v>
      </c>
      <c r="B167" s="81" t="str">
        <f>IFERROR(__xludf.DUMMYFUNCTION("""COMPUTED_VALUE"""),"Emmett Khan")</f>
        <v>Emmett Khan</v>
      </c>
      <c r="C167" s="74" t="b">
        <f>IFERROR(__xludf.DUMMYFUNCTION("""COMPUTED_VALUE"""),TRUE)</f>
        <v>1</v>
      </c>
      <c r="D167" s="137">
        <f>IFERROR(__xludf.DUMMYFUNCTION("""COMPUTED_VALUE"""),0.6875)</f>
        <v>0.6875</v>
      </c>
      <c r="E167" s="82">
        <f>IFERROR(__xludf.DUMMYFUNCTION("""COMPUTED_VALUE"""),0.08333333333575865)</f>
        <v>0.08333333334</v>
      </c>
      <c r="F167" s="137">
        <f>IFERROR(__xludf.DUMMYFUNCTION("""COMPUTED_VALUE"""),0.7708333333357587)</f>
        <v>0.7708333333</v>
      </c>
      <c r="G167" s="82" t="str">
        <f>IFERROR(__xludf.DUMMYFUNCTION("""COMPUTED_VALUE"""),"")</f>
        <v/>
      </c>
      <c r="H167" s="115">
        <f>IFERROR(__xludf.DUMMYFUNCTION("""COMPUTED_VALUE"""),209.0)</f>
        <v>209</v>
      </c>
      <c r="I167" s="112" t="str">
        <f>IFERROR(__xludf.DUMMYFUNCTION("""COMPUTED_VALUE"""),"")</f>
        <v/>
      </c>
      <c r="J167" s="74" t="str">
        <f>IFERROR(__xludf.DUMMYFUNCTION("""COMPUTED_VALUE"""),"Dinner")</f>
        <v>Dinner</v>
      </c>
      <c r="K167" s="113">
        <f>IFERROR(__xludf.DUMMYFUNCTION("""COMPUTED_VALUE"""),45953.0)</f>
        <v>45953</v>
      </c>
      <c r="L167" s="74" t="str">
        <f>IFERROR(__xludf.DUMMYFUNCTION("""COMPUTED_VALUE"""),"Thursday")</f>
        <v>Thursday</v>
      </c>
      <c r="M167" s="74" t="str">
        <f>IFERROR(__xludf.DUMMYFUNCTION("""COMPUTED_VALUE"""),"BF")</f>
        <v>BF</v>
      </c>
      <c r="N167" s="114" t="str">
        <f>IFERROR(__xludf.DUMMYFUNCTION("""COMPUTED_VALUE"""),"")</f>
        <v/>
      </c>
      <c r="O167" s="74">
        <f>IFERROR(__xludf.DUMMYFUNCTION("""COMPUTED_VALUE"""),136.0)</f>
        <v>136</v>
      </c>
      <c r="P167" s="74">
        <f>IFERROR(__xludf.DUMMYFUNCTION("""COMPUTED_VALUE"""),435.0)</f>
        <v>435</v>
      </c>
      <c r="Q167" s="82">
        <f>IFERROR(__xludf.DUMMYFUNCTION("""COMPUTED_VALUE"""),0.19791666666424135)</f>
        <v>0.1979166667</v>
      </c>
      <c r="R167" s="82">
        <f>IFERROR(__xludf.DUMMYFUNCTION("""COMPUTED_VALUE"""),0.34791666666569654)</f>
        <v>0.3479166667</v>
      </c>
      <c r="S167" s="63">
        <f>IFERROR(__xludf.DUMMYFUNCTION("""COMPUTED_VALUE"""),29.363636363664988)</f>
        <v>29.36363636</v>
      </c>
      <c r="T167" s="63">
        <f>IFERROR(__xludf.DUMMYFUNCTION("""COMPUTED_VALUE"""),32.09520974072076)</f>
        <v>32.09520974</v>
      </c>
      <c r="U167" s="138">
        <f>IFERROR(__xludf.DUMMYFUNCTION("""COMPUTED_VALUE"""),571.0)</f>
        <v>571</v>
      </c>
      <c r="V167" s="82">
        <f>IFERROR(__xludf.DUMMYFUNCTION("""COMPUTED_VALUE"""),0.5458333333299379)</f>
        <v>0.5458333333</v>
      </c>
      <c r="W167" s="64">
        <f>IFERROR(__xludf.DUMMYFUNCTION("""COMPUTED_VALUE"""),43.58778625981313)</f>
        <v>43.58778626</v>
      </c>
      <c r="X167" s="64">
        <f>IFERROR(__xludf.DUMMYFUNCTION("""COMPUTED_VALUE"""),31.00258038989845)</f>
        <v>31.00258039</v>
      </c>
      <c r="Y167" s="114">
        <f>IFERROR(__xludf.DUMMYFUNCTION("""COMPUTED_VALUE"""),0.6737621009416276)</f>
        <v>0.6737621009</v>
      </c>
      <c r="Z167" s="118">
        <f>IFERROR(__xludf.DUMMYFUNCTION("""COMPUTED_VALUE"""),3454.0)</f>
        <v>3454</v>
      </c>
      <c r="AA167" s="118">
        <f>IFERROR(__xludf.DUMMYFUNCTION("""COMPUTED_VALUE"""),4121.0)</f>
        <v>4121</v>
      </c>
      <c r="AB167" s="118">
        <f>IFERROR(__xludf.DUMMYFUNCTION("""COMPUTED_VALUE"""),7575.0)</f>
        <v>7575</v>
      </c>
    </row>
    <row r="168">
      <c r="A168" s="109">
        <f>IFERROR(__xludf.DUMMYFUNCTION("""COMPUTED_VALUE"""),45954.55216516204)</f>
        <v>45954.55217</v>
      </c>
      <c r="B168" s="81" t="str">
        <f>IFERROR(__xludf.DUMMYFUNCTION("""COMPUTED_VALUE"""),"Orpheus Wilson")</f>
        <v>Orpheus Wilson</v>
      </c>
      <c r="C168" s="74" t="b">
        <f>IFERROR(__xludf.DUMMYFUNCTION("""COMPUTED_VALUE"""),FALSE)</f>
        <v>0</v>
      </c>
      <c r="D168" s="137">
        <f>IFERROR(__xludf.DUMMYFUNCTION("""COMPUTED_VALUE"""),0.47916666666424135)</f>
        <v>0.4791666667</v>
      </c>
      <c r="E168" s="82">
        <f>IFERROR(__xludf.DUMMYFUNCTION("""COMPUTED_VALUE"""),0.07152777777810115)</f>
        <v>0.07152777778</v>
      </c>
      <c r="F168" s="137">
        <f>IFERROR(__xludf.DUMMYFUNCTION("""COMPUTED_VALUE"""),0.5506944444423425)</f>
        <v>0.5506944444</v>
      </c>
      <c r="G168" s="82">
        <f>IFERROR(__xludf.DUMMYFUNCTION("""COMPUTED_VALUE"""),0.07152777777810115)</f>
        <v>0.07152777778</v>
      </c>
      <c r="H168" s="115">
        <f>IFERROR(__xludf.DUMMYFUNCTION("""COMPUTED_VALUE"""),109.0)</f>
        <v>109</v>
      </c>
      <c r="I168" s="112">
        <f>IFERROR(__xludf.DUMMYFUNCTION("""COMPUTED_VALUE"""),63.495145630780904)</f>
        <v>63.49514563</v>
      </c>
      <c r="J168" s="74" t="str">
        <f>IFERROR(__xludf.DUMMYFUNCTION("""COMPUTED_VALUE"""),"Lunch")</f>
        <v>Lunch</v>
      </c>
      <c r="K168" s="113">
        <f>IFERROR(__xludf.DUMMYFUNCTION("""COMPUTED_VALUE"""),45954.0)</f>
        <v>45954</v>
      </c>
      <c r="L168" s="74" t="str">
        <f>IFERROR(__xludf.DUMMYFUNCTION("""COMPUTED_VALUE"""),"Friday")</f>
        <v>Friday</v>
      </c>
      <c r="M168" s="74" t="str">
        <f>IFERROR(__xludf.DUMMYFUNCTION("""COMPUTED_VALUE"""),"MF")</f>
        <v>MF</v>
      </c>
      <c r="N168" s="114">
        <f>IFERROR(__xludf.DUMMYFUNCTION("""COMPUTED_VALUE"""),1.3203715993599263)</f>
        <v>1.320371599</v>
      </c>
      <c r="O168" s="74" t="str">
        <f>IFERROR(__xludf.DUMMYFUNCTION("""COMPUTED_VALUE"""),"")</f>
        <v/>
      </c>
      <c r="P168" s="74" t="str">
        <f>IFERROR(__xludf.DUMMYFUNCTION("""COMPUTED_VALUE"""),"")</f>
        <v/>
      </c>
      <c r="Q168" s="82" t="str">
        <f>IFERROR(__xludf.DUMMYFUNCTION("""COMPUTED_VALUE"""),"")</f>
        <v/>
      </c>
      <c r="R168" s="82" t="str">
        <f>IFERROR(__xludf.DUMMYFUNCTION("""COMPUTED_VALUE"""),"")</f>
        <v/>
      </c>
      <c r="S168" s="63" t="str">
        <f>IFERROR(__xludf.DUMMYFUNCTION("""COMPUTED_VALUE"""),"")</f>
        <v/>
      </c>
      <c r="T168" s="63" t="str">
        <f>IFERROR(__xludf.DUMMYFUNCTION("""COMPUTED_VALUE"""),"")</f>
        <v/>
      </c>
      <c r="U168" s="138" t="str">
        <f>IFERROR(__xludf.DUMMYFUNCTION("""COMPUTED_VALUE"""),"")</f>
        <v/>
      </c>
      <c r="V168" s="82" t="str">
        <f>IFERROR(__xludf.DUMMYFUNCTION("""COMPUTED_VALUE"""),"")</f>
        <v/>
      </c>
      <c r="W168" s="64" t="str">
        <f>IFERROR(__xludf.DUMMYFUNCTION("""COMPUTED_VALUE"""),"")</f>
        <v/>
      </c>
      <c r="X168" s="64" t="str">
        <f>IFERROR(__xludf.DUMMYFUNCTION("""COMPUTED_VALUE"""),"")</f>
        <v/>
      </c>
      <c r="Y168" s="114" t="str">
        <f>IFERROR(__xludf.DUMMYFUNCTION("""COMPUTED_VALUE"""),"")</f>
        <v/>
      </c>
      <c r="Z168" s="118" t="str">
        <f>IFERROR(__xludf.DUMMYFUNCTION("""COMPUTED_VALUE"""),"")</f>
        <v/>
      </c>
      <c r="AA168" s="118" t="str">
        <f>IFERROR(__xludf.DUMMYFUNCTION("""COMPUTED_VALUE"""),"")</f>
        <v/>
      </c>
      <c r="AB168" s="74" t="str">
        <f>IFERROR(__xludf.DUMMYFUNCTION("""COMPUTED_VALUE"""),"")</f>
        <v/>
      </c>
    </row>
    <row r="169">
      <c r="A169" s="109">
        <f>IFERROR(__xludf.DUMMYFUNCTION("""COMPUTED_VALUE"""),45954.63197565972)</f>
        <v>45954.63198</v>
      </c>
      <c r="B169" s="81" t="str">
        <f>IFERROR(__xludf.DUMMYFUNCTION("""COMPUTED_VALUE"""),"Brynn Hornig")</f>
        <v>Brynn Hornig</v>
      </c>
      <c r="C169" s="74" t="b">
        <f>IFERROR(__xludf.DUMMYFUNCTION("""COMPUTED_VALUE"""),FALSE)</f>
        <v>0</v>
      </c>
      <c r="D169" s="137">
        <f>IFERROR(__xludf.DUMMYFUNCTION("""COMPUTED_VALUE"""),0.5520833333357587)</f>
        <v>0.5520833333</v>
      </c>
      <c r="E169" s="82">
        <f>IFERROR(__xludf.DUMMYFUNCTION("""COMPUTED_VALUE"""),0.0833333333284827)</f>
        <v>0.08333333333</v>
      </c>
      <c r="F169" s="137">
        <f>IFERROR(__xludf.DUMMYFUNCTION("""COMPUTED_VALUE"""),0.6354166666642413)</f>
        <v>0.6354166667</v>
      </c>
      <c r="G169" s="82">
        <f>IFERROR(__xludf.DUMMYFUNCTION("""COMPUTED_VALUE"""),0.0833333333284827)</f>
        <v>0.08333333333</v>
      </c>
      <c r="H169" s="115">
        <f>IFERROR(__xludf.DUMMYFUNCTION("""COMPUTED_VALUE"""),82.0)</f>
        <v>82</v>
      </c>
      <c r="I169" s="112">
        <f>IFERROR(__xludf.DUMMYFUNCTION("""COMPUTED_VALUE"""),41.000000002386514)</f>
        <v>41</v>
      </c>
      <c r="J169" s="74" t="str">
        <f>IFERROR(__xludf.DUMMYFUNCTION("""COMPUTED_VALUE"""),"Lunch")</f>
        <v>Lunch</v>
      </c>
      <c r="K169" s="113">
        <f>IFERROR(__xludf.DUMMYFUNCTION("""COMPUTED_VALUE"""),45954.0)</f>
        <v>45954</v>
      </c>
      <c r="L169" s="74" t="str">
        <f>IFERROR(__xludf.DUMMYFUNCTION("""COMPUTED_VALUE"""),"Friday")</f>
        <v>Friday</v>
      </c>
      <c r="M169" s="74" t="str">
        <f>IFERROR(__xludf.DUMMYFUNCTION("""COMPUTED_VALUE"""),"MF")</f>
        <v>MF</v>
      </c>
      <c r="N169" s="114">
        <f>IFERROR(__xludf.DUMMYFUNCTION("""COMPUTED_VALUE"""),0.852588572545373)</f>
        <v>0.8525885725</v>
      </c>
      <c r="O169" s="74" t="str">
        <f>IFERROR(__xludf.DUMMYFUNCTION("""COMPUTED_VALUE"""),"")</f>
        <v/>
      </c>
      <c r="P169" s="74" t="str">
        <f>IFERROR(__xludf.DUMMYFUNCTION("""COMPUTED_VALUE"""),"")</f>
        <v/>
      </c>
      <c r="Q169" s="82" t="str">
        <f>IFERROR(__xludf.DUMMYFUNCTION("""COMPUTED_VALUE"""),"")</f>
        <v/>
      </c>
      <c r="R169" s="82" t="str">
        <f>IFERROR(__xludf.DUMMYFUNCTION("""COMPUTED_VALUE"""),"")</f>
        <v/>
      </c>
      <c r="S169" s="63" t="str">
        <f>IFERROR(__xludf.DUMMYFUNCTION("""COMPUTED_VALUE"""),"")</f>
        <v/>
      </c>
      <c r="T169" s="63" t="str">
        <f>IFERROR(__xludf.DUMMYFUNCTION("""COMPUTED_VALUE"""),"")</f>
        <v/>
      </c>
      <c r="U169" s="138" t="str">
        <f>IFERROR(__xludf.DUMMYFUNCTION("""COMPUTED_VALUE"""),"")</f>
        <v/>
      </c>
      <c r="V169" s="82" t="str">
        <f>IFERROR(__xludf.DUMMYFUNCTION("""COMPUTED_VALUE"""),"")</f>
        <v/>
      </c>
      <c r="W169" s="64" t="str">
        <f>IFERROR(__xludf.DUMMYFUNCTION("""COMPUTED_VALUE"""),"")</f>
        <v/>
      </c>
      <c r="X169" s="64" t="str">
        <f>IFERROR(__xludf.DUMMYFUNCTION("""COMPUTED_VALUE"""),"")</f>
        <v/>
      </c>
      <c r="Y169" s="114" t="str">
        <f>IFERROR(__xludf.DUMMYFUNCTION("""COMPUTED_VALUE"""),"")</f>
        <v/>
      </c>
      <c r="Z169" s="118" t="str">
        <f>IFERROR(__xludf.DUMMYFUNCTION("""COMPUTED_VALUE"""),"")</f>
        <v/>
      </c>
      <c r="AA169" s="118" t="str">
        <f>IFERROR(__xludf.DUMMYFUNCTION("""COMPUTED_VALUE"""),"")</f>
        <v/>
      </c>
      <c r="AB169" s="74" t="str">
        <f>IFERROR(__xludf.DUMMYFUNCTION("""COMPUTED_VALUE"""),"")</f>
        <v/>
      </c>
    </row>
    <row r="170">
      <c r="A170" s="109">
        <f>IFERROR(__xludf.DUMMYFUNCTION("""COMPUTED_VALUE"""),45954.756993159725)</f>
        <v>45954.75699</v>
      </c>
      <c r="B170" s="81" t="str">
        <f>IFERROR(__xludf.DUMMYFUNCTION("""COMPUTED_VALUE"""),"Emmett Khan")</f>
        <v>Emmett Khan</v>
      </c>
      <c r="C170" s="74" t="b">
        <f>IFERROR(__xludf.DUMMYFUNCTION("""COMPUTED_VALUE"""),FALSE)</f>
        <v>0</v>
      </c>
      <c r="D170" s="137">
        <f>IFERROR(__xludf.DUMMYFUNCTION("""COMPUTED_VALUE"""),0.6666666666642413)</f>
        <v>0.6666666667</v>
      </c>
      <c r="E170" s="82">
        <f>IFERROR(__xludf.DUMMYFUNCTION("""COMPUTED_VALUE"""),0.09375)</f>
        <v>0.09375</v>
      </c>
      <c r="F170" s="137">
        <f>IFERROR(__xludf.DUMMYFUNCTION("""COMPUTED_VALUE"""),0.7604166666642413)</f>
        <v>0.7604166667</v>
      </c>
      <c r="G170" s="82">
        <f>IFERROR(__xludf.DUMMYFUNCTION("""COMPUTED_VALUE"""),0.09375)</f>
        <v>0.09375</v>
      </c>
      <c r="H170" s="115">
        <f>IFERROR(__xludf.DUMMYFUNCTION("""COMPUTED_VALUE"""),169.0)</f>
        <v>169</v>
      </c>
      <c r="I170" s="112">
        <f>IFERROR(__xludf.DUMMYFUNCTION("""COMPUTED_VALUE"""),75.11111111111111)</f>
        <v>75.11111111</v>
      </c>
      <c r="J170" s="74" t="str">
        <f>IFERROR(__xludf.DUMMYFUNCTION("""COMPUTED_VALUE"""),"Dinner")</f>
        <v>Dinner</v>
      </c>
      <c r="K170" s="113">
        <f>IFERROR(__xludf.DUMMYFUNCTION("""COMPUTED_VALUE"""),45954.0)</f>
        <v>45954</v>
      </c>
      <c r="L170" s="74" t="str">
        <f>IFERROR(__xludf.DUMMYFUNCTION("""COMPUTED_VALUE"""),"Friday")</f>
        <v>Friday</v>
      </c>
      <c r="M170" s="74" t="str">
        <f>IFERROR(__xludf.DUMMYFUNCTION("""COMPUTED_VALUE"""),"MF")</f>
        <v>MF</v>
      </c>
      <c r="N170" s="114">
        <f>IFERROR(__xludf.DUMMYFUNCTION("""COMPUTED_VALUE"""),1.4800634045530485)</f>
        <v>1.480063405</v>
      </c>
      <c r="O170" s="74">
        <f>IFERROR(__xludf.DUMMYFUNCTION("""COMPUTED_VALUE"""),360.0)</f>
        <v>360</v>
      </c>
      <c r="P170" s="74" t="str">
        <f>IFERROR(__xludf.DUMMYFUNCTION("""COMPUTED_VALUE"""),"")</f>
        <v/>
      </c>
      <c r="Q170" s="82">
        <f>IFERROR(__xludf.DUMMYFUNCTION("""COMPUTED_VALUE"""),0.24861111110658385)</f>
        <v>0.2486111111</v>
      </c>
      <c r="R170" s="82" t="str">
        <f>IFERROR(__xludf.DUMMYFUNCTION("""COMPUTED_VALUE"""),"")</f>
        <v/>
      </c>
      <c r="S170" s="63">
        <f>IFERROR(__xludf.DUMMYFUNCTION("""COMPUTED_VALUE"""),59.86875224809285)</f>
        <v>59.86875225</v>
      </c>
      <c r="T170" s="63" t="str">
        <f>IFERROR(__xludf.DUMMYFUNCTION("""COMPUTED_VALUE"""),"")</f>
        <v/>
      </c>
      <c r="U170" s="138">
        <f>IFERROR(__xludf.DUMMYFUNCTION("""COMPUTED_VALUE"""),360.0)</f>
        <v>360</v>
      </c>
      <c r="V170" s="82">
        <f>IFERROR(__xludf.DUMMYFUNCTION("""COMPUTED_VALUE"""),0.24861111110658385)</f>
        <v>0.2486111111</v>
      </c>
      <c r="W170" s="64">
        <f>IFERROR(__xludf.DUMMYFUNCTION("""COMPUTED_VALUE"""),60.33519553182497)</f>
        <v>60.33519553</v>
      </c>
      <c r="X170" s="64">
        <f>IFERROR(__xludf.DUMMYFUNCTION("""COMPUTED_VALUE"""),59.86875224809285)</f>
        <v>59.86875225</v>
      </c>
      <c r="Y170" s="114">
        <f>IFERROR(__xludf.DUMMYFUNCTION("""COMPUTED_VALUE"""),1.3129249952299953)</f>
        <v>1.312924995</v>
      </c>
      <c r="Z170" s="118">
        <f>IFERROR(__xludf.DUMMYFUNCTION("""COMPUTED_VALUE"""),3219.0)</f>
        <v>3219</v>
      </c>
      <c r="AA170" s="118">
        <f>IFERROR(__xludf.DUMMYFUNCTION("""COMPUTED_VALUE"""),1952.0)</f>
        <v>1952</v>
      </c>
      <c r="AB170" s="118">
        <f>IFERROR(__xludf.DUMMYFUNCTION("""COMPUTED_VALUE"""),5171.0)</f>
        <v>5171</v>
      </c>
    </row>
    <row r="171">
      <c r="A171" s="109">
        <f>IFERROR(__xludf.DUMMYFUNCTION("""COMPUTED_VALUE"""),45957.43852415509)</f>
        <v>45957.43852</v>
      </c>
      <c r="B171" s="81" t="str">
        <f>IFERROR(__xludf.DUMMYFUNCTION("""COMPUTED_VALUE"""),"Sarah Wilme")</f>
        <v>Sarah Wilme</v>
      </c>
      <c r="C171" s="74" t="b">
        <f>IFERROR(__xludf.DUMMYFUNCTION("""COMPUTED_VALUE"""),FALSE)</f>
        <v>0</v>
      </c>
      <c r="D171" s="137">
        <f>IFERROR(__xludf.DUMMYFUNCTION("""COMPUTED_VALUE"""),0.3180555555591127)</f>
        <v>0.3180555556</v>
      </c>
      <c r="E171" s="82">
        <f>IFERROR(__xludf.DUMMYFUNCTION("""COMPUTED_VALUE"""),0.12013888888759539)</f>
        <v>0.1201388889</v>
      </c>
      <c r="F171" s="137">
        <f>IFERROR(__xludf.DUMMYFUNCTION("""COMPUTED_VALUE"""),0.4381944444467081)</f>
        <v>0.4381944444</v>
      </c>
      <c r="G171" s="82">
        <f>IFERROR(__xludf.DUMMYFUNCTION("""COMPUTED_VALUE"""),0.12013888888759539)</f>
        <v>0.1201388889</v>
      </c>
      <c r="H171" s="115">
        <f>IFERROR(__xludf.DUMMYFUNCTION("""COMPUTED_VALUE"""),83.0)</f>
        <v>83</v>
      </c>
      <c r="I171" s="112">
        <f>IFERROR(__xludf.DUMMYFUNCTION("""COMPUTED_VALUE"""),28.78612716793999)</f>
        <v>28.78612717</v>
      </c>
      <c r="J171" s="74" t="str">
        <f>IFERROR(__xludf.DUMMYFUNCTION("""COMPUTED_VALUE"""),"Breakfast")</f>
        <v>Breakfast</v>
      </c>
      <c r="K171" s="113">
        <f>IFERROR(__xludf.DUMMYFUNCTION("""COMPUTED_VALUE"""),45957.0)</f>
        <v>45957</v>
      </c>
      <c r="L171" s="74" t="str">
        <f>IFERROR(__xludf.DUMMYFUNCTION("""COMPUTED_VALUE"""),"Monday")</f>
        <v>Monday</v>
      </c>
      <c r="M171" s="74" t="str">
        <f>IFERROR(__xludf.DUMMYFUNCTION("""COMPUTED_VALUE"""),"BF")</f>
        <v>BF</v>
      </c>
      <c r="N171" s="114">
        <f>IFERROR(__xludf.DUMMYFUNCTION("""COMPUTED_VALUE"""),1.219126278785252)</f>
        <v>1.219126279</v>
      </c>
      <c r="O171" s="74" t="str">
        <f>IFERROR(__xludf.DUMMYFUNCTION("""COMPUTED_VALUE"""),"")</f>
        <v/>
      </c>
      <c r="P171" s="74" t="str">
        <f>IFERROR(__xludf.DUMMYFUNCTION("""COMPUTED_VALUE"""),"")</f>
        <v/>
      </c>
      <c r="Q171" s="82" t="str">
        <f>IFERROR(__xludf.DUMMYFUNCTION("""COMPUTED_VALUE"""),"")</f>
        <v/>
      </c>
      <c r="R171" s="82" t="str">
        <f>IFERROR(__xludf.DUMMYFUNCTION("""COMPUTED_VALUE"""),"")</f>
        <v/>
      </c>
      <c r="S171" s="63" t="str">
        <f>IFERROR(__xludf.DUMMYFUNCTION("""COMPUTED_VALUE"""),"")</f>
        <v/>
      </c>
      <c r="T171" s="63" t="str">
        <f>IFERROR(__xludf.DUMMYFUNCTION("""COMPUTED_VALUE"""),"")</f>
        <v/>
      </c>
      <c r="U171" s="138" t="str">
        <f>IFERROR(__xludf.DUMMYFUNCTION("""COMPUTED_VALUE"""),"")</f>
        <v/>
      </c>
      <c r="V171" s="82" t="str">
        <f>IFERROR(__xludf.DUMMYFUNCTION("""COMPUTED_VALUE"""),"")</f>
        <v/>
      </c>
      <c r="W171" s="64" t="str">
        <f>IFERROR(__xludf.DUMMYFUNCTION("""COMPUTED_VALUE"""),"")</f>
        <v/>
      </c>
      <c r="X171" s="64" t="str">
        <f>IFERROR(__xludf.DUMMYFUNCTION("""COMPUTED_VALUE"""),"")</f>
        <v/>
      </c>
      <c r="Y171" s="114" t="str">
        <f>IFERROR(__xludf.DUMMYFUNCTION("""COMPUTED_VALUE"""),"")</f>
        <v/>
      </c>
      <c r="Z171" s="118" t="str">
        <f>IFERROR(__xludf.DUMMYFUNCTION("""COMPUTED_VALUE"""),"")</f>
        <v/>
      </c>
      <c r="AA171" s="118" t="str">
        <f>IFERROR(__xludf.DUMMYFUNCTION("""COMPUTED_VALUE"""),"")</f>
        <v/>
      </c>
      <c r="AB171" s="74" t="str">
        <f>IFERROR(__xludf.DUMMYFUNCTION("""COMPUTED_VALUE"""),"")</f>
        <v/>
      </c>
    </row>
    <row r="172">
      <c r="A172" s="109">
        <f>IFERROR(__xludf.DUMMYFUNCTION("""COMPUTED_VALUE"""),45957.63377130787)</f>
        <v>45957.63377</v>
      </c>
      <c r="B172" s="81" t="str">
        <f>IFERROR(__xludf.DUMMYFUNCTION("""COMPUTED_VALUE"""),"Greta Traynor")</f>
        <v>Greta Traynor</v>
      </c>
      <c r="C172" s="74" t="b">
        <f>IFERROR(__xludf.DUMMYFUNCTION("""COMPUTED_VALUE"""),FALSE)</f>
        <v>0</v>
      </c>
      <c r="D172" s="137">
        <f>IFERROR(__xludf.DUMMYFUNCTION("""COMPUTED_VALUE"""),0.5645833333328483)</f>
        <v>0.5645833333</v>
      </c>
      <c r="E172" s="82">
        <f>IFERROR(__xludf.DUMMYFUNCTION("""COMPUTED_VALUE"""),0.06805555555183673)</f>
        <v>0.06805555555</v>
      </c>
      <c r="F172" s="137">
        <f>IFERROR(__xludf.DUMMYFUNCTION("""COMPUTED_VALUE"""),0.632638888884685)</f>
        <v>0.6326388889</v>
      </c>
      <c r="G172" s="82">
        <f>IFERROR(__xludf.DUMMYFUNCTION("""COMPUTED_VALUE"""),0.06805555555183673)</f>
        <v>0.06805555555</v>
      </c>
      <c r="H172" s="115">
        <f>IFERROR(__xludf.DUMMYFUNCTION("""COMPUTED_VALUE"""),90.0)</f>
        <v>90</v>
      </c>
      <c r="I172" s="112">
        <f>IFERROR(__xludf.DUMMYFUNCTION("""COMPUTED_VALUE"""),55.102040819337525)</f>
        <v>55.10204082</v>
      </c>
      <c r="J172" s="74" t="str">
        <f>IFERROR(__xludf.DUMMYFUNCTION("""COMPUTED_VALUE"""),"Lunch")</f>
        <v>Lunch</v>
      </c>
      <c r="K172" s="113">
        <f>IFERROR(__xludf.DUMMYFUNCTION("""COMPUTED_VALUE"""),45957.0)</f>
        <v>45957</v>
      </c>
      <c r="L172" s="74" t="str">
        <f>IFERROR(__xludf.DUMMYFUNCTION("""COMPUTED_VALUE"""),"Monday")</f>
        <v>Monday</v>
      </c>
      <c r="M172" s="74" t="str">
        <f>IFERROR(__xludf.DUMMYFUNCTION("""COMPUTED_VALUE"""),"MF")</f>
        <v>MF</v>
      </c>
      <c r="N172" s="114">
        <f>IFERROR(__xludf.DUMMYFUNCTION("""COMPUTED_VALUE"""),1.1458383005795438)</f>
        <v>1.145838301</v>
      </c>
      <c r="O172" s="74" t="str">
        <f>IFERROR(__xludf.DUMMYFUNCTION("""COMPUTED_VALUE"""),"")</f>
        <v/>
      </c>
      <c r="P172" s="74" t="str">
        <f>IFERROR(__xludf.DUMMYFUNCTION("""COMPUTED_VALUE"""),"")</f>
        <v/>
      </c>
      <c r="Q172" s="82" t="str">
        <f>IFERROR(__xludf.DUMMYFUNCTION("""COMPUTED_VALUE"""),"")</f>
        <v/>
      </c>
      <c r="R172" s="82" t="str">
        <f>IFERROR(__xludf.DUMMYFUNCTION("""COMPUTED_VALUE"""),"")</f>
        <v/>
      </c>
      <c r="S172" s="63" t="str">
        <f>IFERROR(__xludf.DUMMYFUNCTION("""COMPUTED_VALUE"""),"")</f>
        <v/>
      </c>
      <c r="T172" s="63" t="str">
        <f>IFERROR(__xludf.DUMMYFUNCTION("""COMPUTED_VALUE"""),"")</f>
        <v/>
      </c>
      <c r="U172" s="138" t="str">
        <f>IFERROR(__xludf.DUMMYFUNCTION("""COMPUTED_VALUE"""),"")</f>
        <v/>
      </c>
      <c r="V172" s="82" t="str">
        <f>IFERROR(__xludf.DUMMYFUNCTION("""COMPUTED_VALUE"""),"")</f>
        <v/>
      </c>
      <c r="W172" s="64" t="str">
        <f>IFERROR(__xludf.DUMMYFUNCTION("""COMPUTED_VALUE"""),"")</f>
        <v/>
      </c>
      <c r="X172" s="64" t="str">
        <f>IFERROR(__xludf.DUMMYFUNCTION("""COMPUTED_VALUE"""),"")</f>
        <v/>
      </c>
      <c r="Y172" s="114" t="str">
        <f>IFERROR(__xludf.DUMMYFUNCTION("""COMPUTED_VALUE"""),"")</f>
        <v/>
      </c>
      <c r="Z172" s="118" t="str">
        <f>IFERROR(__xludf.DUMMYFUNCTION("""COMPUTED_VALUE"""),"")</f>
        <v/>
      </c>
      <c r="AA172" s="118" t="str">
        <f>IFERROR(__xludf.DUMMYFUNCTION("""COMPUTED_VALUE"""),"")</f>
        <v/>
      </c>
      <c r="AB172" s="74" t="str">
        <f>IFERROR(__xludf.DUMMYFUNCTION("""COMPUTED_VALUE"""),"")</f>
        <v/>
      </c>
    </row>
    <row r="173">
      <c r="A173" s="109">
        <f>IFERROR(__xludf.DUMMYFUNCTION("""COMPUTED_VALUE"""),45957.654349027776)</f>
        <v>45957.65435</v>
      </c>
      <c r="B173" s="81" t="str">
        <f>IFERROR(__xludf.DUMMYFUNCTION("""COMPUTED_VALUE"""),"Emma Korsu")</f>
        <v>Emma Korsu</v>
      </c>
      <c r="C173" s="74" t="b">
        <f>IFERROR(__xludf.DUMMYFUNCTION("""COMPUTED_VALUE"""),FALSE)</f>
        <v>0</v>
      </c>
      <c r="D173" s="137">
        <f>IFERROR(__xludf.DUMMYFUNCTION("""COMPUTED_VALUE"""),0.5041666666656965)</f>
        <v>0.5041666667</v>
      </c>
      <c r="E173" s="82">
        <f>IFERROR(__xludf.DUMMYFUNCTION("""COMPUTED_VALUE"""),0.14930555555474712)</f>
        <v>0.1493055556</v>
      </c>
      <c r="F173" s="137">
        <f>IFERROR(__xludf.DUMMYFUNCTION("""COMPUTED_VALUE"""),0.6534722222204437)</f>
        <v>0.6534722222</v>
      </c>
      <c r="G173" s="82">
        <f>IFERROR(__xludf.DUMMYFUNCTION("""COMPUTED_VALUE"""),0.14930555555474712)</f>
        <v>0.1493055556</v>
      </c>
      <c r="H173" s="115">
        <f>IFERROR(__xludf.DUMMYFUNCTION("""COMPUTED_VALUE"""),138.0)</f>
        <v>138</v>
      </c>
      <c r="I173" s="112">
        <f>IFERROR(__xludf.DUMMYFUNCTION("""COMPUTED_VALUE"""),38.51162790718527)</f>
        <v>38.51162791</v>
      </c>
      <c r="J173" s="74" t="str">
        <f>IFERROR(__xludf.DUMMYFUNCTION("""COMPUTED_VALUE"""),"Lunch")</f>
        <v>Lunch</v>
      </c>
      <c r="K173" s="113">
        <f>IFERROR(__xludf.DUMMYFUNCTION("""COMPUTED_VALUE"""),45957.0)</f>
        <v>45957</v>
      </c>
      <c r="L173" s="74" t="str">
        <f>IFERROR(__xludf.DUMMYFUNCTION("""COMPUTED_VALUE"""),"Monday")</f>
        <v>Monday</v>
      </c>
      <c r="M173" s="74" t="str">
        <f>IFERROR(__xludf.DUMMYFUNCTION("""COMPUTED_VALUE"""),"BF")</f>
        <v>BF</v>
      </c>
      <c r="N173" s="114">
        <f>IFERROR(__xludf.DUMMYFUNCTION("""COMPUTED_VALUE"""),0.9917821632346002)</f>
        <v>0.9917821632</v>
      </c>
      <c r="O173" s="74" t="str">
        <f>IFERROR(__xludf.DUMMYFUNCTION("""COMPUTED_VALUE"""),"")</f>
        <v/>
      </c>
      <c r="P173" s="74" t="str">
        <f>IFERROR(__xludf.DUMMYFUNCTION("""COMPUTED_VALUE"""),"")</f>
        <v/>
      </c>
      <c r="Q173" s="82" t="str">
        <f>IFERROR(__xludf.DUMMYFUNCTION("""COMPUTED_VALUE"""),"")</f>
        <v/>
      </c>
      <c r="R173" s="82" t="str">
        <f>IFERROR(__xludf.DUMMYFUNCTION("""COMPUTED_VALUE"""),"")</f>
        <v/>
      </c>
      <c r="S173" s="63" t="str">
        <f>IFERROR(__xludf.DUMMYFUNCTION("""COMPUTED_VALUE"""),"")</f>
        <v/>
      </c>
      <c r="T173" s="63" t="str">
        <f>IFERROR(__xludf.DUMMYFUNCTION("""COMPUTED_VALUE"""),"")</f>
        <v/>
      </c>
      <c r="U173" s="138" t="str">
        <f>IFERROR(__xludf.DUMMYFUNCTION("""COMPUTED_VALUE"""),"")</f>
        <v/>
      </c>
      <c r="V173" s="82" t="str">
        <f>IFERROR(__xludf.DUMMYFUNCTION("""COMPUTED_VALUE"""),"")</f>
        <v/>
      </c>
      <c r="W173" s="64" t="str">
        <f>IFERROR(__xludf.DUMMYFUNCTION("""COMPUTED_VALUE"""),"")</f>
        <v/>
      </c>
      <c r="X173" s="64" t="str">
        <f>IFERROR(__xludf.DUMMYFUNCTION("""COMPUTED_VALUE"""),"")</f>
        <v/>
      </c>
      <c r="Y173" s="114" t="str">
        <f>IFERROR(__xludf.DUMMYFUNCTION("""COMPUTED_VALUE"""),"")</f>
        <v/>
      </c>
      <c r="Z173" s="118" t="str">
        <f>IFERROR(__xludf.DUMMYFUNCTION("""COMPUTED_VALUE"""),"")</f>
        <v/>
      </c>
      <c r="AA173" s="118" t="str">
        <f>IFERROR(__xludf.DUMMYFUNCTION("""COMPUTED_VALUE"""),"")</f>
        <v/>
      </c>
      <c r="AB173" s="74" t="str">
        <f>IFERROR(__xludf.DUMMYFUNCTION("""COMPUTED_VALUE"""),"")</f>
        <v/>
      </c>
    </row>
    <row r="174">
      <c r="A174" s="109">
        <f>IFERROR(__xludf.DUMMYFUNCTION("""COMPUTED_VALUE"""),45957.77233432871)</f>
        <v>45957.77233</v>
      </c>
      <c r="B174" s="81" t="str">
        <f>IFERROR(__xludf.DUMMYFUNCTION("""COMPUTED_VALUE"""),"Maureen Surgot")</f>
        <v>Maureen Surgot</v>
      </c>
      <c r="C174" s="74" t="b">
        <f>IFERROR(__xludf.DUMMYFUNCTION("""COMPUTED_VALUE"""),FALSE)</f>
        <v>0</v>
      </c>
      <c r="D174" s="137">
        <f>IFERROR(__xludf.DUMMYFUNCTION("""COMPUTED_VALUE"""),0.6666666666642413)</f>
        <v>0.6666666667</v>
      </c>
      <c r="E174" s="82">
        <f>IFERROR(__xludf.DUMMYFUNCTION("""COMPUTED_VALUE"""),0.1041666666715173)</f>
        <v>0.1041666667</v>
      </c>
      <c r="F174" s="137">
        <f>IFERROR(__xludf.DUMMYFUNCTION("""COMPUTED_VALUE"""),0.7708333333357587)</f>
        <v>0.7708333333</v>
      </c>
      <c r="G174" s="82">
        <f>IFERROR(__xludf.DUMMYFUNCTION("""COMPUTED_VALUE"""),0.1041666666715173)</f>
        <v>0.1041666667</v>
      </c>
      <c r="H174" s="115">
        <f>IFERROR(__xludf.DUMMYFUNCTION("""COMPUTED_VALUE"""),104.0)</f>
        <v>104</v>
      </c>
      <c r="I174" s="112">
        <f>IFERROR(__xludf.DUMMYFUNCTION("""COMPUTED_VALUE"""),41.59999999806285)</f>
        <v>41.6</v>
      </c>
      <c r="J174" s="74" t="str">
        <f>IFERROR(__xludf.DUMMYFUNCTION("""COMPUTED_VALUE"""),"Dinner")</f>
        <v>Dinner</v>
      </c>
      <c r="K174" s="113">
        <f>IFERROR(__xludf.DUMMYFUNCTION("""COMPUTED_VALUE"""),45957.0)</f>
        <v>45957</v>
      </c>
      <c r="L174" s="74" t="str">
        <f>IFERROR(__xludf.DUMMYFUNCTION("""COMPUTED_VALUE"""),"Monday")</f>
        <v>Monday</v>
      </c>
      <c r="M174" s="74" t="str">
        <f>IFERROR(__xludf.DUMMYFUNCTION("""COMPUTED_VALUE"""),"MF")</f>
        <v>MF</v>
      </c>
      <c r="N174" s="114">
        <f>IFERROR(__xludf.DUMMYFUNCTION("""COMPUTED_VALUE"""),0.8197274240219784)</f>
        <v>0.819727424</v>
      </c>
      <c r="O174" s="74" t="str">
        <f>IFERROR(__xludf.DUMMYFUNCTION("""COMPUTED_VALUE"""),"")</f>
        <v/>
      </c>
      <c r="P174" s="74" t="str">
        <f>IFERROR(__xludf.DUMMYFUNCTION("""COMPUTED_VALUE"""),"")</f>
        <v/>
      </c>
      <c r="Q174" s="82" t="str">
        <f>IFERROR(__xludf.DUMMYFUNCTION("""COMPUTED_VALUE"""),"")</f>
        <v/>
      </c>
      <c r="R174" s="82" t="str">
        <f>IFERROR(__xludf.DUMMYFUNCTION("""COMPUTED_VALUE"""),"")</f>
        <v/>
      </c>
      <c r="S174" s="63" t="str">
        <f>IFERROR(__xludf.DUMMYFUNCTION("""COMPUTED_VALUE"""),"")</f>
        <v/>
      </c>
      <c r="T174" s="63" t="str">
        <f>IFERROR(__xludf.DUMMYFUNCTION("""COMPUTED_VALUE"""),"")</f>
        <v/>
      </c>
      <c r="U174" s="138" t="str">
        <f>IFERROR(__xludf.DUMMYFUNCTION("""COMPUTED_VALUE"""),"")</f>
        <v/>
      </c>
      <c r="V174" s="82" t="str">
        <f>IFERROR(__xludf.DUMMYFUNCTION("""COMPUTED_VALUE"""),"")</f>
        <v/>
      </c>
      <c r="W174" s="64" t="str">
        <f>IFERROR(__xludf.DUMMYFUNCTION("""COMPUTED_VALUE"""),"")</f>
        <v/>
      </c>
      <c r="X174" s="64" t="str">
        <f>IFERROR(__xludf.DUMMYFUNCTION("""COMPUTED_VALUE"""),"")</f>
        <v/>
      </c>
      <c r="Y174" s="114" t="str">
        <f>IFERROR(__xludf.DUMMYFUNCTION("""COMPUTED_VALUE"""),"")</f>
        <v/>
      </c>
      <c r="Z174" s="118" t="str">
        <f>IFERROR(__xludf.DUMMYFUNCTION("""COMPUTED_VALUE"""),"")</f>
        <v/>
      </c>
      <c r="AA174" s="118" t="str">
        <f>IFERROR(__xludf.DUMMYFUNCTION("""COMPUTED_VALUE"""),"")</f>
        <v/>
      </c>
      <c r="AB174" s="74" t="str">
        <f>IFERROR(__xludf.DUMMYFUNCTION("""COMPUTED_VALUE"""),"")</f>
        <v/>
      </c>
    </row>
    <row r="175">
      <c r="A175" s="109">
        <f>IFERROR(__xludf.DUMMYFUNCTION("""COMPUTED_VALUE"""),45957.80785972222)</f>
        <v>45957.80786</v>
      </c>
      <c r="B175" s="81" t="str">
        <f>IFERROR(__xludf.DUMMYFUNCTION("""COMPUTED_VALUE"""),"Kaylie Forgue")</f>
        <v>Kaylie Forgue</v>
      </c>
      <c r="C175" s="74" t="b">
        <f>IFERROR(__xludf.DUMMYFUNCTION("""COMPUTED_VALUE"""),FALSE)</f>
        <v>0</v>
      </c>
      <c r="D175" s="137">
        <f>IFERROR(__xludf.DUMMYFUNCTION("""COMPUTED_VALUE"""),0.6881944444467081)</f>
        <v>0.6881944444</v>
      </c>
      <c r="E175" s="82">
        <f>IFERROR(__xludf.DUMMYFUNCTION("""COMPUTED_VALUE"""),0.11597222222189885)</f>
        <v>0.1159722222</v>
      </c>
      <c r="F175" s="137">
        <f>IFERROR(__xludf.DUMMYFUNCTION("""COMPUTED_VALUE"""),0.8041666666686069)</f>
        <v>0.8041666667</v>
      </c>
      <c r="G175" s="82">
        <f>IFERROR(__xludf.DUMMYFUNCTION("""COMPUTED_VALUE"""),0.1708333333299379)</f>
        <v>0.1708333333</v>
      </c>
      <c r="H175" s="115">
        <f>IFERROR(__xludf.DUMMYFUNCTION("""COMPUTED_VALUE"""),173.0)</f>
        <v>173</v>
      </c>
      <c r="I175" s="112">
        <f>IFERROR(__xludf.DUMMYFUNCTION("""COMPUTED_VALUE"""),42.19512195205817)</f>
        <v>42.19512195</v>
      </c>
      <c r="J175" s="74" t="str">
        <f>IFERROR(__xludf.DUMMYFUNCTION("""COMPUTED_VALUE"""),"Dinner")</f>
        <v>Dinner</v>
      </c>
      <c r="K175" s="113">
        <f>IFERROR(__xludf.DUMMYFUNCTION("""COMPUTED_VALUE"""),45957.0)</f>
        <v>45957</v>
      </c>
      <c r="L175" s="74" t="str">
        <f>IFERROR(__xludf.DUMMYFUNCTION("""COMPUTED_VALUE"""),"Monday")</f>
        <v>Monday</v>
      </c>
      <c r="M175" s="74" t="str">
        <f>IFERROR(__xludf.DUMMYFUNCTION("""COMPUTED_VALUE"""),"BF")</f>
        <v>BF</v>
      </c>
      <c r="N175" s="114">
        <f>IFERROR(__xludf.DUMMYFUNCTION("""COMPUTED_VALUE"""),0.9957907386582282)</f>
        <v>0.9957907387</v>
      </c>
      <c r="O175" s="74" t="str">
        <f>IFERROR(__xludf.DUMMYFUNCTION("""COMPUTED_VALUE"""),"")</f>
        <v/>
      </c>
      <c r="P175" s="74" t="str">
        <f>IFERROR(__xludf.DUMMYFUNCTION("""COMPUTED_VALUE"""),"")</f>
        <v/>
      </c>
      <c r="Q175" s="82" t="str">
        <f>IFERROR(__xludf.DUMMYFUNCTION("""COMPUTED_VALUE"""),"")</f>
        <v/>
      </c>
      <c r="R175" s="82" t="str">
        <f>IFERROR(__xludf.DUMMYFUNCTION("""COMPUTED_VALUE"""),"")</f>
        <v/>
      </c>
      <c r="S175" s="63" t="str">
        <f>IFERROR(__xludf.DUMMYFUNCTION("""COMPUTED_VALUE"""),"")</f>
        <v/>
      </c>
      <c r="T175" s="63" t="str">
        <f>IFERROR(__xludf.DUMMYFUNCTION("""COMPUTED_VALUE"""),"")</f>
        <v/>
      </c>
      <c r="U175" s="138" t="str">
        <f>IFERROR(__xludf.DUMMYFUNCTION("""COMPUTED_VALUE"""),"")</f>
        <v/>
      </c>
      <c r="V175" s="82" t="str">
        <f>IFERROR(__xludf.DUMMYFUNCTION("""COMPUTED_VALUE"""),"")</f>
        <v/>
      </c>
      <c r="W175" s="64" t="str">
        <f>IFERROR(__xludf.DUMMYFUNCTION("""COMPUTED_VALUE"""),"")</f>
        <v/>
      </c>
      <c r="X175" s="64" t="str">
        <f>IFERROR(__xludf.DUMMYFUNCTION("""COMPUTED_VALUE"""),"")</f>
        <v/>
      </c>
      <c r="Y175" s="114" t="str">
        <f>IFERROR(__xludf.DUMMYFUNCTION("""COMPUTED_VALUE"""),"")</f>
        <v/>
      </c>
      <c r="Z175" s="118" t="str">
        <f>IFERROR(__xludf.DUMMYFUNCTION("""COMPUTED_VALUE"""),"")</f>
        <v/>
      </c>
      <c r="AA175" s="118" t="str">
        <f>IFERROR(__xludf.DUMMYFUNCTION("""COMPUTED_VALUE"""),"")</f>
        <v/>
      </c>
      <c r="AB175" s="74" t="str">
        <f>IFERROR(__xludf.DUMMYFUNCTION("""COMPUTED_VALUE"""),"")</f>
        <v/>
      </c>
    </row>
    <row r="176">
      <c r="A176" s="109">
        <f>IFERROR(__xludf.DUMMYFUNCTION("""COMPUTED_VALUE"""),45957.85966873843)</f>
        <v>45957.85967</v>
      </c>
      <c r="B176" s="81" t="str">
        <f>IFERROR(__xludf.DUMMYFUNCTION("""COMPUTED_VALUE"""),"Kaylie Forgue")</f>
        <v>Kaylie Forgue</v>
      </c>
      <c r="C176" s="74" t="b">
        <f>IFERROR(__xludf.DUMMYFUNCTION("""COMPUTED_VALUE"""),TRUE)</f>
        <v>1</v>
      </c>
      <c r="D176" s="137">
        <f>IFERROR(__xludf.DUMMYFUNCTION("""COMPUTED_VALUE"""),0.8055555555547471)</f>
        <v>0.8055555556</v>
      </c>
      <c r="E176" s="82">
        <f>IFERROR(__xludf.DUMMYFUNCTION("""COMPUTED_VALUE"""),0.05486111110803904)</f>
        <v>0.05486111111</v>
      </c>
      <c r="F176" s="137">
        <f>IFERROR(__xludf.DUMMYFUNCTION("""COMPUTED_VALUE"""),0.8604166666627862)</f>
        <v>0.8604166667</v>
      </c>
      <c r="G176" s="82" t="str">
        <f>IFERROR(__xludf.DUMMYFUNCTION("""COMPUTED_VALUE"""),"")</f>
        <v/>
      </c>
      <c r="H176" s="115">
        <f>IFERROR(__xludf.DUMMYFUNCTION("""COMPUTED_VALUE"""),54.0)</f>
        <v>54</v>
      </c>
      <c r="I176" s="112" t="str">
        <f>IFERROR(__xludf.DUMMYFUNCTION("""COMPUTED_VALUE"""),"")</f>
        <v/>
      </c>
      <c r="J176" s="74" t="str">
        <f>IFERROR(__xludf.DUMMYFUNCTION("""COMPUTED_VALUE"""),"Dinner")</f>
        <v>Dinner</v>
      </c>
      <c r="K176" s="113">
        <f>IFERROR(__xludf.DUMMYFUNCTION("""COMPUTED_VALUE"""),45957.0)</f>
        <v>45957</v>
      </c>
      <c r="L176" s="74" t="str">
        <f>IFERROR(__xludf.DUMMYFUNCTION("""COMPUTED_VALUE"""),"Monday")</f>
        <v>Monday</v>
      </c>
      <c r="M176" s="74" t="str">
        <f>IFERROR(__xludf.DUMMYFUNCTION("""COMPUTED_VALUE"""),"BF")</f>
        <v>BF</v>
      </c>
      <c r="N176" s="114" t="str">
        <f>IFERROR(__xludf.DUMMYFUNCTION("""COMPUTED_VALUE"""),"")</f>
        <v/>
      </c>
      <c r="O176" s="74" t="str">
        <f>IFERROR(__xludf.DUMMYFUNCTION("""COMPUTED_VALUE"""),"")</f>
        <v/>
      </c>
      <c r="P176" s="74" t="str">
        <f>IFERROR(__xludf.DUMMYFUNCTION("""COMPUTED_VALUE"""),"")</f>
        <v/>
      </c>
      <c r="Q176" s="82" t="str">
        <f>IFERROR(__xludf.DUMMYFUNCTION("""COMPUTED_VALUE"""),"")</f>
        <v/>
      </c>
      <c r="R176" s="82" t="str">
        <f>IFERROR(__xludf.DUMMYFUNCTION("""COMPUTED_VALUE"""),"")</f>
        <v/>
      </c>
      <c r="S176" s="63" t="str">
        <f>IFERROR(__xludf.DUMMYFUNCTION("""COMPUTED_VALUE"""),"")</f>
        <v/>
      </c>
      <c r="T176" s="63" t="str">
        <f>IFERROR(__xludf.DUMMYFUNCTION("""COMPUTED_VALUE"""),"")</f>
        <v/>
      </c>
      <c r="U176" s="138" t="str">
        <f>IFERROR(__xludf.DUMMYFUNCTION("""COMPUTED_VALUE"""),"")</f>
        <v/>
      </c>
      <c r="V176" s="82" t="str">
        <f>IFERROR(__xludf.DUMMYFUNCTION("""COMPUTED_VALUE"""),"")</f>
        <v/>
      </c>
      <c r="W176" s="64" t="str">
        <f>IFERROR(__xludf.DUMMYFUNCTION("""COMPUTED_VALUE"""),"")</f>
        <v/>
      </c>
      <c r="X176" s="64" t="str">
        <f>IFERROR(__xludf.DUMMYFUNCTION("""COMPUTED_VALUE"""),"")</f>
        <v/>
      </c>
      <c r="Y176" s="114" t="str">
        <f>IFERROR(__xludf.DUMMYFUNCTION("""COMPUTED_VALUE"""),"")</f>
        <v/>
      </c>
      <c r="Z176" s="118" t="str">
        <f>IFERROR(__xludf.DUMMYFUNCTION("""COMPUTED_VALUE"""),"")</f>
        <v/>
      </c>
      <c r="AA176" s="118" t="str">
        <f>IFERROR(__xludf.DUMMYFUNCTION("""COMPUTED_VALUE"""),"")</f>
        <v/>
      </c>
      <c r="AB176" s="74" t="str">
        <f>IFERROR(__xludf.DUMMYFUNCTION("""COMPUTED_VALUE"""),"")</f>
        <v/>
      </c>
    </row>
    <row r="177">
      <c r="A177" s="109">
        <f>IFERROR(__xludf.DUMMYFUNCTION("""COMPUTED_VALUE"""),45957.92186336806)</f>
        <v>45957.92186</v>
      </c>
      <c r="B177" s="81" t="str">
        <f>IFERROR(__xludf.DUMMYFUNCTION("""COMPUTED_VALUE"""),"Laila Maisuria")</f>
        <v>Laila Maisuria</v>
      </c>
      <c r="C177" s="74" t="b">
        <f>IFERROR(__xludf.DUMMYFUNCTION("""COMPUTED_VALUE"""),FALSE)</f>
        <v>0</v>
      </c>
      <c r="D177" s="137">
        <f>IFERROR(__xludf.DUMMYFUNCTION("""COMPUTED_VALUE"""),0.7708333333357587)</f>
        <v>0.7708333333</v>
      </c>
      <c r="E177" s="82">
        <f>IFERROR(__xludf.DUMMYFUNCTION("""COMPUTED_VALUE"""),0.09861111110868581)</f>
        <v>0.09861111111</v>
      </c>
      <c r="F177" s="137">
        <f>IFERROR(__xludf.DUMMYFUNCTION("""COMPUTED_VALUE"""),0.8694444444444445)</f>
        <v>0.8694444444</v>
      </c>
      <c r="G177" s="82">
        <f>IFERROR(__xludf.DUMMYFUNCTION("""COMPUTED_VALUE"""),0.09861111110868581)</f>
        <v>0.09861111111</v>
      </c>
      <c r="H177" s="115">
        <f>IFERROR(__xludf.DUMMYFUNCTION("""COMPUTED_VALUE"""),63.0)</f>
        <v>63</v>
      </c>
      <c r="I177" s="112">
        <f>IFERROR(__xludf.DUMMYFUNCTION("""COMPUTED_VALUE"""),26.619718310513857)</f>
        <v>26.61971831</v>
      </c>
      <c r="J177" s="74" t="str">
        <f>IFERROR(__xludf.DUMMYFUNCTION("""COMPUTED_VALUE"""),"Dinner")</f>
        <v>Dinner</v>
      </c>
      <c r="K177" s="113">
        <f>IFERROR(__xludf.DUMMYFUNCTION("""COMPUTED_VALUE"""),45957.0)</f>
        <v>45957</v>
      </c>
      <c r="L177" s="74" t="str">
        <f>IFERROR(__xludf.DUMMYFUNCTION("""COMPUTED_VALUE"""),"Monday")</f>
        <v>Monday</v>
      </c>
      <c r="M177" s="74" t="str">
        <f>IFERROR(__xludf.DUMMYFUNCTION("""COMPUTED_VALUE"""),"MF")</f>
        <v>MF</v>
      </c>
      <c r="N177" s="114">
        <f>IFERROR(__xludf.DUMMYFUNCTION("""COMPUTED_VALUE"""),0.5245411807664503)</f>
        <v>0.5245411808</v>
      </c>
      <c r="O177" s="74" t="str">
        <f>IFERROR(__xludf.DUMMYFUNCTION("""COMPUTED_VALUE"""),"")</f>
        <v/>
      </c>
      <c r="P177" s="74" t="str">
        <f>IFERROR(__xludf.DUMMYFUNCTION("""COMPUTED_VALUE"""),"")</f>
        <v/>
      </c>
      <c r="Q177" s="82" t="str">
        <f>IFERROR(__xludf.DUMMYFUNCTION("""COMPUTED_VALUE"""),"")</f>
        <v/>
      </c>
      <c r="R177" s="82" t="str">
        <f>IFERROR(__xludf.DUMMYFUNCTION("""COMPUTED_VALUE"""),"")</f>
        <v/>
      </c>
      <c r="S177" s="63" t="str">
        <f>IFERROR(__xludf.DUMMYFUNCTION("""COMPUTED_VALUE"""),"")</f>
        <v/>
      </c>
      <c r="T177" s="63" t="str">
        <f>IFERROR(__xludf.DUMMYFUNCTION("""COMPUTED_VALUE"""),"")</f>
        <v/>
      </c>
      <c r="U177" s="138" t="str">
        <f>IFERROR(__xludf.DUMMYFUNCTION("""COMPUTED_VALUE"""),"")</f>
        <v/>
      </c>
      <c r="V177" s="82" t="str">
        <f>IFERROR(__xludf.DUMMYFUNCTION("""COMPUTED_VALUE"""),"")</f>
        <v/>
      </c>
      <c r="W177" s="64" t="str">
        <f>IFERROR(__xludf.DUMMYFUNCTION("""COMPUTED_VALUE"""),"")</f>
        <v/>
      </c>
      <c r="X177" s="64" t="str">
        <f>IFERROR(__xludf.DUMMYFUNCTION("""COMPUTED_VALUE"""),"")</f>
        <v/>
      </c>
      <c r="Y177" s="114" t="str">
        <f>IFERROR(__xludf.DUMMYFUNCTION("""COMPUTED_VALUE"""),"")</f>
        <v/>
      </c>
      <c r="Z177" s="118" t="str">
        <f>IFERROR(__xludf.DUMMYFUNCTION("""COMPUTED_VALUE"""),"")</f>
        <v/>
      </c>
      <c r="AA177" s="118" t="str">
        <f>IFERROR(__xludf.DUMMYFUNCTION("""COMPUTED_VALUE"""),"")</f>
        <v/>
      </c>
      <c r="AB177" s="74" t="str">
        <f>IFERROR(__xludf.DUMMYFUNCTION("""COMPUTED_VALUE"""),"")</f>
        <v/>
      </c>
    </row>
    <row r="178">
      <c r="A178" s="109">
        <f>IFERROR(__xludf.DUMMYFUNCTION("""COMPUTED_VALUE"""),45958.41054732639)</f>
        <v>45958.41055</v>
      </c>
      <c r="B178" s="81" t="str">
        <f>IFERROR(__xludf.DUMMYFUNCTION("""COMPUTED_VALUE"""),"Orpheus Wilson")</f>
        <v>Orpheus Wilson</v>
      </c>
      <c r="C178" s="74" t="b">
        <f>IFERROR(__xludf.DUMMYFUNCTION("""COMPUTED_VALUE"""),FALSE)</f>
        <v>0</v>
      </c>
      <c r="D178" s="137">
        <f>IFERROR(__xludf.DUMMYFUNCTION("""COMPUTED_VALUE"""),0.48333333333721384)</f>
        <v>0.4833333333</v>
      </c>
      <c r="E178" s="82">
        <f>IFERROR(__xludf.DUMMYFUNCTION("""COMPUTED_VALUE"""),0.07986111110949423)</f>
        <v>0.07986111111</v>
      </c>
      <c r="F178" s="137">
        <f>IFERROR(__xludf.DUMMYFUNCTION("""COMPUTED_VALUE"""),0.5631944444467081)</f>
        <v>0.5631944444</v>
      </c>
      <c r="G178" s="82">
        <f>IFERROR(__xludf.DUMMYFUNCTION("""COMPUTED_VALUE"""),0.07986111110949423)</f>
        <v>0.07986111111</v>
      </c>
      <c r="H178" s="115">
        <f>IFERROR(__xludf.DUMMYFUNCTION("""COMPUTED_VALUE"""),159.0)</f>
        <v>159</v>
      </c>
      <c r="I178" s="112">
        <f>IFERROR(__xludf.DUMMYFUNCTION("""COMPUTED_VALUE"""),82.95652174080999)</f>
        <v>82.95652174</v>
      </c>
      <c r="J178" s="74" t="str">
        <f>IFERROR(__xludf.DUMMYFUNCTION("""COMPUTED_VALUE"""),"Lunch")</f>
        <v>Lunch</v>
      </c>
      <c r="K178" s="113">
        <f>IFERROR(__xludf.DUMMYFUNCTION("""COMPUTED_VALUE"""),45957.0)</f>
        <v>45957</v>
      </c>
      <c r="L178" s="74" t="str">
        <f>IFERROR(__xludf.DUMMYFUNCTION("""COMPUTED_VALUE"""),"Monday")</f>
        <v>Monday</v>
      </c>
      <c r="M178" s="74" t="str">
        <f>IFERROR(__xludf.DUMMYFUNCTION("""COMPUTED_VALUE"""),"MF")</f>
        <v>MF</v>
      </c>
      <c r="N178" s="114">
        <f>IFERROR(__xludf.DUMMYFUNCTION("""COMPUTED_VALUE"""),1.7250678646392559)</f>
        <v>1.725067865</v>
      </c>
      <c r="O178" s="74">
        <f>IFERROR(__xludf.DUMMYFUNCTION("""COMPUTED_VALUE"""),416.0)</f>
        <v>416</v>
      </c>
      <c r="P178" s="74">
        <f>IFERROR(__xludf.DUMMYFUNCTION("""COMPUTED_VALUE"""),448.0)</f>
        <v>448</v>
      </c>
      <c r="Q178" s="82">
        <f>IFERROR(__xludf.DUMMYFUNCTION("""COMPUTED_VALUE"""),0.3506944444415341)</f>
        <v>0.3506944444</v>
      </c>
      <c r="R178" s="82">
        <f>IFERROR(__xludf.DUMMYFUNCTION("""COMPUTED_VALUE"""),0.4402777777722804)</f>
        <v>0.4402777778</v>
      </c>
      <c r="S178" s="63">
        <f>IFERROR(__xludf.DUMMYFUNCTION("""COMPUTED_VALUE"""),51.56957021718105)</f>
        <v>51.56957022</v>
      </c>
      <c r="T178" s="63">
        <f>IFERROR(__xludf.DUMMYFUNCTION("""COMPUTED_VALUE"""),36.49762567572781)</f>
        <v>36.49762568</v>
      </c>
      <c r="U178" s="138">
        <f>IFERROR(__xludf.DUMMYFUNCTION("""COMPUTED_VALUE"""),864.0)</f>
        <v>864</v>
      </c>
      <c r="V178" s="82">
        <f>IFERROR(__xludf.DUMMYFUNCTION("""COMPUTED_VALUE"""),0.7909722222138145)</f>
        <v>0.7909722222</v>
      </c>
      <c r="W178" s="64">
        <f>IFERROR(__xludf.DUMMYFUNCTION("""COMPUTED_VALUE"""),45.5136084289298)</f>
        <v>45.51360843</v>
      </c>
      <c r="X178" s="64">
        <f>IFERROR(__xludf.DUMMYFUNCTION("""COMPUTED_VALUE"""),45.1101654137011)</f>
        <v>45.11016541</v>
      </c>
      <c r="Y178" s="114">
        <f>IFERROR(__xludf.DUMMYFUNCTION("""COMPUTED_VALUE"""),0.9407899010328741)</f>
        <v>0.940789901</v>
      </c>
      <c r="Z178" s="118">
        <f>IFERROR(__xludf.DUMMYFUNCTION("""COMPUTED_VALUE"""),3784.0)</f>
        <v>3784</v>
      </c>
      <c r="AA178" s="118">
        <f>IFERROR(__xludf.DUMMYFUNCTION("""COMPUTED_VALUE"""),3885.0)</f>
        <v>3885</v>
      </c>
      <c r="AB178" s="118">
        <f>IFERROR(__xludf.DUMMYFUNCTION("""COMPUTED_VALUE"""),7669.0)</f>
        <v>7669</v>
      </c>
    </row>
    <row r="179">
      <c r="A179" s="109">
        <f>IFERROR(__xludf.DUMMYFUNCTION("""COMPUTED_VALUE"""),45958.478570983796)</f>
        <v>45958.47857</v>
      </c>
      <c r="B179" s="81" t="str">
        <f>IFERROR(__xludf.DUMMYFUNCTION("""COMPUTED_VALUE"""),"Emmett Khan")</f>
        <v>Emmett Khan</v>
      </c>
      <c r="C179" s="74" t="b">
        <f>IFERROR(__xludf.DUMMYFUNCTION("""COMPUTED_VALUE"""),FALSE)</f>
        <v>0</v>
      </c>
      <c r="D179" s="137">
        <f>IFERROR(__xludf.DUMMYFUNCTION("""COMPUTED_VALUE"""),0.39583333333575865)</f>
        <v>0.3958333333</v>
      </c>
      <c r="E179" s="82">
        <f>IFERROR(__xludf.DUMMYFUNCTION("""COMPUTED_VALUE"""),0.0833333333284827)</f>
        <v>0.08333333333</v>
      </c>
      <c r="F179" s="137">
        <f>IFERROR(__xludf.DUMMYFUNCTION("""COMPUTED_VALUE"""),0.47916666666424135)</f>
        <v>0.4791666667</v>
      </c>
      <c r="G179" s="82">
        <f>IFERROR(__xludf.DUMMYFUNCTION("""COMPUTED_VALUE"""),0.0833333333284827)</f>
        <v>0.08333333333</v>
      </c>
      <c r="H179" s="115">
        <f>IFERROR(__xludf.DUMMYFUNCTION("""COMPUTED_VALUE"""),119.0)</f>
        <v>119</v>
      </c>
      <c r="I179" s="112">
        <f>IFERROR(__xludf.DUMMYFUNCTION("""COMPUTED_VALUE"""),59.500000003463356)</f>
        <v>59.5</v>
      </c>
      <c r="J179" s="74" t="str">
        <f>IFERROR(__xludf.DUMMYFUNCTION("""COMPUTED_VALUE"""),"Breakfast/Lunch")</f>
        <v>Breakfast/Lunch</v>
      </c>
      <c r="K179" s="113">
        <f>IFERROR(__xludf.DUMMYFUNCTION("""COMPUTED_VALUE"""),45958.0)</f>
        <v>45958</v>
      </c>
      <c r="L179" s="74" t="str">
        <f>IFERROR(__xludf.DUMMYFUNCTION("""COMPUTED_VALUE"""),"Tuesday")</f>
        <v>Tuesday</v>
      </c>
      <c r="M179" s="74" t="str">
        <f>IFERROR(__xludf.DUMMYFUNCTION("""COMPUTED_VALUE"""),"BF")</f>
        <v>BF</v>
      </c>
      <c r="N179" s="114">
        <f>IFERROR(__xludf.DUMMYFUNCTION("""COMPUTED_VALUE"""),1.0449079264278354)</f>
        <v>1.044907926</v>
      </c>
      <c r="O179" s="74" t="str">
        <f>IFERROR(__xludf.DUMMYFUNCTION("""COMPUTED_VALUE"""),"")</f>
        <v/>
      </c>
      <c r="P179" s="74" t="str">
        <f>IFERROR(__xludf.DUMMYFUNCTION("""COMPUTED_VALUE"""),"")</f>
        <v/>
      </c>
      <c r="Q179" s="82" t="str">
        <f>IFERROR(__xludf.DUMMYFUNCTION("""COMPUTED_VALUE"""),"")</f>
        <v/>
      </c>
      <c r="R179" s="82" t="str">
        <f>IFERROR(__xludf.DUMMYFUNCTION("""COMPUTED_VALUE"""),"")</f>
        <v/>
      </c>
      <c r="S179" s="63" t="str">
        <f>IFERROR(__xludf.DUMMYFUNCTION("""COMPUTED_VALUE"""),"")</f>
        <v/>
      </c>
      <c r="T179" s="63" t="str">
        <f>IFERROR(__xludf.DUMMYFUNCTION("""COMPUTED_VALUE"""),"")</f>
        <v/>
      </c>
      <c r="U179" s="138" t="str">
        <f>IFERROR(__xludf.DUMMYFUNCTION("""COMPUTED_VALUE"""),"")</f>
        <v/>
      </c>
      <c r="V179" s="82" t="str">
        <f>IFERROR(__xludf.DUMMYFUNCTION("""COMPUTED_VALUE"""),"")</f>
        <v/>
      </c>
      <c r="W179" s="64" t="str">
        <f>IFERROR(__xludf.DUMMYFUNCTION("""COMPUTED_VALUE"""),"")</f>
        <v/>
      </c>
      <c r="X179" s="64" t="str">
        <f>IFERROR(__xludf.DUMMYFUNCTION("""COMPUTED_VALUE"""),"")</f>
        <v/>
      </c>
      <c r="Y179" s="114" t="str">
        <f>IFERROR(__xludf.DUMMYFUNCTION("""COMPUTED_VALUE"""),"")</f>
        <v/>
      </c>
      <c r="Z179" s="118" t="str">
        <f>IFERROR(__xludf.DUMMYFUNCTION("""COMPUTED_VALUE"""),"")</f>
        <v/>
      </c>
      <c r="AA179" s="118" t="str">
        <f>IFERROR(__xludf.DUMMYFUNCTION("""COMPUTED_VALUE"""),"")</f>
        <v/>
      </c>
      <c r="AB179" s="74" t="str">
        <f>IFERROR(__xludf.DUMMYFUNCTION("""COMPUTED_VALUE"""),"")</f>
        <v/>
      </c>
    </row>
    <row r="180">
      <c r="A180" s="109">
        <f>IFERROR(__xludf.DUMMYFUNCTION("""COMPUTED_VALUE"""),45958.60463023148)</f>
        <v>45958.60463</v>
      </c>
      <c r="B180" s="81" t="str">
        <f>IFERROR(__xludf.DUMMYFUNCTION("""COMPUTED_VALUE"""),"Brynn Hornig")</f>
        <v>Brynn Hornig</v>
      </c>
      <c r="C180" s="74" t="b">
        <f>IFERROR(__xludf.DUMMYFUNCTION("""COMPUTED_VALUE"""),FALSE)</f>
        <v>0</v>
      </c>
      <c r="D180" s="137">
        <f>IFERROR(__xludf.DUMMYFUNCTION("""COMPUTED_VALUE"""),0.5208333333357587)</f>
        <v>0.5208333333</v>
      </c>
      <c r="E180" s="82">
        <f>IFERROR(__xludf.DUMMYFUNCTION("""COMPUTED_VALUE"""),0.0833333333284827)</f>
        <v>0.08333333333</v>
      </c>
      <c r="F180" s="137">
        <f>IFERROR(__xludf.DUMMYFUNCTION("""COMPUTED_VALUE"""),0.6041666666642413)</f>
        <v>0.6041666667</v>
      </c>
      <c r="G180" s="82">
        <f>IFERROR(__xludf.DUMMYFUNCTION("""COMPUTED_VALUE"""),0.0833333333284827)</f>
        <v>0.08333333333</v>
      </c>
      <c r="H180" s="115">
        <f>IFERROR(__xludf.DUMMYFUNCTION("""COMPUTED_VALUE"""),138.0)</f>
        <v>138</v>
      </c>
      <c r="I180" s="112">
        <f>IFERROR(__xludf.DUMMYFUNCTION("""COMPUTED_VALUE"""),69.00000000401633)</f>
        <v>69</v>
      </c>
      <c r="J180" s="74" t="str">
        <f>IFERROR(__xludf.DUMMYFUNCTION("""COMPUTED_VALUE"""),"Lunch")</f>
        <v>Lunch</v>
      </c>
      <c r="K180" s="113">
        <f>IFERROR(__xludf.DUMMYFUNCTION("""COMPUTED_VALUE"""),45958.0)</f>
        <v>45958</v>
      </c>
      <c r="L180" s="74" t="str">
        <f>IFERROR(__xludf.DUMMYFUNCTION("""COMPUTED_VALUE"""),"Tuesday")</f>
        <v>Tuesday</v>
      </c>
      <c r="M180" s="74" t="str">
        <f>IFERROR(__xludf.DUMMYFUNCTION("""COMPUTED_VALUE"""),"BF")</f>
        <v>BF</v>
      </c>
      <c r="N180" s="114">
        <f>IFERROR(__xludf.DUMMYFUNCTION("""COMPUTED_VALUE"""),1.7769430425558024)</f>
        <v>1.776943043</v>
      </c>
      <c r="O180" s="74" t="str">
        <f>IFERROR(__xludf.DUMMYFUNCTION("""COMPUTED_VALUE"""),"")</f>
        <v/>
      </c>
      <c r="P180" s="74" t="str">
        <f>IFERROR(__xludf.DUMMYFUNCTION("""COMPUTED_VALUE"""),"")</f>
        <v/>
      </c>
      <c r="Q180" s="82" t="str">
        <f>IFERROR(__xludf.DUMMYFUNCTION("""COMPUTED_VALUE"""),"")</f>
        <v/>
      </c>
      <c r="R180" s="82" t="str">
        <f>IFERROR(__xludf.DUMMYFUNCTION("""COMPUTED_VALUE"""),"")</f>
        <v/>
      </c>
      <c r="S180" s="63" t="str">
        <f>IFERROR(__xludf.DUMMYFUNCTION("""COMPUTED_VALUE"""),"")</f>
        <v/>
      </c>
      <c r="T180" s="63" t="str">
        <f>IFERROR(__xludf.DUMMYFUNCTION("""COMPUTED_VALUE"""),"")</f>
        <v/>
      </c>
      <c r="U180" s="138" t="str">
        <f>IFERROR(__xludf.DUMMYFUNCTION("""COMPUTED_VALUE"""),"")</f>
        <v/>
      </c>
      <c r="V180" s="82" t="str">
        <f>IFERROR(__xludf.DUMMYFUNCTION("""COMPUTED_VALUE"""),"")</f>
        <v/>
      </c>
      <c r="W180" s="64" t="str">
        <f>IFERROR(__xludf.DUMMYFUNCTION("""COMPUTED_VALUE"""),"")</f>
        <v/>
      </c>
      <c r="X180" s="64" t="str">
        <f>IFERROR(__xludf.DUMMYFUNCTION("""COMPUTED_VALUE"""),"")</f>
        <v/>
      </c>
      <c r="Y180" s="114" t="str">
        <f>IFERROR(__xludf.DUMMYFUNCTION("""COMPUTED_VALUE"""),"")</f>
        <v/>
      </c>
      <c r="Z180" s="118" t="str">
        <f>IFERROR(__xludf.DUMMYFUNCTION("""COMPUTED_VALUE"""),"")</f>
        <v/>
      </c>
      <c r="AA180" s="118" t="str">
        <f>IFERROR(__xludf.DUMMYFUNCTION("""COMPUTED_VALUE"""),"")</f>
        <v/>
      </c>
      <c r="AB180" s="74" t="str">
        <f>IFERROR(__xludf.DUMMYFUNCTION("""COMPUTED_VALUE"""),"")</f>
        <v/>
      </c>
    </row>
    <row r="181">
      <c r="A181" s="109">
        <f>IFERROR(__xludf.DUMMYFUNCTION("""COMPUTED_VALUE"""),45958.6277584375)</f>
        <v>45958.62776</v>
      </c>
      <c r="B181" s="81" t="str">
        <f>IFERROR(__xludf.DUMMYFUNCTION("""COMPUTED_VALUE"""),"Maureen Surgot")</f>
        <v>Maureen Surgot</v>
      </c>
      <c r="C181" s="74" t="b">
        <f>IFERROR(__xludf.DUMMYFUNCTION("""COMPUTED_VALUE"""),FALSE)</f>
        <v>0</v>
      </c>
      <c r="D181" s="137">
        <f>IFERROR(__xludf.DUMMYFUNCTION("""COMPUTED_VALUE"""),0.47916666666424135)</f>
        <v>0.4791666667</v>
      </c>
      <c r="E181" s="82">
        <f>IFERROR(__xludf.DUMMYFUNCTION("""COMPUTED_VALUE"""),0.15625)</f>
        <v>0.15625</v>
      </c>
      <c r="F181" s="137">
        <f>IFERROR(__xludf.DUMMYFUNCTION("""COMPUTED_VALUE"""),0.6354166666642413)</f>
        <v>0.6354166667</v>
      </c>
      <c r="G181" s="82">
        <f>IFERROR(__xludf.DUMMYFUNCTION("""COMPUTED_VALUE"""),0.15625)</f>
        <v>0.15625</v>
      </c>
      <c r="H181" s="115">
        <f>IFERROR(__xludf.DUMMYFUNCTION("""COMPUTED_VALUE"""),142.0)</f>
        <v>142</v>
      </c>
      <c r="I181" s="112">
        <f>IFERROR(__xludf.DUMMYFUNCTION("""COMPUTED_VALUE"""),37.86666666666667)</f>
        <v>37.86666667</v>
      </c>
      <c r="J181" s="74" t="str">
        <f>IFERROR(__xludf.DUMMYFUNCTION("""COMPUTED_VALUE"""),"Lunch")</f>
        <v>Lunch</v>
      </c>
      <c r="K181" s="113">
        <f>IFERROR(__xludf.DUMMYFUNCTION("""COMPUTED_VALUE"""),45958.0)</f>
        <v>45958</v>
      </c>
      <c r="L181" s="74" t="str">
        <f>IFERROR(__xludf.DUMMYFUNCTION("""COMPUTED_VALUE"""),"Tuesday")</f>
        <v>Tuesday</v>
      </c>
      <c r="M181" s="74" t="str">
        <f>IFERROR(__xludf.DUMMYFUNCTION("""COMPUTED_VALUE"""),"MF")</f>
        <v>MF</v>
      </c>
      <c r="N181" s="114">
        <f>IFERROR(__xludf.DUMMYFUNCTION("""COMPUTED_VALUE"""),0.7874313970367214)</f>
        <v>0.787431397</v>
      </c>
      <c r="O181" s="74" t="str">
        <f>IFERROR(__xludf.DUMMYFUNCTION("""COMPUTED_VALUE"""),"")</f>
        <v/>
      </c>
      <c r="P181" s="74" t="str">
        <f>IFERROR(__xludf.DUMMYFUNCTION("""COMPUTED_VALUE"""),"")</f>
        <v/>
      </c>
      <c r="Q181" s="82" t="str">
        <f>IFERROR(__xludf.DUMMYFUNCTION("""COMPUTED_VALUE"""),"")</f>
        <v/>
      </c>
      <c r="R181" s="82" t="str">
        <f>IFERROR(__xludf.DUMMYFUNCTION("""COMPUTED_VALUE"""),"")</f>
        <v/>
      </c>
      <c r="S181" s="63" t="str">
        <f>IFERROR(__xludf.DUMMYFUNCTION("""COMPUTED_VALUE"""),"")</f>
        <v/>
      </c>
      <c r="T181" s="63" t="str">
        <f>IFERROR(__xludf.DUMMYFUNCTION("""COMPUTED_VALUE"""),"")</f>
        <v/>
      </c>
      <c r="U181" s="138" t="str">
        <f>IFERROR(__xludf.DUMMYFUNCTION("""COMPUTED_VALUE"""),"")</f>
        <v/>
      </c>
      <c r="V181" s="82" t="str">
        <f>IFERROR(__xludf.DUMMYFUNCTION("""COMPUTED_VALUE"""),"")</f>
        <v/>
      </c>
      <c r="W181" s="64" t="str">
        <f>IFERROR(__xludf.DUMMYFUNCTION("""COMPUTED_VALUE"""),"")</f>
        <v/>
      </c>
      <c r="X181" s="64" t="str">
        <f>IFERROR(__xludf.DUMMYFUNCTION("""COMPUTED_VALUE"""),"")</f>
        <v/>
      </c>
      <c r="Y181" s="114" t="str">
        <f>IFERROR(__xludf.DUMMYFUNCTION("""COMPUTED_VALUE"""),"")</f>
        <v/>
      </c>
      <c r="Z181" s="118" t="str">
        <f>IFERROR(__xludf.DUMMYFUNCTION("""COMPUTED_VALUE"""),"")</f>
        <v/>
      </c>
      <c r="AA181" s="118" t="str">
        <f>IFERROR(__xludf.DUMMYFUNCTION("""COMPUTED_VALUE"""),"")</f>
        <v/>
      </c>
      <c r="AB181" s="74" t="str">
        <f>IFERROR(__xludf.DUMMYFUNCTION("""COMPUTED_VALUE"""),"")</f>
        <v/>
      </c>
    </row>
    <row r="182">
      <c r="A182" s="109">
        <f>IFERROR(__xludf.DUMMYFUNCTION("""COMPUTED_VALUE"""),45958.65264284722)</f>
        <v>45958.65264</v>
      </c>
      <c r="B182" s="81" t="str">
        <f>IFERROR(__xludf.DUMMYFUNCTION("""COMPUTED_VALUE"""),"Brynn Hornig")</f>
        <v>Brynn Hornig</v>
      </c>
      <c r="C182" s="74" t="b">
        <f>IFERROR(__xludf.DUMMYFUNCTION("""COMPUTED_VALUE"""),FALSE)</f>
        <v>0</v>
      </c>
      <c r="D182" s="137">
        <f>IFERROR(__xludf.DUMMYFUNCTION("""COMPUTED_VALUE"""),0.6041666666642413)</f>
        <v>0.6041666667</v>
      </c>
      <c r="E182" s="82">
        <f>IFERROR(__xludf.DUMMYFUNCTION("""COMPUTED_VALUE"""),0.05208333333575865)</f>
        <v>0.05208333334</v>
      </c>
      <c r="F182" s="137">
        <f>IFERROR(__xludf.DUMMYFUNCTION("""COMPUTED_VALUE"""),0.65625)</f>
        <v>0.65625</v>
      </c>
      <c r="G182" s="82">
        <f>IFERROR(__xludf.DUMMYFUNCTION("""COMPUTED_VALUE"""),0.05208333333575865)</f>
        <v>0.05208333334</v>
      </c>
      <c r="H182" s="115">
        <f>IFERROR(__xludf.DUMMYFUNCTION("""COMPUTED_VALUE"""),44.0)</f>
        <v>44</v>
      </c>
      <c r="I182" s="112">
        <f>IFERROR(__xludf.DUMMYFUNCTION("""COMPUTED_VALUE"""),35.19999999836087)</f>
        <v>35.2</v>
      </c>
      <c r="J182" s="74" t="str">
        <f>IFERROR(__xludf.DUMMYFUNCTION("""COMPUTED_VALUE"""),"Lunch")</f>
        <v>Lunch</v>
      </c>
      <c r="K182" s="113">
        <f>IFERROR(__xludf.DUMMYFUNCTION("""COMPUTED_VALUE"""),45958.0)</f>
        <v>45958</v>
      </c>
      <c r="L182" s="74" t="str">
        <f>IFERROR(__xludf.DUMMYFUNCTION("""COMPUTED_VALUE"""),"Tuesday")</f>
        <v>Tuesday</v>
      </c>
      <c r="M182" s="74" t="str">
        <f>IFERROR(__xludf.DUMMYFUNCTION("""COMPUTED_VALUE"""),"BF")</f>
        <v>BF</v>
      </c>
      <c r="N182" s="114">
        <f>IFERROR(__xludf.DUMMYFUNCTION("""COMPUTED_VALUE"""),0.9064984795856639)</f>
        <v>0.9064984796</v>
      </c>
      <c r="O182" s="74" t="str">
        <f>IFERROR(__xludf.DUMMYFUNCTION("""COMPUTED_VALUE"""),"")</f>
        <v/>
      </c>
      <c r="P182" s="74" t="str">
        <f>IFERROR(__xludf.DUMMYFUNCTION("""COMPUTED_VALUE"""),"")</f>
        <v/>
      </c>
      <c r="Q182" s="82" t="str">
        <f>IFERROR(__xludf.DUMMYFUNCTION("""COMPUTED_VALUE"""),"")</f>
        <v/>
      </c>
      <c r="R182" s="82" t="str">
        <f>IFERROR(__xludf.DUMMYFUNCTION("""COMPUTED_VALUE"""),"")</f>
        <v/>
      </c>
      <c r="S182" s="63" t="str">
        <f>IFERROR(__xludf.DUMMYFUNCTION("""COMPUTED_VALUE"""),"")</f>
        <v/>
      </c>
      <c r="T182" s="63" t="str">
        <f>IFERROR(__xludf.DUMMYFUNCTION("""COMPUTED_VALUE"""),"")</f>
        <v/>
      </c>
      <c r="U182" s="138" t="str">
        <f>IFERROR(__xludf.DUMMYFUNCTION("""COMPUTED_VALUE"""),"")</f>
        <v/>
      </c>
      <c r="V182" s="82" t="str">
        <f>IFERROR(__xludf.DUMMYFUNCTION("""COMPUTED_VALUE"""),"")</f>
        <v/>
      </c>
      <c r="W182" s="64" t="str">
        <f>IFERROR(__xludf.DUMMYFUNCTION("""COMPUTED_VALUE"""),"")</f>
        <v/>
      </c>
      <c r="X182" s="64" t="str">
        <f>IFERROR(__xludf.DUMMYFUNCTION("""COMPUTED_VALUE"""),"")</f>
        <v/>
      </c>
      <c r="Y182" s="114" t="str">
        <f>IFERROR(__xludf.DUMMYFUNCTION("""COMPUTED_VALUE"""),"")</f>
        <v/>
      </c>
      <c r="Z182" s="118" t="str">
        <f>IFERROR(__xludf.DUMMYFUNCTION("""COMPUTED_VALUE"""),"")</f>
        <v/>
      </c>
      <c r="AA182" s="118" t="str">
        <f>IFERROR(__xludf.DUMMYFUNCTION("""COMPUTED_VALUE"""),"")</f>
        <v/>
      </c>
      <c r="AB182" s="74" t="str">
        <f>IFERROR(__xludf.DUMMYFUNCTION("""COMPUTED_VALUE"""),"")</f>
        <v/>
      </c>
    </row>
    <row r="183">
      <c r="A183" s="109">
        <f>IFERROR(__xludf.DUMMYFUNCTION("""COMPUTED_VALUE"""),45958.79088921296)</f>
        <v>45958.79089</v>
      </c>
      <c r="B183" s="81" t="str">
        <f>IFERROR(__xludf.DUMMYFUNCTION("""COMPUTED_VALUE"""),"Kyra Turner")</f>
        <v>Kyra Turner</v>
      </c>
      <c r="C183" s="74" t="b">
        <f>IFERROR(__xludf.DUMMYFUNCTION("""COMPUTED_VALUE"""),FALSE)</f>
        <v>0</v>
      </c>
      <c r="D183" s="137">
        <f>IFERROR(__xludf.DUMMYFUNCTION("""COMPUTED_VALUE"""),0.6875)</f>
        <v>0.6875</v>
      </c>
      <c r="E183" s="82">
        <f>IFERROR(__xludf.DUMMYFUNCTION("""COMPUTED_VALUE"""),0.10069444444525288)</f>
        <v>0.1006944444</v>
      </c>
      <c r="F183" s="137">
        <f>IFERROR(__xludf.DUMMYFUNCTION("""COMPUTED_VALUE"""),0.7881944444452529)</f>
        <v>0.7881944444</v>
      </c>
      <c r="G183" s="82">
        <f>IFERROR(__xludf.DUMMYFUNCTION("""COMPUTED_VALUE"""),0.10069444444525288)</f>
        <v>0.1006944444</v>
      </c>
      <c r="H183" s="115">
        <f>IFERROR(__xludf.DUMMYFUNCTION("""COMPUTED_VALUE"""),104.0)</f>
        <v>104</v>
      </c>
      <c r="I183" s="112">
        <f>IFERROR(__xludf.DUMMYFUNCTION("""COMPUTED_VALUE"""),43.03448275827518)</f>
        <v>43.03448276</v>
      </c>
      <c r="J183" s="74" t="str">
        <f>IFERROR(__xludf.DUMMYFUNCTION("""COMPUTED_VALUE"""),"Dinner")</f>
        <v>Dinner</v>
      </c>
      <c r="K183" s="113">
        <f>IFERROR(__xludf.DUMMYFUNCTION("""COMPUTED_VALUE"""),45958.0)</f>
        <v>45958</v>
      </c>
      <c r="L183" s="74" t="str">
        <f>IFERROR(__xludf.DUMMYFUNCTION("""COMPUTED_VALUE"""),"Tuesday")</f>
        <v>Tuesday</v>
      </c>
      <c r="M183" s="74" t="str">
        <f>IFERROR(__xludf.DUMMYFUNCTION("""COMPUTED_VALUE"""),"BF")</f>
        <v>BF</v>
      </c>
      <c r="N183" s="114">
        <f>IFERROR(__xludf.DUMMYFUNCTION("""COMPUTED_VALUE"""),1.015599372418625)</f>
        <v>1.015599372</v>
      </c>
      <c r="O183" s="74" t="str">
        <f>IFERROR(__xludf.DUMMYFUNCTION("""COMPUTED_VALUE"""),"")</f>
        <v/>
      </c>
      <c r="P183" s="74" t="str">
        <f>IFERROR(__xludf.DUMMYFUNCTION("""COMPUTED_VALUE"""),"")</f>
        <v/>
      </c>
      <c r="Q183" s="82" t="str">
        <f>IFERROR(__xludf.DUMMYFUNCTION("""COMPUTED_VALUE"""),"")</f>
        <v/>
      </c>
      <c r="R183" s="82" t="str">
        <f>IFERROR(__xludf.DUMMYFUNCTION("""COMPUTED_VALUE"""),"")</f>
        <v/>
      </c>
      <c r="S183" s="63" t="str">
        <f>IFERROR(__xludf.DUMMYFUNCTION("""COMPUTED_VALUE"""),"")</f>
        <v/>
      </c>
      <c r="T183" s="63" t="str">
        <f>IFERROR(__xludf.DUMMYFUNCTION("""COMPUTED_VALUE"""),"")</f>
        <v/>
      </c>
      <c r="U183" s="138" t="str">
        <f>IFERROR(__xludf.DUMMYFUNCTION("""COMPUTED_VALUE"""),"")</f>
        <v/>
      </c>
      <c r="V183" s="82" t="str">
        <f>IFERROR(__xludf.DUMMYFUNCTION("""COMPUTED_VALUE"""),"")</f>
        <v/>
      </c>
      <c r="W183" s="64" t="str">
        <f>IFERROR(__xludf.DUMMYFUNCTION("""COMPUTED_VALUE"""),"")</f>
        <v/>
      </c>
      <c r="X183" s="64" t="str">
        <f>IFERROR(__xludf.DUMMYFUNCTION("""COMPUTED_VALUE"""),"")</f>
        <v/>
      </c>
      <c r="Y183" s="114" t="str">
        <f>IFERROR(__xludf.DUMMYFUNCTION("""COMPUTED_VALUE"""),"")</f>
        <v/>
      </c>
      <c r="Z183" s="118" t="str">
        <f>IFERROR(__xludf.DUMMYFUNCTION("""COMPUTED_VALUE"""),"")</f>
        <v/>
      </c>
      <c r="AA183" s="118" t="str">
        <f>IFERROR(__xludf.DUMMYFUNCTION("""COMPUTED_VALUE"""),"")</f>
        <v/>
      </c>
      <c r="AB183" s="74" t="str">
        <f>IFERROR(__xludf.DUMMYFUNCTION("""COMPUTED_VALUE"""),"")</f>
        <v/>
      </c>
    </row>
    <row r="184">
      <c r="A184" s="109">
        <f>IFERROR(__xludf.DUMMYFUNCTION("""COMPUTED_VALUE"""),45958.86334642361)</f>
        <v>45958.86335</v>
      </c>
      <c r="B184" s="81" t="str">
        <f>IFERROR(__xludf.DUMMYFUNCTION("""COMPUTED_VALUE"""),"Kaylie Forgue")</f>
        <v>Kaylie Forgue</v>
      </c>
      <c r="C184" s="74" t="b">
        <f>IFERROR(__xludf.DUMMYFUNCTION("""COMPUTED_VALUE"""),FALSE)</f>
        <v>0</v>
      </c>
      <c r="D184" s="137">
        <f>IFERROR(__xludf.DUMMYFUNCTION("""COMPUTED_VALUE"""),0.7902777777781012)</f>
        <v>0.7902777778</v>
      </c>
      <c r="E184" s="82">
        <f>IFERROR(__xludf.DUMMYFUNCTION("""COMPUTED_VALUE"""),0.07291666666424135)</f>
        <v>0.07291666666</v>
      </c>
      <c r="F184" s="137">
        <f>IFERROR(__xludf.DUMMYFUNCTION("""COMPUTED_VALUE"""),0.8631944444423425)</f>
        <v>0.8631944444</v>
      </c>
      <c r="G184" s="82">
        <f>IFERROR(__xludf.DUMMYFUNCTION("""COMPUTED_VALUE"""),0.07291666666424135)</f>
        <v>0.07291666666</v>
      </c>
      <c r="H184" s="115">
        <f>IFERROR(__xludf.DUMMYFUNCTION("""COMPUTED_VALUE"""),68.0)</f>
        <v>68</v>
      </c>
      <c r="I184" s="112">
        <f>IFERROR(__xludf.DUMMYFUNCTION("""COMPUTED_VALUE"""),38.8571428584353)</f>
        <v>38.85714286</v>
      </c>
      <c r="J184" s="74" t="str">
        <f>IFERROR(__xludf.DUMMYFUNCTION("""COMPUTED_VALUE"""),"Dinner")</f>
        <v>Dinner</v>
      </c>
      <c r="K184" s="113">
        <f>IFERROR(__xludf.DUMMYFUNCTION("""COMPUTED_VALUE"""),45958.0)</f>
        <v>45958</v>
      </c>
      <c r="L184" s="74" t="str">
        <f>IFERROR(__xludf.DUMMYFUNCTION("""COMPUTED_VALUE"""),"Tuesday")</f>
        <v>Tuesday</v>
      </c>
      <c r="M184" s="74" t="str">
        <f>IFERROR(__xludf.DUMMYFUNCTION("""COMPUTED_VALUE"""),"BF")</f>
        <v>BF</v>
      </c>
      <c r="N184" s="114">
        <f>IFERROR(__xludf.DUMMYFUNCTION("""COMPUTED_VALUE"""),0.9170155505916772)</f>
        <v>0.9170155506</v>
      </c>
      <c r="O184" s="74">
        <f>IFERROR(__xludf.DUMMYFUNCTION("""COMPUTED_VALUE"""),142.0)</f>
        <v>142</v>
      </c>
      <c r="P184" s="74">
        <f>IFERROR(__xludf.DUMMYFUNCTION("""COMPUTED_VALUE"""),473.0)</f>
        <v>473</v>
      </c>
      <c r="Q184" s="82">
        <f>IFERROR(__xludf.DUMMYFUNCTION("""COMPUTED_VALUE"""),0.15625)</f>
        <v>0.15625</v>
      </c>
      <c r="R184" s="82">
        <f>IFERROR(__xludf.DUMMYFUNCTION("""COMPUTED_VALUE"""),0.3923611111022183)</f>
        <v>0.3923611111</v>
      </c>
      <c r="S184" s="63">
        <f>IFERROR(__xludf.DUMMYFUNCTION("""COMPUTED_VALUE"""),37.86666666666667)</f>
        <v>37.86666667</v>
      </c>
      <c r="T184" s="63">
        <f>IFERROR(__xludf.DUMMYFUNCTION("""COMPUTED_VALUE"""),49.11832512451021)</f>
        <v>49.11832512</v>
      </c>
      <c r="U184" s="138">
        <f>IFERROR(__xludf.DUMMYFUNCTION("""COMPUTED_VALUE"""),615.0)</f>
        <v>615</v>
      </c>
      <c r="V184" s="82">
        <f>IFERROR(__xludf.DUMMYFUNCTION("""COMPUTED_VALUE"""),0.5486111111022183)</f>
        <v>0.5486111111</v>
      </c>
      <c r="W184" s="64">
        <f>IFERROR(__xludf.DUMMYFUNCTION("""COMPUTED_VALUE"""),46.70886076025081)</f>
        <v>46.70886076</v>
      </c>
      <c r="X184" s="64">
        <f>IFERROR(__xludf.DUMMYFUNCTION("""COMPUTED_VALUE"""),47.243048714869616)</f>
        <v>47.24304871</v>
      </c>
      <c r="Y184" s="114">
        <f>IFERROR(__xludf.DUMMYFUNCTION("""COMPUTED_VALUE"""),0.9954978741317927)</f>
        <v>0.9954978741</v>
      </c>
      <c r="Z184" s="118">
        <f>IFERROR(__xludf.DUMMYFUNCTION("""COMPUTED_VALUE"""),3568.0)</f>
        <v>3568</v>
      </c>
      <c r="AA184" s="118">
        <f>IFERROR(__xludf.DUMMYFUNCTION("""COMPUTED_VALUE"""),4059.0)</f>
        <v>4059</v>
      </c>
      <c r="AB184" s="118">
        <f>IFERROR(__xludf.DUMMYFUNCTION("""COMPUTED_VALUE"""),7627.0)</f>
        <v>7627</v>
      </c>
    </row>
    <row r="185">
      <c r="A185" s="109">
        <f>IFERROR(__xludf.DUMMYFUNCTION("""COMPUTED_VALUE"""),45959.63529556713)</f>
        <v>45959.6353</v>
      </c>
      <c r="B185" s="81" t="str">
        <f>IFERROR(__xludf.DUMMYFUNCTION("""COMPUTED_VALUE"""),"Greta Traynor")</f>
        <v>Greta Traynor</v>
      </c>
      <c r="C185" s="74" t="b">
        <f>IFERROR(__xludf.DUMMYFUNCTION("""COMPUTED_VALUE"""),FALSE)</f>
        <v>0</v>
      </c>
      <c r="D185" s="137">
        <f>IFERROR(__xludf.DUMMYFUNCTION("""COMPUTED_VALUE"""),0.5666666666656965)</f>
        <v>0.5666666667</v>
      </c>
      <c r="E185" s="82">
        <f>IFERROR(__xludf.DUMMYFUNCTION("""COMPUTED_VALUE"""),0.06597222221898846)</f>
        <v>0.06597222222</v>
      </c>
      <c r="F185" s="137">
        <f>IFERROR(__xludf.DUMMYFUNCTION("""COMPUTED_VALUE"""),0.632638888884685)</f>
        <v>0.6326388889</v>
      </c>
      <c r="G185" s="82">
        <f>IFERROR(__xludf.DUMMYFUNCTION("""COMPUTED_VALUE"""),0.06597222221898846)</f>
        <v>0.06597222222</v>
      </c>
      <c r="H185" s="115">
        <f>IFERROR(__xludf.DUMMYFUNCTION("""COMPUTED_VALUE"""),81.0)</f>
        <v>81</v>
      </c>
      <c r="I185" s="112">
        <f>IFERROR(__xludf.DUMMYFUNCTION("""COMPUTED_VALUE"""),51.15789473934971)</f>
        <v>51.15789474</v>
      </c>
      <c r="J185" s="74" t="str">
        <f>IFERROR(__xludf.DUMMYFUNCTION("""COMPUTED_VALUE"""),"Lunch")</f>
        <v>Lunch</v>
      </c>
      <c r="K185" s="113">
        <f>IFERROR(__xludf.DUMMYFUNCTION("""COMPUTED_VALUE"""),45959.0)</f>
        <v>45959</v>
      </c>
      <c r="L185" s="74" t="str">
        <f>IFERROR(__xludf.DUMMYFUNCTION("""COMPUTED_VALUE"""),"Wednesday")</f>
        <v>Wednesday</v>
      </c>
      <c r="M185" s="74" t="str">
        <f>IFERROR(__xludf.DUMMYFUNCTION("""COMPUTED_VALUE"""),"MF")</f>
        <v>MF</v>
      </c>
      <c r="N185" s="114">
        <f>IFERROR(__xludf.DUMMYFUNCTION("""COMPUTED_VALUE"""),1.0638204011636534)</f>
        <v>1.063820401</v>
      </c>
      <c r="O185" s="74" t="str">
        <f>IFERROR(__xludf.DUMMYFUNCTION("""COMPUTED_VALUE"""),"")</f>
        <v/>
      </c>
      <c r="P185" s="74" t="str">
        <f>IFERROR(__xludf.DUMMYFUNCTION("""COMPUTED_VALUE"""),"")</f>
        <v/>
      </c>
      <c r="Q185" s="82" t="str">
        <f>IFERROR(__xludf.DUMMYFUNCTION("""COMPUTED_VALUE"""),"")</f>
        <v/>
      </c>
      <c r="R185" s="82" t="str">
        <f>IFERROR(__xludf.DUMMYFUNCTION("""COMPUTED_VALUE"""),"")</f>
        <v/>
      </c>
      <c r="S185" s="63" t="str">
        <f>IFERROR(__xludf.DUMMYFUNCTION("""COMPUTED_VALUE"""),"")</f>
        <v/>
      </c>
      <c r="T185" s="63" t="str">
        <f>IFERROR(__xludf.DUMMYFUNCTION("""COMPUTED_VALUE"""),"")</f>
        <v/>
      </c>
      <c r="U185" s="138" t="str">
        <f>IFERROR(__xludf.DUMMYFUNCTION("""COMPUTED_VALUE"""),"")</f>
        <v/>
      </c>
      <c r="V185" s="82" t="str">
        <f>IFERROR(__xludf.DUMMYFUNCTION("""COMPUTED_VALUE"""),"")</f>
        <v/>
      </c>
      <c r="W185" s="64" t="str">
        <f>IFERROR(__xludf.DUMMYFUNCTION("""COMPUTED_VALUE"""),"")</f>
        <v/>
      </c>
      <c r="X185" s="64" t="str">
        <f>IFERROR(__xludf.DUMMYFUNCTION("""COMPUTED_VALUE"""),"")</f>
        <v/>
      </c>
      <c r="Y185" s="114" t="str">
        <f>IFERROR(__xludf.DUMMYFUNCTION("""COMPUTED_VALUE"""),"")</f>
        <v/>
      </c>
      <c r="Z185" s="118" t="str">
        <f>IFERROR(__xludf.DUMMYFUNCTION("""COMPUTED_VALUE"""),"")</f>
        <v/>
      </c>
      <c r="AA185" s="118" t="str">
        <f>IFERROR(__xludf.DUMMYFUNCTION("""COMPUTED_VALUE"""),"")</f>
        <v/>
      </c>
      <c r="AB185" s="74" t="str">
        <f>IFERROR(__xludf.DUMMYFUNCTION("""COMPUTED_VALUE"""),"")</f>
        <v/>
      </c>
    </row>
    <row r="186">
      <c r="A186" s="109">
        <f>IFERROR(__xludf.DUMMYFUNCTION("""COMPUTED_VALUE"""),45959.66331950232)</f>
        <v>45959.66332</v>
      </c>
      <c r="B186" s="81" t="str">
        <f>IFERROR(__xludf.DUMMYFUNCTION("""COMPUTED_VALUE"""),"Sarah Wilme")</f>
        <v>Sarah Wilme</v>
      </c>
      <c r="C186" s="74" t="b">
        <f>IFERROR(__xludf.DUMMYFUNCTION("""COMPUTED_VALUE"""),FALSE)</f>
        <v>0</v>
      </c>
      <c r="D186" s="137">
        <f>IFERROR(__xludf.DUMMYFUNCTION("""COMPUTED_VALUE"""),0.5368055555555555)</f>
        <v>0.5368055556</v>
      </c>
      <c r="E186" s="82">
        <f>IFERROR(__xludf.DUMMYFUNCTION("""COMPUTED_VALUE"""),0.12569444444444444)</f>
        <v>0.1256944444</v>
      </c>
      <c r="F186" s="137">
        <f>IFERROR(__xludf.DUMMYFUNCTION("""COMPUTED_VALUE"""),0.6625)</f>
        <v>0.6625</v>
      </c>
      <c r="G186" s="82">
        <f>IFERROR(__xludf.DUMMYFUNCTION("""COMPUTED_VALUE"""),0.18611111111159617)</f>
        <v>0.1861111111</v>
      </c>
      <c r="H186" s="115">
        <f>IFERROR(__xludf.DUMMYFUNCTION("""COMPUTED_VALUE"""),89.0)</f>
        <v>89</v>
      </c>
      <c r="I186" s="112">
        <f>IFERROR(__xludf.DUMMYFUNCTION("""COMPUTED_VALUE"""),19.925373134276427)</f>
        <v>19.92537313</v>
      </c>
      <c r="J186" s="74" t="str">
        <f>IFERROR(__xludf.DUMMYFUNCTION("""COMPUTED_VALUE"""),"Lunch")</f>
        <v>Lunch</v>
      </c>
      <c r="K186" s="113">
        <f>IFERROR(__xludf.DUMMYFUNCTION("""COMPUTED_VALUE"""),45959.0)</f>
        <v>45959</v>
      </c>
      <c r="L186" s="74" t="str">
        <f>IFERROR(__xludf.DUMMYFUNCTION("""COMPUTED_VALUE"""),"Wednesday")</f>
        <v>Wednesday</v>
      </c>
      <c r="M186" s="74" t="str">
        <f>IFERROR(__xludf.DUMMYFUNCTION("""COMPUTED_VALUE"""),"BF")</f>
        <v>BF</v>
      </c>
      <c r="N186" s="114">
        <f>IFERROR(__xludf.DUMMYFUNCTION("""COMPUTED_VALUE"""),0.5131341037568099)</f>
        <v>0.5131341038</v>
      </c>
      <c r="O186" s="74" t="str">
        <f>IFERROR(__xludf.DUMMYFUNCTION("""COMPUTED_VALUE"""),"")</f>
        <v/>
      </c>
      <c r="P186" s="74" t="str">
        <f>IFERROR(__xludf.DUMMYFUNCTION("""COMPUTED_VALUE"""),"")</f>
        <v/>
      </c>
      <c r="Q186" s="82" t="str">
        <f>IFERROR(__xludf.DUMMYFUNCTION("""COMPUTED_VALUE"""),"")</f>
        <v/>
      </c>
      <c r="R186" s="82" t="str">
        <f>IFERROR(__xludf.DUMMYFUNCTION("""COMPUTED_VALUE"""),"")</f>
        <v/>
      </c>
      <c r="S186" s="63" t="str">
        <f>IFERROR(__xludf.DUMMYFUNCTION("""COMPUTED_VALUE"""),"")</f>
        <v/>
      </c>
      <c r="T186" s="63" t="str">
        <f>IFERROR(__xludf.DUMMYFUNCTION("""COMPUTED_VALUE"""),"")</f>
        <v/>
      </c>
      <c r="U186" s="138" t="str">
        <f>IFERROR(__xludf.DUMMYFUNCTION("""COMPUTED_VALUE"""),"")</f>
        <v/>
      </c>
      <c r="V186" s="82" t="str">
        <f>IFERROR(__xludf.DUMMYFUNCTION("""COMPUTED_VALUE"""),"")</f>
        <v/>
      </c>
      <c r="W186" s="64" t="str">
        <f>IFERROR(__xludf.DUMMYFUNCTION("""COMPUTED_VALUE"""),"")</f>
        <v/>
      </c>
      <c r="X186" s="64" t="str">
        <f>IFERROR(__xludf.DUMMYFUNCTION("""COMPUTED_VALUE"""),"")</f>
        <v/>
      </c>
      <c r="Y186" s="114" t="str">
        <f>IFERROR(__xludf.DUMMYFUNCTION("""COMPUTED_VALUE"""),"")</f>
        <v/>
      </c>
      <c r="Z186" s="118" t="str">
        <f>IFERROR(__xludf.DUMMYFUNCTION("""COMPUTED_VALUE"""),"")</f>
        <v/>
      </c>
      <c r="AA186" s="118" t="str">
        <f>IFERROR(__xludf.DUMMYFUNCTION("""COMPUTED_VALUE"""),"")</f>
        <v/>
      </c>
      <c r="AB186" s="74" t="str">
        <f>IFERROR(__xludf.DUMMYFUNCTION("""COMPUTED_VALUE"""),"")</f>
        <v/>
      </c>
    </row>
    <row r="187">
      <c r="A187" s="109">
        <f>IFERROR(__xludf.DUMMYFUNCTION("""COMPUTED_VALUE"""),45959.747680949076)</f>
        <v>45959.74768</v>
      </c>
      <c r="B187" s="81" t="str">
        <f>IFERROR(__xludf.DUMMYFUNCTION("""COMPUTED_VALUE"""),"Sarah Wilme")</f>
        <v>Sarah Wilme</v>
      </c>
      <c r="C187" s="74" t="b">
        <f>IFERROR(__xludf.DUMMYFUNCTION("""COMPUTED_VALUE"""),TRUE)</f>
        <v>1</v>
      </c>
      <c r="D187" s="137">
        <f>IFERROR(__xludf.DUMMYFUNCTION("""COMPUTED_VALUE"""),0.6868055555532919)</f>
        <v>0.6868055556</v>
      </c>
      <c r="E187" s="82">
        <f>IFERROR(__xludf.DUMMYFUNCTION("""COMPUTED_VALUE"""),0.06041666666715173)</f>
        <v>0.06041666667</v>
      </c>
      <c r="F187" s="137">
        <f>IFERROR(__xludf.DUMMYFUNCTION("""COMPUTED_VALUE"""),0.7472222222204437)</f>
        <v>0.7472222222</v>
      </c>
      <c r="G187" s="82" t="str">
        <f>IFERROR(__xludf.DUMMYFUNCTION("""COMPUTED_VALUE"""),"")</f>
        <v/>
      </c>
      <c r="H187" s="115">
        <f>IFERROR(__xludf.DUMMYFUNCTION("""COMPUTED_VALUE"""),71.0)</f>
        <v>71</v>
      </c>
      <c r="I187" s="112" t="str">
        <f>IFERROR(__xludf.DUMMYFUNCTION("""COMPUTED_VALUE"""),"")</f>
        <v/>
      </c>
      <c r="J187" s="74" t="str">
        <f>IFERROR(__xludf.DUMMYFUNCTION("""COMPUTED_VALUE"""),"Dinner")</f>
        <v>Dinner</v>
      </c>
      <c r="K187" s="113">
        <f>IFERROR(__xludf.DUMMYFUNCTION("""COMPUTED_VALUE"""),45959.0)</f>
        <v>45959</v>
      </c>
      <c r="L187" s="74" t="str">
        <f>IFERROR(__xludf.DUMMYFUNCTION("""COMPUTED_VALUE"""),"Wednesday")</f>
        <v>Wednesday</v>
      </c>
      <c r="M187" s="74" t="str">
        <f>IFERROR(__xludf.DUMMYFUNCTION("""COMPUTED_VALUE"""),"BF")</f>
        <v>BF</v>
      </c>
      <c r="N187" s="114" t="str">
        <f>IFERROR(__xludf.DUMMYFUNCTION("""COMPUTED_VALUE"""),"")</f>
        <v/>
      </c>
      <c r="O187" s="74" t="str">
        <f>IFERROR(__xludf.DUMMYFUNCTION("""COMPUTED_VALUE"""),"")</f>
        <v/>
      </c>
      <c r="P187" s="74" t="str">
        <f>IFERROR(__xludf.DUMMYFUNCTION("""COMPUTED_VALUE"""),"")</f>
        <v/>
      </c>
      <c r="Q187" s="82" t="str">
        <f>IFERROR(__xludf.DUMMYFUNCTION("""COMPUTED_VALUE"""),"")</f>
        <v/>
      </c>
      <c r="R187" s="82" t="str">
        <f>IFERROR(__xludf.DUMMYFUNCTION("""COMPUTED_VALUE"""),"")</f>
        <v/>
      </c>
      <c r="S187" s="63" t="str">
        <f>IFERROR(__xludf.DUMMYFUNCTION("""COMPUTED_VALUE"""),"")</f>
        <v/>
      </c>
      <c r="T187" s="63" t="str">
        <f>IFERROR(__xludf.DUMMYFUNCTION("""COMPUTED_VALUE"""),"")</f>
        <v/>
      </c>
      <c r="U187" s="138" t="str">
        <f>IFERROR(__xludf.DUMMYFUNCTION("""COMPUTED_VALUE"""),"")</f>
        <v/>
      </c>
      <c r="V187" s="82" t="str">
        <f>IFERROR(__xludf.DUMMYFUNCTION("""COMPUTED_VALUE"""),"")</f>
        <v/>
      </c>
      <c r="W187" s="64" t="str">
        <f>IFERROR(__xludf.DUMMYFUNCTION("""COMPUTED_VALUE"""),"")</f>
        <v/>
      </c>
      <c r="X187" s="64" t="str">
        <f>IFERROR(__xludf.DUMMYFUNCTION("""COMPUTED_VALUE"""),"")</f>
        <v/>
      </c>
      <c r="Y187" s="114" t="str">
        <f>IFERROR(__xludf.DUMMYFUNCTION("""COMPUTED_VALUE"""),"")</f>
        <v/>
      </c>
      <c r="Z187" s="118" t="str">
        <f>IFERROR(__xludf.DUMMYFUNCTION("""COMPUTED_VALUE"""),"")</f>
        <v/>
      </c>
      <c r="AA187" s="118" t="str">
        <f>IFERROR(__xludf.DUMMYFUNCTION("""COMPUTED_VALUE"""),"")</f>
        <v/>
      </c>
      <c r="AB187" s="74" t="str">
        <f>IFERROR(__xludf.DUMMYFUNCTION("""COMPUTED_VALUE"""),"")</f>
        <v/>
      </c>
    </row>
    <row r="188">
      <c r="A188" s="109">
        <f>IFERROR(__xludf.DUMMYFUNCTION("""COMPUTED_VALUE"""),45959.75063923611)</f>
        <v>45959.75064</v>
      </c>
      <c r="B188" s="81" t="str">
        <f>IFERROR(__xludf.DUMMYFUNCTION("""COMPUTED_VALUE"""),"Orpheus Wilson")</f>
        <v>Orpheus Wilson</v>
      </c>
      <c r="C188" s="74" t="b">
        <f>IFERROR(__xludf.DUMMYFUNCTION("""COMPUTED_VALUE"""),FALSE)</f>
        <v>0</v>
      </c>
      <c r="D188" s="137">
        <f>IFERROR(__xludf.DUMMYFUNCTION("""COMPUTED_VALUE"""),0.6916666666656965)</f>
        <v>0.6916666667</v>
      </c>
      <c r="E188" s="82">
        <f>IFERROR(__xludf.DUMMYFUNCTION("""COMPUTED_VALUE"""),0.05416666666763681)</f>
        <v>0.05416666667</v>
      </c>
      <c r="F188" s="137">
        <f>IFERROR(__xludf.DUMMYFUNCTION("""COMPUTED_VALUE"""),0.7458333333333333)</f>
        <v>0.7458333333</v>
      </c>
      <c r="G188" s="82">
        <f>IFERROR(__xludf.DUMMYFUNCTION("""COMPUTED_VALUE"""),0.05416666666763681)</f>
        <v>0.05416666667</v>
      </c>
      <c r="H188" s="115">
        <f>IFERROR(__xludf.DUMMYFUNCTION("""COMPUTED_VALUE"""),79.0)</f>
        <v>79</v>
      </c>
      <c r="I188" s="112">
        <f>IFERROR(__xludf.DUMMYFUNCTION("""COMPUTED_VALUE"""),60.76923076814237)</f>
        <v>60.76923077</v>
      </c>
      <c r="J188" s="74" t="str">
        <f>IFERROR(__xludf.DUMMYFUNCTION("""COMPUTED_VALUE"""),"Dinner")</f>
        <v>Dinner</v>
      </c>
      <c r="K188" s="113">
        <f>IFERROR(__xludf.DUMMYFUNCTION("""COMPUTED_VALUE"""),45959.0)</f>
        <v>45959</v>
      </c>
      <c r="L188" s="74" t="str">
        <f>IFERROR(__xludf.DUMMYFUNCTION("""COMPUTED_VALUE"""),"Wednesday")</f>
        <v>Wednesday</v>
      </c>
      <c r="M188" s="74" t="str">
        <f>IFERROR(__xludf.DUMMYFUNCTION("""COMPUTED_VALUE"""),"MF")</f>
        <v>MF</v>
      </c>
      <c r="N188" s="114">
        <f>IFERROR(__xludf.DUMMYFUNCTION("""COMPUTED_VALUE"""),1.197456850953994)</f>
        <v>1.197456851</v>
      </c>
      <c r="O188" s="74" t="str">
        <f>IFERROR(__xludf.DUMMYFUNCTION("""COMPUTED_VALUE"""),"")</f>
        <v/>
      </c>
      <c r="P188" s="74" t="str">
        <f>IFERROR(__xludf.DUMMYFUNCTION("""COMPUTED_VALUE"""),"")</f>
        <v/>
      </c>
      <c r="Q188" s="82" t="str">
        <f>IFERROR(__xludf.DUMMYFUNCTION("""COMPUTED_VALUE"""),"")</f>
        <v/>
      </c>
      <c r="R188" s="82" t="str">
        <f>IFERROR(__xludf.DUMMYFUNCTION("""COMPUTED_VALUE"""),"")</f>
        <v/>
      </c>
      <c r="S188" s="63" t="str">
        <f>IFERROR(__xludf.DUMMYFUNCTION("""COMPUTED_VALUE"""),"")</f>
        <v/>
      </c>
      <c r="T188" s="63" t="str">
        <f>IFERROR(__xludf.DUMMYFUNCTION("""COMPUTED_VALUE"""),"")</f>
        <v/>
      </c>
      <c r="U188" s="138" t="str">
        <f>IFERROR(__xludf.DUMMYFUNCTION("""COMPUTED_VALUE"""),"")</f>
        <v/>
      </c>
      <c r="V188" s="82" t="str">
        <f>IFERROR(__xludf.DUMMYFUNCTION("""COMPUTED_VALUE"""),"")</f>
        <v/>
      </c>
      <c r="W188" s="64" t="str">
        <f>IFERROR(__xludf.DUMMYFUNCTION("""COMPUTED_VALUE"""),"")</f>
        <v/>
      </c>
      <c r="X188" s="64" t="str">
        <f>IFERROR(__xludf.DUMMYFUNCTION("""COMPUTED_VALUE"""),"")</f>
        <v/>
      </c>
      <c r="Y188" s="114" t="str">
        <f>IFERROR(__xludf.DUMMYFUNCTION("""COMPUTED_VALUE"""),"")</f>
        <v/>
      </c>
      <c r="Z188" s="118" t="str">
        <f>IFERROR(__xludf.DUMMYFUNCTION("""COMPUTED_VALUE"""),"")</f>
        <v/>
      </c>
      <c r="AA188" s="118" t="str">
        <f>IFERROR(__xludf.DUMMYFUNCTION("""COMPUTED_VALUE"""),"")</f>
        <v/>
      </c>
      <c r="AB188" s="74" t="str">
        <f>IFERROR(__xludf.DUMMYFUNCTION("""COMPUTED_VALUE"""),"")</f>
        <v/>
      </c>
    </row>
    <row r="189">
      <c r="A189" s="109">
        <f>IFERROR(__xludf.DUMMYFUNCTION("""COMPUTED_VALUE"""),45959.826302870366)</f>
        <v>45959.8263</v>
      </c>
      <c r="B189" s="81" t="str">
        <f>IFERROR(__xludf.DUMMYFUNCTION("""COMPUTED_VALUE"""),"Emma Korsu")</f>
        <v>Emma Korsu</v>
      </c>
      <c r="C189" s="74" t="b">
        <f>IFERROR(__xludf.DUMMYFUNCTION("""COMPUTED_VALUE"""),FALSE)</f>
        <v>0</v>
      </c>
      <c r="D189" s="137">
        <f>IFERROR(__xludf.DUMMYFUNCTION("""COMPUTED_VALUE"""),0.75)</f>
        <v>0.75</v>
      </c>
      <c r="E189" s="82">
        <f>IFERROR(__xludf.DUMMYFUNCTION("""COMPUTED_VALUE"""),0.07569444444379769)</f>
        <v>0.07569444444</v>
      </c>
      <c r="F189" s="137">
        <f>IFERROR(__xludf.DUMMYFUNCTION("""COMPUTED_VALUE"""),0.8256944444437977)</f>
        <v>0.8256944444</v>
      </c>
      <c r="G189" s="82">
        <f>IFERROR(__xludf.DUMMYFUNCTION("""COMPUTED_VALUE"""),0.11041666666278616)</f>
        <v>0.1104166667</v>
      </c>
      <c r="H189" s="115">
        <f>IFERROR(__xludf.DUMMYFUNCTION("""COMPUTED_VALUE"""),141.0)</f>
        <v>141</v>
      </c>
      <c r="I189" s="112">
        <f>IFERROR(__xludf.DUMMYFUNCTION("""COMPUTED_VALUE"""),53.20754717168126)</f>
        <v>53.20754717</v>
      </c>
      <c r="J189" s="74" t="str">
        <f>IFERROR(__xludf.DUMMYFUNCTION("""COMPUTED_VALUE"""),"Dinner")</f>
        <v>Dinner</v>
      </c>
      <c r="K189" s="113">
        <f>IFERROR(__xludf.DUMMYFUNCTION("""COMPUTED_VALUE"""),45959.0)</f>
        <v>45959</v>
      </c>
      <c r="L189" s="74" t="str">
        <f>IFERROR(__xludf.DUMMYFUNCTION("""COMPUTED_VALUE"""),"Wednesday")</f>
        <v>Wednesday</v>
      </c>
      <c r="M189" s="74" t="str">
        <f>IFERROR(__xludf.DUMMYFUNCTION("""COMPUTED_VALUE"""),"BF")</f>
        <v>BF</v>
      </c>
      <c r="N189" s="114">
        <f>IFERROR(__xludf.DUMMYFUNCTION("""COMPUTED_VALUE"""),1.2556802836233205)</f>
        <v>1.255680284</v>
      </c>
      <c r="O189" s="74" t="str">
        <f>IFERROR(__xludf.DUMMYFUNCTION("""COMPUTED_VALUE"""),"")</f>
        <v/>
      </c>
      <c r="P189" s="74" t="str">
        <f>IFERROR(__xludf.DUMMYFUNCTION("""COMPUTED_VALUE"""),"")</f>
        <v/>
      </c>
      <c r="Q189" s="82" t="str">
        <f>IFERROR(__xludf.DUMMYFUNCTION("""COMPUTED_VALUE"""),"")</f>
        <v/>
      </c>
      <c r="R189" s="82" t="str">
        <f>IFERROR(__xludf.DUMMYFUNCTION("""COMPUTED_VALUE"""),"")</f>
        <v/>
      </c>
      <c r="S189" s="63" t="str">
        <f>IFERROR(__xludf.DUMMYFUNCTION("""COMPUTED_VALUE"""),"")</f>
        <v/>
      </c>
      <c r="T189" s="63" t="str">
        <f>IFERROR(__xludf.DUMMYFUNCTION("""COMPUTED_VALUE"""),"")</f>
        <v/>
      </c>
      <c r="U189" s="138" t="str">
        <f>IFERROR(__xludf.DUMMYFUNCTION("""COMPUTED_VALUE"""),"")</f>
        <v/>
      </c>
      <c r="V189" s="82" t="str">
        <f>IFERROR(__xludf.DUMMYFUNCTION("""COMPUTED_VALUE"""),"")</f>
        <v/>
      </c>
      <c r="W189" s="64" t="str">
        <f>IFERROR(__xludf.DUMMYFUNCTION("""COMPUTED_VALUE"""),"")</f>
        <v/>
      </c>
      <c r="X189" s="64" t="str">
        <f>IFERROR(__xludf.DUMMYFUNCTION("""COMPUTED_VALUE"""),"")</f>
        <v/>
      </c>
      <c r="Y189" s="114" t="str">
        <f>IFERROR(__xludf.DUMMYFUNCTION("""COMPUTED_VALUE"""),"")</f>
        <v/>
      </c>
      <c r="Z189" s="118" t="str">
        <f>IFERROR(__xludf.DUMMYFUNCTION("""COMPUTED_VALUE"""),"")</f>
        <v/>
      </c>
      <c r="AA189" s="118" t="str">
        <f>IFERROR(__xludf.DUMMYFUNCTION("""COMPUTED_VALUE"""),"")</f>
        <v/>
      </c>
      <c r="AB189" s="74" t="str">
        <f>IFERROR(__xludf.DUMMYFUNCTION("""COMPUTED_VALUE"""),"")</f>
        <v/>
      </c>
    </row>
    <row r="190">
      <c r="A190" s="109">
        <f>IFERROR(__xludf.DUMMYFUNCTION("""COMPUTED_VALUE"""),45959.862337928236)</f>
        <v>45959.86234</v>
      </c>
      <c r="B190" s="81" t="str">
        <f>IFERROR(__xludf.DUMMYFUNCTION("""COMPUTED_VALUE"""),"Emma Korsu")</f>
        <v>Emma Korsu</v>
      </c>
      <c r="C190" s="74" t="b">
        <f>IFERROR(__xludf.DUMMYFUNCTION("""COMPUTED_VALUE"""),TRUE)</f>
        <v>1</v>
      </c>
      <c r="D190" s="137">
        <f>IFERROR(__xludf.DUMMYFUNCTION("""COMPUTED_VALUE"""),0.8270833333372138)</f>
        <v>0.8270833333</v>
      </c>
      <c r="E190" s="82">
        <f>IFERROR(__xludf.DUMMYFUNCTION("""COMPUTED_VALUE"""),0.03472222221898846)</f>
        <v>0.03472222222</v>
      </c>
      <c r="F190" s="137">
        <f>IFERROR(__xludf.DUMMYFUNCTION("""COMPUTED_VALUE"""),0.8618055555562023)</f>
        <v>0.8618055556</v>
      </c>
      <c r="G190" s="82" t="str">
        <f>IFERROR(__xludf.DUMMYFUNCTION("""COMPUTED_VALUE"""),"")</f>
        <v/>
      </c>
      <c r="H190" s="115">
        <f>IFERROR(__xludf.DUMMYFUNCTION("""COMPUTED_VALUE"""),45.0)</f>
        <v>45</v>
      </c>
      <c r="I190" s="112" t="str">
        <f>IFERROR(__xludf.DUMMYFUNCTION("""COMPUTED_VALUE"""),"")</f>
        <v/>
      </c>
      <c r="J190" s="74" t="str">
        <f>IFERROR(__xludf.DUMMYFUNCTION("""COMPUTED_VALUE"""),"Dinner")</f>
        <v>Dinner</v>
      </c>
      <c r="K190" s="113">
        <f>IFERROR(__xludf.DUMMYFUNCTION("""COMPUTED_VALUE"""),45959.0)</f>
        <v>45959</v>
      </c>
      <c r="L190" s="74" t="str">
        <f>IFERROR(__xludf.DUMMYFUNCTION("""COMPUTED_VALUE"""),"Wednesday")</f>
        <v>Wednesday</v>
      </c>
      <c r="M190" s="74" t="str">
        <f>IFERROR(__xludf.DUMMYFUNCTION("""COMPUTED_VALUE"""),"BF")</f>
        <v>BF</v>
      </c>
      <c r="N190" s="114" t="str">
        <f>IFERROR(__xludf.DUMMYFUNCTION("""COMPUTED_VALUE"""),"")</f>
        <v/>
      </c>
      <c r="O190" s="74" t="str">
        <f>IFERROR(__xludf.DUMMYFUNCTION("""COMPUTED_VALUE"""),"")</f>
        <v/>
      </c>
      <c r="P190" s="74" t="str">
        <f>IFERROR(__xludf.DUMMYFUNCTION("""COMPUTED_VALUE"""),"")</f>
        <v/>
      </c>
      <c r="Q190" s="82" t="str">
        <f>IFERROR(__xludf.DUMMYFUNCTION("""COMPUTED_VALUE"""),"")</f>
        <v/>
      </c>
      <c r="R190" s="82" t="str">
        <f>IFERROR(__xludf.DUMMYFUNCTION("""COMPUTED_VALUE"""),"")</f>
        <v/>
      </c>
      <c r="S190" s="63" t="str">
        <f>IFERROR(__xludf.DUMMYFUNCTION("""COMPUTED_VALUE"""),"")</f>
        <v/>
      </c>
      <c r="T190" s="63" t="str">
        <f>IFERROR(__xludf.DUMMYFUNCTION("""COMPUTED_VALUE"""),"")</f>
        <v/>
      </c>
      <c r="U190" s="138" t="str">
        <f>IFERROR(__xludf.DUMMYFUNCTION("""COMPUTED_VALUE"""),"")</f>
        <v/>
      </c>
      <c r="V190" s="82" t="str">
        <f>IFERROR(__xludf.DUMMYFUNCTION("""COMPUTED_VALUE"""),"")</f>
        <v/>
      </c>
      <c r="W190" s="64" t="str">
        <f>IFERROR(__xludf.DUMMYFUNCTION("""COMPUTED_VALUE"""),"")</f>
        <v/>
      </c>
      <c r="X190" s="64" t="str">
        <f>IFERROR(__xludf.DUMMYFUNCTION("""COMPUTED_VALUE"""),"")</f>
        <v/>
      </c>
      <c r="Y190" s="114" t="str">
        <f>IFERROR(__xludf.DUMMYFUNCTION("""COMPUTED_VALUE"""),"")</f>
        <v/>
      </c>
      <c r="Z190" s="118" t="str">
        <f>IFERROR(__xludf.DUMMYFUNCTION("""COMPUTED_VALUE"""),"")</f>
        <v/>
      </c>
      <c r="AA190" s="118" t="str">
        <f>IFERROR(__xludf.DUMMYFUNCTION("""COMPUTED_VALUE"""),"")</f>
        <v/>
      </c>
      <c r="AB190" s="74" t="str">
        <f>IFERROR(__xludf.DUMMYFUNCTION("""COMPUTED_VALUE"""),"")</f>
        <v/>
      </c>
    </row>
    <row r="191">
      <c r="A191" s="109">
        <f>IFERROR(__xludf.DUMMYFUNCTION("""COMPUTED_VALUE"""),45959.86825939815)</f>
        <v>45959.86826</v>
      </c>
      <c r="B191" s="81" t="str">
        <f>IFERROR(__xludf.DUMMYFUNCTION("""COMPUTED_VALUE"""),"Kaylie Forgue")</f>
        <v>Kaylie Forgue</v>
      </c>
      <c r="C191" s="74" t="b">
        <f>IFERROR(__xludf.DUMMYFUNCTION("""COMPUTED_VALUE"""),FALSE)</f>
        <v>0</v>
      </c>
      <c r="D191" s="137">
        <f>IFERROR(__xludf.DUMMYFUNCTION("""COMPUTED_VALUE"""),0.7472222222204437)</f>
        <v>0.7472222222</v>
      </c>
      <c r="E191" s="82">
        <f>IFERROR(__xludf.DUMMYFUNCTION("""COMPUTED_VALUE"""),0.12013888889487134)</f>
        <v>0.1201388889</v>
      </c>
      <c r="F191" s="137">
        <f>IFERROR(__xludf.DUMMYFUNCTION("""COMPUTED_VALUE"""),0.867361111115315)</f>
        <v>0.8673611111</v>
      </c>
      <c r="G191" s="82">
        <f>IFERROR(__xludf.DUMMYFUNCTION("""COMPUTED_VALUE"""),0.12013888889487134)</f>
        <v>0.1201388889</v>
      </c>
      <c r="H191" s="115">
        <f>IFERROR(__xludf.DUMMYFUNCTION("""COMPUTED_VALUE"""),121.0)</f>
        <v>121</v>
      </c>
      <c r="I191" s="112">
        <f>IFERROR(__xludf.DUMMYFUNCTION("""COMPUTED_VALUE"""),41.965317916985434)</f>
        <v>41.96531792</v>
      </c>
      <c r="J191" s="74" t="str">
        <f>IFERROR(__xludf.DUMMYFUNCTION("""COMPUTED_VALUE"""),"Dinner")</f>
        <v>Dinner</v>
      </c>
      <c r="K191" s="113">
        <f>IFERROR(__xludf.DUMMYFUNCTION("""COMPUTED_VALUE"""),45959.0)</f>
        <v>45959</v>
      </c>
      <c r="L191" s="74" t="str">
        <f>IFERROR(__xludf.DUMMYFUNCTION("""COMPUTED_VALUE"""),"Wednesday")</f>
        <v>Wednesday</v>
      </c>
      <c r="M191" s="74" t="str">
        <f>IFERROR(__xludf.DUMMYFUNCTION("""COMPUTED_VALUE"""),"MF")</f>
        <v>MF</v>
      </c>
      <c r="N191" s="114">
        <f>IFERROR(__xludf.DUMMYFUNCTION("""COMPUTED_VALUE"""),0.8269260085566281)</f>
        <v>0.8269260086</v>
      </c>
      <c r="O191" s="74">
        <f>IFERROR(__xludf.DUMMYFUNCTION("""COMPUTED_VALUE"""),281.0)</f>
        <v>281</v>
      </c>
      <c r="P191" s="74">
        <f>IFERROR(__xludf.DUMMYFUNCTION("""COMPUTED_VALUE"""),346.0)</f>
        <v>346</v>
      </c>
      <c r="Q191" s="82">
        <f>IFERROR(__xludf.DUMMYFUNCTION("""COMPUTED_VALUE"""),0.24027777778149662)</f>
        <v>0.2402777778</v>
      </c>
      <c r="R191" s="82">
        <f>IFERROR(__xludf.DUMMYFUNCTION("""COMPUTED_VALUE"""),0.29652777777438233)</f>
        <v>0.2965277778</v>
      </c>
      <c r="S191" s="63">
        <f>IFERROR(__xludf.DUMMYFUNCTION("""COMPUTED_VALUE"""),51.297481141492504)</f>
        <v>51.29748114</v>
      </c>
      <c r="T191" s="63">
        <f>IFERROR(__xludf.DUMMYFUNCTION("""COMPUTED_VALUE"""),36.56646015297885)</f>
        <v>36.56646015</v>
      </c>
      <c r="U191" s="138">
        <f>IFERROR(__xludf.DUMMYFUNCTION("""COMPUTED_VALUE"""),627.0)</f>
        <v>627</v>
      </c>
      <c r="V191" s="82">
        <f>IFERROR(__xludf.DUMMYFUNCTION("""COMPUTED_VALUE"""),0.5368055555558789)</f>
        <v>0.5368055556</v>
      </c>
      <c r="W191" s="64">
        <f>IFERROR(__xludf.DUMMYFUNCTION("""COMPUTED_VALUE"""),48.66752910734455)</f>
        <v>48.66752911</v>
      </c>
      <c r="X191" s="64">
        <f>IFERROR(__xludf.DUMMYFUNCTION("""COMPUTED_VALUE"""),45.40507274608704)</f>
        <v>45.40507275</v>
      </c>
      <c r="Y191" s="114">
        <f>IFERROR(__xludf.DUMMYFUNCTION("""COMPUTED_VALUE"""),0.6989009831057899)</f>
        <v>0.6989009831</v>
      </c>
      <c r="Z191" s="118">
        <f>IFERROR(__xludf.DUMMYFUNCTION("""COMPUTED_VALUE"""),3304.0)</f>
        <v>3304</v>
      </c>
      <c r="AA191" s="118">
        <f>IFERROR(__xludf.DUMMYFUNCTION("""COMPUTED_VALUE"""),3864.0)</f>
        <v>3864</v>
      </c>
      <c r="AB191" s="118">
        <f>IFERROR(__xludf.DUMMYFUNCTION("""COMPUTED_VALUE"""),7168.0)</f>
        <v>7168</v>
      </c>
    </row>
    <row r="192">
      <c r="A192" s="109">
        <f>IFERROR(__xludf.DUMMYFUNCTION("""COMPUTED_VALUE"""),45960.43292679398)</f>
        <v>45960.43293</v>
      </c>
      <c r="B192" s="81" t="str">
        <f>IFERROR(__xludf.DUMMYFUNCTION("""COMPUTED_VALUE"""),"Evan Morgan")</f>
        <v>Evan Morgan</v>
      </c>
      <c r="C192" s="74" t="b">
        <f>IFERROR(__xludf.DUMMYFUNCTION("""COMPUTED_VALUE"""),FALSE)</f>
        <v>0</v>
      </c>
      <c r="D192" s="137">
        <f>IFERROR(__xludf.DUMMYFUNCTION("""COMPUTED_VALUE"""),0.29166666666424135)</f>
        <v>0.2916666667</v>
      </c>
      <c r="E192" s="82">
        <f>IFERROR(__xludf.DUMMYFUNCTION("""COMPUTED_VALUE"""),0.13888888889050577)</f>
        <v>0.1388888889</v>
      </c>
      <c r="F192" s="137">
        <f>IFERROR(__xludf.DUMMYFUNCTION("""COMPUTED_VALUE"""),0.4305555555547471)</f>
        <v>0.4305555556</v>
      </c>
      <c r="G192" s="82">
        <f>IFERROR(__xludf.DUMMYFUNCTION("""COMPUTED_VALUE"""),0.13888888889050577)</f>
        <v>0.1388888889</v>
      </c>
      <c r="H192" s="115">
        <f>IFERROR(__xludf.DUMMYFUNCTION("""COMPUTED_VALUE"""),95.0)</f>
        <v>95</v>
      </c>
      <c r="I192" s="112">
        <f>IFERROR(__xludf.DUMMYFUNCTION("""COMPUTED_VALUE"""),28.499999999668216)</f>
        <v>28.5</v>
      </c>
      <c r="J192" s="74" t="str">
        <f>IFERROR(__xludf.DUMMYFUNCTION("""COMPUTED_VALUE"""),"Breakfast")</f>
        <v>Breakfast</v>
      </c>
      <c r="K192" s="113">
        <f>IFERROR(__xludf.DUMMYFUNCTION("""COMPUTED_VALUE"""),45960.0)</f>
        <v>45960</v>
      </c>
      <c r="L192" s="74" t="str">
        <f>IFERROR(__xludf.DUMMYFUNCTION("""COMPUTED_VALUE"""),"Thursday")</f>
        <v>Thursday</v>
      </c>
      <c r="M192" s="74" t="str">
        <f>IFERROR(__xludf.DUMMYFUNCTION("""COMPUTED_VALUE"""),"BF")</f>
        <v>BF</v>
      </c>
      <c r="N192" s="114">
        <f>IFERROR(__xludf.DUMMYFUNCTION("""COMPUTED_VALUE"""),1.207008457312448)</f>
        <v>1.207008457</v>
      </c>
      <c r="O192" s="74" t="str">
        <f>IFERROR(__xludf.DUMMYFUNCTION("""COMPUTED_VALUE"""),"")</f>
        <v/>
      </c>
      <c r="P192" s="74" t="str">
        <f>IFERROR(__xludf.DUMMYFUNCTION("""COMPUTED_VALUE"""),"")</f>
        <v/>
      </c>
      <c r="Q192" s="82" t="str">
        <f>IFERROR(__xludf.DUMMYFUNCTION("""COMPUTED_VALUE"""),"")</f>
        <v/>
      </c>
      <c r="R192" s="82" t="str">
        <f>IFERROR(__xludf.DUMMYFUNCTION("""COMPUTED_VALUE"""),"")</f>
        <v/>
      </c>
      <c r="S192" s="63" t="str">
        <f>IFERROR(__xludf.DUMMYFUNCTION("""COMPUTED_VALUE"""),"")</f>
        <v/>
      </c>
      <c r="T192" s="63" t="str">
        <f>IFERROR(__xludf.DUMMYFUNCTION("""COMPUTED_VALUE"""),"")</f>
        <v/>
      </c>
      <c r="U192" s="138" t="str">
        <f>IFERROR(__xludf.DUMMYFUNCTION("""COMPUTED_VALUE"""),"")</f>
        <v/>
      </c>
      <c r="V192" s="82" t="str">
        <f>IFERROR(__xludf.DUMMYFUNCTION("""COMPUTED_VALUE"""),"")</f>
        <v/>
      </c>
      <c r="W192" s="64" t="str">
        <f>IFERROR(__xludf.DUMMYFUNCTION("""COMPUTED_VALUE"""),"")</f>
        <v/>
      </c>
      <c r="X192" s="64" t="str">
        <f>IFERROR(__xludf.DUMMYFUNCTION("""COMPUTED_VALUE"""),"")</f>
        <v/>
      </c>
      <c r="Y192" s="114" t="str">
        <f>IFERROR(__xludf.DUMMYFUNCTION("""COMPUTED_VALUE"""),"")</f>
        <v/>
      </c>
      <c r="Z192" s="118" t="str">
        <f>IFERROR(__xludf.DUMMYFUNCTION("""COMPUTED_VALUE"""),"")</f>
        <v/>
      </c>
      <c r="AA192" s="118" t="str">
        <f>IFERROR(__xludf.DUMMYFUNCTION("""COMPUTED_VALUE"""),"")</f>
        <v/>
      </c>
      <c r="AB192" s="74" t="str">
        <f>IFERROR(__xludf.DUMMYFUNCTION("""COMPUTED_VALUE"""),"")</f>
        <v/>
      </c>
    </row>
    <row r="193">
      <c r="A193" s="109">
        <f>IFERROR(__xludf.DUMMYFUNCTION("""COMPUTED_VALUE"""),45960.557710636574)</f>
        <v>45960.55771</v>
      </c>
      <c r="B193" s="81" t="str">
        <f>IFERROR(__xludf.DUMMYFUNCTION("""COMPUTED_VALUE"""),"Maureen Surgot")</f>
        <v>Maureen Surgot</v>
      </c>
      <c r="C193" s="74" t="b">
        <f>IFERROR(__xludf.DUMMYFUNCTION("""COMPUTED_VALUE"""),FALSE)</f>
        <v>0</v>
      </c>
      <c r="D193" s="137">
        <f>IFERROR(__xludf.DUMMYFUNCTION("""COMPUTED_VALUE"""),0.47916666666424135)</f>
        <v>0.4791666667</v>
      </c>
      <c r="E193" s="82">
        <f>IFERROR(__xludf.DUMMYFUNCTION("""COMPUTED_VALUE"""),0.08333333333575865)</f>
        <v>0.08333333334</v>
      </c>
      <c r="F193" s="137">
        <f>IFERROR(__xludf.DUMMYFUNCTION("""COMPUTED_VALUE"""),0.5625)</f>
        <v>0.5625</v>
      </c>
      <c r="G193" s="82">
        <f>IFERROR(__xludf.DUMMYFUNCTION("""COMPUTED_VALUE"""),0.08333333333575865)</f>
        <v>0.08333333334</v>
      </c>
      <c r="H193" s="115">
        <f>IFERROR(__xludf.DUMMYFUNCTION("""COMPUTED_VALUE"""),62.0)</f>
        <v>62</v>
      </c>
      <c r="I193" s="112">
        <f>IFERROR(__xludf.DUMMYFUNCTION("""COMPUTED_VALUE"""),30.99999999909778)</f>
        <v>31</v>
      </c>
      <c r="J193" s="74" t="str">
        <f>IFERROR(__xludf.DUMMYFUNCTION("""COMPUTED_VALUE"""),"Lunch")</f>
        <v>Lunch</v>
      </c>
      <c r="K193" s="113">
        <f>IFERROR(__xludf.DUMMYFUNCTION("""COMPUTED_VALUE"""),45960.0)</f>
        <v>45960</v>
      </c>
      <c r="L193" s="74" t="str">
        <f>IFERROR(__xludf.DUMMYFUNCTION("""COMPUTED_VALUE"""),"Thursday")</f>
        <v>Thursday</v>
      </c>
      <c r="M193" s="74" t="str">
        <f>IFERROR(__xludf.DUMMYFUNCTION("""COMPUTED_VALUE"""),"MF")</f>
        <v>MF</v>
      </c>
      <c r="N193" s="114">
        <f>IFERROR(__xludf.DUMMYFUNCTION("""COMPUTED_VALUE"""),0.6446401401609487)</f>
        <v>0.6446401402</v>
      </c>
      <c r="O193" s="74" t="str">
        <f>IFERROR(__xludf.DUMMYFUNCTION("""COMPUTED_VALUE"""),"")</f>
        <v/>
      </c>
      <c r="P193" s="74" t="str">
        <f>IFERROR(__xludf.DUMMYFUNCTION("""COMPUTED_VALUE"""),"")</f>
        <v/>
      </c>
      <c r="Q193" s="82" t="str">
        <f>IFERROR(__xludf.DUMMYFUNCTION("""COMPUTED_VALUE"""),"")</f>
        <v/>
      </c>
      <c r="R193" s="82" t="str">
        <f>IFERROR(__xludf.DUMMYFUNCTION("""COMPUTED_VALUE"""),"")</f>
        <v/>
      </c>
      <c r="S193" s="63" t="str">
        <f>IFERROR(__xludf.DUMMYFUNCTION("""COMPUTED_VALUE"""),"")</f>
        <v/>
      </c>
      <c r="T193" s="63" t="str">
        <f>IFERROR(__xludf.DUMMYFUNCTION("""COMPUTED_VALUE"""),"")</f>
        <v/>
      </c>
      <c r="U193" s="138" t="str">
        <f>IFERROR(__xludf.DUMMYFUNCTION("""COMPUTED_VALUE"""),"")</f>
        <v/>
      </c>
      <c r="V193" s="82" t="str">
        <f>IFERROR(__xludf.DUMMYFUNCTION("""COMPUTED_VALUE"""),"")</f>
        <v/>
      </c>
      <c r="W193" s="64" t="str">
        <f>IFERROR(__xludf.DUMMYFUNCTION("""COMPUTED_VALUE"""),"")</f>
        <v/>
      </c>
      <c r="X193" s="64" t="str">
        <f>IFERROR(__xludf.DUMMYFUNCTION("""COMPUTED_VALUE"""),"")</f>
        <v/>
      </c>
      <c r="Y193" s="114" t="str">
        <f>IFERROR(__xludf.DUMMYFUNCTION("""COMPUTED_VALUE"""),"")</f>
        <v/>
      </c>
      <c r="Z193" s="118" t="str">
        <f>IFERROR(__xludf.DUMMYFUNCTION("""COMPUTED_VALUE"""),"")</f>
        <v/>
      </c>
      <c r="AA193" s="118" t="str">
        <f>IFERROR(__xludf.DUMMYFUNCTION("""COMPUTED_VALUE"""),"")</f>
        <v/>
      </c>
      <c r="AB193" s="74" t="str">
        <f>IFERROR(__xludf.DUMMYFUNCTION("""COMPUTED_VALUE"""),"")</f>
        <v/>
      </c>
    </row>
    <row r="194">
      <c r="A194" s="109">
        <f>IFERROR(__xludf.DUMMYFUNCTION("""COMPUTED_VALUE"""),45960.57215196759)</f>
        <v>45960.57215</v>
      </c>
      <c r="B194" s="81" t="str">
        <f>IFERROR(__xludf.DUMMYFUNCTION("""COMPUTED_VALUE"""),"Greta Traynor")</f>
        <v>Greta Traynor</v>
      </c>
      <c r="C194" s="74" t="b">
        <f>IFERROR(__xludf.DUMMYFUNCTION("""COMPUTED_VALUE"""),FALSE)</f>
        <v>0</v>
      </c>
      <c r="D194" s="137">
        <f>IFERROR(__xludf.DUMMYFUNCTION("""COMPUTED_VALUE"""),0.5222222222218988)</f>
        <v>0.5222222222</v>
      </c>
      <c r="E194" s="82">
        <f>IFERROR(__xludf.DUMMYFUNCTION("""COMPUTED_VALUE"""),0.04861111110949423)</f>
        <v>0.04861111111</v>
      </c>
      <c r="F194" s="137">
        <f>IFERROR(__xludf.DUMMYFUNCTION("""COMPUTED_VALUE"""),0.5708333333313931)</f>
        <v>0.5708333333</v>
      </c>
      <c r="G194" s="82">
        <f>IFERROR(__xludf.DUMMYFUNCTION("""COMPUTED_VALUE"""),0.04861111110949423)</f>
        <v>0.04861111111</v>
      </c>
      <c r="H194" s="115">
        <f>IFERROR(__xludf.DUMMYFUNCTION("""COMPUTED_VALUE"""),68.0)</f>
        <v>68</v>
      </c>
      <c r="I194" s="112">
        <f>IFERROR(__xludf.DUMMYFUNCTION("""COMPUTED_VALUE"""),58.28571428765296)</f>
        <v>58.28571429</v>
      </c>
      <c r="J194" s="74" t="str">
        <f>IFERROR(__xludf.DUMMYFUNCTION("""COMPUTED_VALUE"""),"Lunch")</f>
        <v>Lunch</v>
      </c>
      <c r="K194" s="113">
        <f>IFERROR(__xludf.DUMMYFUNCTION("""COMPUTED_VALUE"""),45960.0)</f>
        <v>45960</v>
      </c>
      <c r="L194" s="74" t="str">
        <f>IFERROR(__xludf.DUMMYFUNCTION("""COMPUTED_VALUE"""),"Thursday")</f>
        <v>Thursday</v>
      </c>
      <c r="M194" s="74" t="str">
        <f>IFERROR(__xludf.DUMMYFUNCTION("""COMPUTED_VALUE"""),"BF")</f>
        <v>BF</v>
      </c>
      <c r="N194" s="114">
        <f>IFERROR(__xludf.DUMMYFUNCTION("""COMPUTED_VALUE"""),1.5010202098233574)</f>
        <v>1.50102021</v>
      </c>
      <c r="O194" s="74" t="str">
        <f>IFERROR(__xludf.DUMMYFUNCTION("""COMPUTED_VALUE"""),"")</f>
        <v/>
      </c>
      <c r="P194" s="74" t="str">
        <f>IFERROR(__xludf.DUMMYFUNCTION("""COMPUTED_VALUE"""),"")</f>
        <v/>
      </c>
      <c r="Q194" s="82" t="str">
        <f>IFERROR(__xludf.DUMMYFUNCTION("""COMPUTED_VALUE"""),"")</f>
        <v/>
      </c>
      <c r="R194" s="82" t="str">
        <f>IFERROR(__xludf.DUMMYFUNCTION("""COMPUTED_VALUE"""),"")</f>
        <v/>
      </c>
      <c r="S194" s="63" t="str">
        <f>IFERROR(__xludf.DUMMYFUNCTION("""COMPUTED_VALUE"""),"")</f>
        <v/>
      </c>
      <c r="T194" s="63" t="str">
        <f>IFERROR(__xludf.DUMMYFUNCTION("""COMPUTED_VALUE"""),"")</f>
        <v/>
      </c>
      <c r="U194" s="138" t="str">
        <f>IFERROR(__xludf.DUMMYFUNCTION("""COMPUTED_VALUE"""),"")</f>
        <v/>
      </c>
      <c r="V194" s="82" t="str">
        <f>IFERROR(__xludf.DUMMYFUNCTION("""COMPUTED_VALUE"""),"")</f>
        <v/>
      </c>
      <c r="W194" s="64" t="str">
        <f>IFERROR(__xludf.DUMMYFUNCTION("""COMPUTED_VALUE"""),"")</f>
        <v/>
      </c>
      <c r="X194" s="64" t="str">
        <f>IFERROR(__xludf.DUMMYFUNCTION("""COMPUTED_VALUE"""),"")</f>
        <v/>
      </c>
      <c r="Y194" s="114" t="str">
        <f>IFERROR(__xludf.DUMMYFUNCTION("""COMPUTED_VALUE"""),"")</f>
        <v/>
      </c>
      <c r="Z194" s="118" t="str">
        <f>IFERROR(__xludf.DUMMYFUNCTION("""COMPUTED_VALUE"""),"")</f>
        <v/>
      </c>
      <c r="AA194" s="118" t="str">
        <f>IFERROR(__xludf.DUMMYFUNCTION("""COMPUTED_VALUE"""),"")</f>
        <v/>
      </c>
      <c r="AB194" s="74" t="str">
        <f>IFERROR(__xludf.DUMMYFUNCTION("""COMPUTED_VALUE"""),"")</f>
        <v/>
      </c>
    </row>
    <row r="195">
      <c r="A195" s="109">
        <f>IFERROR(__xludf.DUMMYFUNCTION("""COMPUTED_VALUE"""),45960.63205328704)</f>
        <v>45960.63205</v>
      </c>
      <c r="B195" s="81" t="str">
        <f>IFERROR(__xludf.DUMMYFUNCTION("""COMPUTED_VALUE"""),"Brynn Hornig")</f>
        <v>Brynn Hornig</v>
      </c>
      <c r="C195" s="74" t="b">
        <f>IFERROR(__xludf.DUMMYFUNCTION("""COMPUTED_VALUE"""),FALSE)</f>
        <v>0</v>
      </c>
      <c r="D195" s="137">
        <f>IFERROR(__xludf.DUMMYFUNCTION("""COMPUTED_VALUE"""),0.5625)</f>
        <v>0.5625</v>
      </c>
      <c r="E195" s="82">
        <f>IFERROR(__xludf.DUMMYFUNCTION("""COMPUTED_VALUE"""),0.07291666666424135)</f>
        <v>0.07291666666</v>
      </c>
      <c r="F195" s="137">
        <f>IFERROR(__xludf.DUMMYFUNCTION("""COMPUTED_VALUE"""),0.6354166666642413)</f>
        <v>0.6354166667</v>
      </c>
      <c r="G195" s="82">
        <f>IFERROR(__xludf.DUMMYFUNCTION("""COMPUTED_VALUE"""),0.07291666666424135)</f>
        <v>0.07291666666</v>
      </c>
      <c r="H195" s="115">
        <f>IFERROR(__xludf.DUMMYFUNCTION("""COMPUTED_VALUE"""),69.0)</f>
        <v>69</v>
      </c>
      <c r="I195" s="112">
        <f>IFERROR(__xludf.DUMMYFUNCTION("""COMPUTED_VALUE"""),39.42857142988288)</f>
        <v>39.42857143</v>
      </c>
      <c r="J195" s="74" t="str">
        <f>IFERROR(__xludf.DUMMYFUNCTION("""COMPUTED_VALUE"""),"Lunch")</f>
        <v>Lunch</v>
      </c>
      <c r="K195" s="113">
        <f>IFERROR(__xludf.DUMMYFUNCTION("""COMPUTED_VALUE"""),45960.0)</f>
        <v>45960</v>
      </c>
      <c r="L195" s="74" t="str">
        <f>IFERROR(__xludf.DUMMYFUNCTION("""COMPUTED_VALUE"""),"Thursday")</f>
        <v>Thursday</v>
      </c>
      <c r="M195" s="74" t="str">
        <f>IFERROR(__xludf.DUMMYFUNCTION("""COMPUTED_VALUE"""),"MF")</f>
        <v>MF</v>
      </c>
      <c r="N195" s="114">
        <f>IFERROR(__xludf.DUMMYFUNCTION("""COMPUTED_VALUE"""),0.8199109617304974)</f>
        <v>0.8199109617</v>
      </c>
      <c r="O195" s="74" t="str">
        <f>IFERROR(__xludf.DUMMYFUNCTION("""COMPUTED_VALUE"""),"")</f>
        <v/>
      </c>
      <c r="P195" s="74" t="str">
        <f>IFERROR(__xludf.DUMMYFUNCTION("""COMPUTED_VALUE"""),"")</f>
        <v/>
      </c>
      <c r="Q195" s="82" t="str">
        <f>IFERROR(__xludf.DUMMYFUNCTION("""COMPUTED_VALUE"""),"")</f>
        <v/>
      </c>
      <c r="R195" s="82" t="str">
        <f>IFERROR(__xludf.DUMMYFUNCTION("""COMPUTED_VALUE"""),"")</f>
        <v/>
      </c>
      <c r="S195" s="63" t="str">
        <f>IFERROR(__xludf.DUMMYFUNCTION("""COMPUTED_VALUE"""),"")</f>
        <v/>
      </c>
      <c r="T195" s="63" t="str">
        <f>IFERROR(__xludf.DUMMYFUNCTION("""COMPUTED_VALUE"""),"")</f>
        <v/>
      </c>
      <c r="U195" s="138" t="str">
        <f>IFERROR(__xludf.DUMMYFUNCTION("""COMPUTED_VALUE"""),"")</f>
        <v/>
      </c>
      <c r="V195" s="82" t="str">
        <f>IFERROR(__xludf.DUMMYFUNCTION("""COMPUTED_VALUE"""),"")</f>
        <v/>
      </c>
      <c r="W195" s="64" t="str">
        <f>IFERROR(__xludf.DUMMYFUNCTION("""COMPUTED_VALUE"""),"")</f>
        <v/>
      </c>
      <c r="X195" s="64" t="str">
        <f>IFERROR(__xludf.DUMMYFUNCTION("""COMPUTED_VALUE"""),"")</f>
        <v/>
      </c>
      <c r="Y195" s="114" t="str">
        <f>IFERROR(__xludf.DUMMYFUNCTION("""COMPUTED_VALUE"""),"")</f>
        <v/>
      </c>
      <c r="Z195" s="118" t="str">
        <f>IFERROR(__xludf.DUMMYFUNCTION("""COMPUTED_VALUE"""),"")</f>
        <v/>
      </c>
      <c r="AA195" s="118" t="str">
        <f>IFERROR(__xludf.DUMMYFUNCTION("""COMPUTED_VALUE"""),"")</f>
        <v/>
      </c>
      <c r="AB195" s="74" t="str">
        <f>IFERROR(__xludf.DUMMYFUNCTION("""COMPUTED_VALUE"""),"")</f>
        <v/>
      </c>
    </row>
    <row r="196">
      <c r="A196" s="109">
        <f>IFERROR(__xludf.DUMMYFUNCTION("""COMPUTED_VALUE"""),45960.65502207176)</f>
        <v>45960.65502</v>
      </c>
      <c r="B196" s="81" t="str">
        <f>IFERROR(__xludf.DUMMYFUNCTION("""COMPUTED_VALUE"""),"Emmett Khan")</f>
        <v>Emmett Khan</v>
      </c>
      <c r="C196" s="74" t="b">
        <f>IFERROR(__xludf.DUMMYFUNCTION("""COMPUTED_VALUE"""),FALSE)</f>
        <v>0</v>
      </c>
      <c r="D196" s="137">
        <f>IFERROR(__xludf.DUMMYFUNCTION("""COMPUTED_VALUE"""),0.5833333333357587)</f>
        <v>0.5833333333</v>
      </c>
      <c r="E196" s="82">
        <f>IFERROR(__xludf.DUMMYFUNCTION("""COMPUTED_VALUE"""),0.07291666666424135)</f>
        <v>0.07291666666</v>
      </c>
      <c r="F196" s="137">
        <f>IFERROR(__xludf.DUMMYFUNCTION("""COMPUTED_VALUE"""),0.65625)</f>
        <v>0.65625</v>
      </c>
      <c r="G196" s="82">
        <f>IFERROR(__xludf.DUMMYFUNCTION("""COMPUTED_VALUE"""),0.15625)</f>
        <v>0.15625</v>
      </c>
      <c r="H196" s="115">
        <f>IFERROR(__xludf.DUMMYFUNCTION("""COMPUTED_VALUE"""),73.0)</f>
        <v>73</v>
      </c>
      <c r="I196" s="112">
        <f>IFERROR(__xludf.DUMMYFUNCTION("""COMPUTED_VALUE"""),19.466666666666665)</f>
        <v>19.46666667</v>
      </c>
      <c r="J196" s="74" t="str">
        <f>IFERROR(__xludf.DUMMYFUNCTION("""COMPUTED_VALUE"""),"Lunch")</f>
        <v>Lunch</v>
      </c>
      <c r="K196" s="113">
        <f>IFERROR(__xludf.DUMMYFUNCTION("""COMPUTED_VALUE"""),45960.0)</f>
        <v>45960</v>
      </c>
      <c r="L196" s="74" t="str">
        <f>IFERROR(__xludf.DUMMYFUNCTION("""COMPUTED_VALUE"""),"Thursday")</f>
        <v>Thursday</v>
      </c>
      <c r="M196" s="74" t="str">
        <f>IFERROR(__xludf.DUMMYFUNCTION("""COMPUTED_VALUE"""),"BF")</f>
        <v>BF</v>
      </c>
      <c r="N196" s="114">
        <f>IFERROR(__xludf.DUMMYFUNCTION("""COMPUTED_VALUE"""),0.5013211288851132)</f>
        <v>0.5013211289</v>
      </c>
      <c r="O196" s="74" t="str">
        <f>IFERROR(__xludf.DUMMYFUNCTION("""COMPUTED_VALUE"""),"")</f>
        <v/>
      </c>
      <c r="P196" s="74" t="str">
        <f>IFERROR(__xludf.DUMMYFUNCTION("""COMPUTED_VALUE"""),"")</f>
        <v/>
      </c>
      <c r="Q196" s="82" t="str">
        <f>IFERROR(__xludf.DUMMYFUNCTION("""COMPUTED_VALUE"""),"")</f>
        <v/>
      </c>
      <c r="R196" s="82" t="str">
        <f>IFERROR(__xludf.DUMMYFUNCTION("""COMPUTED_VALUE"""),"")</f>
        <v/>
      </c>
      <c r="S196" s="63" t="str">
        <f>IFERROR(__xludf.DUMMYFUNCTION("""COMPUTED_VALUE"""),"")</f>
        <v/>
      </c>
      <c r="T196" s="63" t="str">
        <f>IFERROR(__xludf.DUMMYFUNCTION("""COMPUTED_VALUE"""),"")</f>
        <v/>
      </c>
      <c r="U196" s="138" t="str">
        <f>IFERROR(__xludf.DUMMYFUNCTION("""COMPUTED_VALUE"""),"")</f>
        <v/>
      </c>
      <c r="V196" s="82" t="str">
        <f>IFERROR(__xludf.DUMMYFUNCTION("""COMPUTED_VALUE"""),"")</f>
        <v/>
      </c>
      <c r="W196" s="64" t="str">
        <f>IFERROR(__xludf.DUMMYFUNCTION("""COMPUTED_VALUE"""),"")</f>
        <v/>
      </c>
      <c r="X196" s="64" t="str">
        <f>IFERROR(__xludf.DUMMYFUNCTION("""COMPUTED_VALUE"""),"")</f>
        <v/>
      </c>
      <c r="Y196" s="114" t="str">
        <f>IFERROR(__xludf.DUMMYFUNCTION("""COMPUTED_VALUE"""),"")</f>
        <v/>
      </c>
      <c r="Z196" s="118" t="str">
        <f>IFERROR(__xludf.DUMMYFUNCTION("""COMPUTED_VALUE"""),"")</f>
        <v/>
      </c>
      <c r="AA196" s="118" t="str">
        <f>IFERROR(__xludf.DUMMYFUNCTION("""COMPUTED_VALUE"""),"")</f>
        <v/>
      </c>
      <c r="AB196" s="74" t="str">
        <f>IFERROR(__xludf.DUMMYFUNCTION("""COMPUTED_VALUE"""),"")</f>
        <v/>
      </c>
    </row>
    <row r="197">
      <c r="A197" s="109">
        <f>IFERROR(__xludf.DUMMYFUNCTION("""COMPUTED_VALUE"""),45960.76858311343)</f>
        <v>45960.76858</v>
      </c>
      <c r="B197" s="81" t="str">
        <f>IFERROR(__xludf.DUMMYFUNCTION("""COMPUTED_VALUE"""),"Emmett Khan")</f>
        <v>Emmett Khan</v>
      </c>
      <c r="C197" s="74" t="b">
        <f>IFERROR(__xludf.DUMMYFUNCTION("""COMPUTED_VALUE"""),TRUE)</f>
        <v>1</v>
      </c>
      <c r="D197" s="137">
        <f>IFERROR(__xludf.DUMMYFUNCTION("""COMPUTED_VALUE"""),0.6875)</f>
        <v>0.6875</v>
      </c>
      <c r="E197" s="82">
        <f>IFERROR(__xludf.DUMMYFUNCTION("""COMPUTED_VALUE"""),0.08333333333575865)</f>
        <v>0.08333333334</v>
      </c>
      <c r="F197" s="137">
        <f>IFERROR(__xludf.DUMMYFUNCTION("""COMPUTED_VALUE"""),0.7708333333357587)</f>
        <v>0.7708333333</v>
      </c>
      <c r="G197" s="82" t="str">
        <f>IFERROR(__xludf.DUMMYFUNCTION("""COMPUTED_VALUE"""),"")</f>
        <v/>
      </c>
      <c r="H197" s="115">
        <f>IFERROR(__xludf.DUMMYFUNCTION("""COMPUTED_VALUE"""),99.0)</f>
        <v>99</v>
      </c>
      <c r="I197" s="112" t="str">
        <f>IFERROR(__xludf.DUMMYFUNCTION("""COMPUTED_VALUE"""),"")</f>
        <v/>
      </c>
      <c r="J197" s="74" t="str">
        <f>IFERROR(__xludf.DUMMYFUNCTION("""COMPUTED_VALUE"""),"Dinner")</f>
        <v>Dinner</v>
      </c>
      <c r="K197" s="113">
        <f>IFERROR(__xludf.DUMMYFUNCTION("""COMPUTED_VALUE"""),45960.0)</f>
        <v>45960</v>
      </c>
      <c r="L197" s="74" t="str">
        <f>IFERROR(__xludf.DUMMYFUNCTION("""COMPUTED_VALUE"""),"Thursday")</f>
        <v>Thursday</v>
      </c>
      <c r="M197" s="74" t="str">
        <f>IFERROR(__xludf.DUMMYFUNCTION("""COMPUTED_VALUE"""),"BF")</f>
        <v>BF</v>
      </c>
      <c r="N197" s="114" t="str">
        <f>IFERROR(__xludf.DUMMYFUNCTION("""COMPUTED_VALUE"""),"")</f>
        <v/>
      </c>
      <c r="O197" s="74">
        <f>IFERROR(__xludf.DUMMYFUNCTION("""COMPUTED_VALUE"""),131.0)</f>
        <v>131</v>
      </c>
      <c r="P197" s="74">
        <f>IFERROR(__xludf.DUMMYFUNCTION("""COMPUTED_VALUE"""),335.0)</f>
        <v>335</v>
      </c>
      <c r="Q197" s="82">
        <f>IFERROR(__xludf.DUMMYFUNCTION("""COMPUTED_VALUE"""),0.15625)</f>
        <v>0.15625</v>
      </c>
      <c r="R197" s="82">
        <f>IFERROR(__xludf.DUMMYFUNCTION("""COMPUTED_VALUE"""),0.34375)</f>
        <v>0.34375</v>
      </c>
      <c r="S197" s="63">
        <f>IFERROR(__xludf.DUMMYFUNCTION("""COMPUTED_VALUE"""),35.21428571449033)</f>
        <v>35.21428571</v>
      </c>
      <c r="T197" s="63">
        <f>IFERROR(__xludf.DUMMYFUNCTION("""COMPUTED_VALUE"""),35.417460317995946)</f>
        <v>35.41746032</v>
      </c>
      <c r="U197" s="138">
        <f>IFERROR(__xludf.DUMMYFUNCTION("""COMPUTED_VALUE"""),466.0)</f>
        <v>466</v>
      </c>
      <c r="V197" s="82">
        <f>IFERROR(__xludf.DUMMYFUNCTION("""COMPUTED_VALUE"""),0.5)</f>
        <v>0.5</v>
      </c>
      <c r="W197" s="64">
        <f>IFERROR(__xludf.DUMMYFUNCTION("""COMPUTED_VALUE"""),38.833333333333336)</f>
        <v>38.83333333</v>
      </c>
      <c r="X197" s="64">
        <f>IFERROR(__xludf.DUMMYFUNCTION("""COMPUTED_VALUE"""),35.3361904765937)</f>
        <v>35.33619048</v>
      </c>
      <c r="Y197" s="114">
        <f>IFERROR(__xludf.DUMMYFUNCTION("""COMPUTED_VALUE"""),0.7573946886879224)</f>
        <v>0.7573946887</v>
      </c>
      <c r="Z197" s="118">
        <f>IFERROR(__xludf.DUMMYFUNCTION("""COMPUTED_VALUE"""),3229.0)</f>
        <v>3229</v>
      </c>
      <c r="AA197" s="118">
        <f>IFERROR(__xludf.DUMMYFUNCTION("""COMPUTED_VALUE"""),3334.0)</f>
        <v>3334</v>
      </c>
      <c r="AB197" s="118">
        <f>IFERROR(__xludf.DUMMYFUNCTION("""COMPUTED_VALUE"""),6563.0)</f>
        <v>6563</v>
      </c>
    </row>
    <row r="198">
      <c r="A198" s="109">
        <f>IFERROR(__xludf.DUMMYFUNCTION("""COMPUTED_VALUE"""),45961.555963506944)</f>
        <v>45961.55596</v>
      </c>
      <c r="B198" s="81" t="str">
        <f>IFERROR(__xludf.DUMMYFUNCTION("""COMPUTED_VALUE"""),"Orpheus Wilson")</f>
        <v>Orpheus Wilson</v>
      </c>
      <c r="C198" s="74" t="b">
        <f>IFERROR(__xludf.DUMMYFUNCTION("""COMPUTED_VALUE"""),FALSE)</f>
        <v>0</v>
      </c>
      <c r="D198" s="137">
        <f>IFERROR(__xludf.DUMMYFUNCTION("""COMPUTED_VALUE"""),0.48402777777664596)</f>
        <v>0.4840277778</v>
      </c>
      <c r="E198" s="82">
        <f>IFERROR(__xludf.DUMMYFUNCTION("""COMPUTED_VALUE"""),0.06597222222626442)</f>
        <v>0.06597222223</v>
      </c>
      <c r="F198" s="137">
        <f>IFERROR(__xludf.DUMMYFUNCTION("""COMPUTED_VALUE"""),0.5500000000029104)</f>
        <v>0.55</v>
      </c>
      <c r="G198" s="82">
        <f>IFERROR(__xludf.DUMMYFUNCTION("""COMPUTED_VALUE"""),0.06597222222626442)</f>
        <v>0.06597222223</v>
      </c>
      <c r="H198" s="115">
        <f>IFERROR(__xludf.DUMMYFUNCTION("""COMPUTED_VALUE"""),142.0)</f>
        <v>142</v>
      </c>
      <c r="I198" s="112">
        <f>IFERROR(__xludf.DUMMYFUNCTION("""COMPUTED_VALUE"""),89.68421052082073)</f>
        <v>89.68421052</v>
      </c>
      <c r="J198" s="74" t="str">
        <f>IFERROR(__xludf.DUMMYFUNCTION("""COMPUTED_VALUE"""),"Lunch")</f>
        <v>Lunch</v>
      </c>
      <c r="K198" s="113">
        <f>IFERROR(__xludf.DUMMYFUNCTION("""COMPUTED_VALUE"""),45961.0)</f>
        <v>45961</v>
      </c>
      <c r="L198" s="74" t="str">
        <f>IFERROR(__xludf.DUMMYFUNCTION("""COMPUTED_VALUE"""),"Friday")</f>
        <v>Friday</v>
      </c>
      <c r="M198" s="74" t="str">
        <f>IFERROR(__xludf.DUMMYFUNCTION("""COMPUTED_VALUE"""),"MF")</f>
        <v>MF</v>
      </c>
      <c r="N198" s="114">
        <f>IFERROR(__xludf.DUMMYFUNCTION("""COMPUTED_VALUE"""),1.8649690981305973)</f>
        <v>1.864969098</v>
      </c>
      <c r="O198" s="74" t="str">
        <f>IFERROR(__xludf.DUMMYFUNCTION("""COMPUTED_VALUE"""),"")</f>
        <v/>
      </c>
      <c r="P198" s="74" t="str">
        <f>IFERROR(__xludf.DUMMYFUNCTION("""COMPUTED_VALUE"""),"")</f>
        <v/>
      </c>
      <c r="Q198" s="82" t="str">
        <f>IFERROR(__xludf.DUMMYFUNCTION("""COMPUTED_VALUE"""),"")</f>
        <v/>
      </c>
      <c r="R198" s="82" t="str">
        <f>IFERROR(__xludf.DUMMYFUNCTION("""COMPUTED_VALUE"""),"")</f>
        <v/>
      </c>
      <c r="S198" s="63" t="str">
        <f>IFERROR(__xludf.DUMMYFUNCTION("""COMPUTED_VALUE"""),"")</f>
        <v/>
      </c>
      <c r="T198" s="63" t="str">
        <f>IFERROR(__xludf.DUMMYFUNCTION("""COMPUTED_VALUE"""),"")</f>
        <v/>
      </c>
      <c r="U198" s="138" t="str">
        <f>IFERROR(__xludf.DUMMYFUNCTION("""COMPUTED_VALUE"""),"")</f>
        <v/>
      </c>
      <c r="V198" s="82" t="str">
        <f>IFERROR(__xludf.DUMMYFUNCTION("""COMPUTED_VALUE"""),"")</f>
        <v/>
      </c>
      <c r="W198" s="64" t="str">
        <f>IFERROR(__xludf.DUMMYFUNCTION("""COMPUTED_VALUE"""),"")</f>
        <v/>
      </c>
      <c r="X198" s="64" t="str">
        <f>IFERROR(__xludf.DUMMYFUNCTION("""COMPUTED_VALUE"""),"")</f>
        <v/>
      </c>
      <c r="Y198" s="114" t="str">
        <f>IFERROR(__xludf.DUMMYFUNCTION("""COMPUTED_VALUE"""),"")</f>
        <v/>
      </c>
      <c r="Z198" s="118" t="str">
        <f>IFERROR(__xludf.DUMMYFUNCTION("""COMPUTED_VALUE"""),"")</f>
        <v/>
      </c>
      <c r="AA198" s="118" t="str">
        <f>IFERROR(__xludf.DUMMYFUNCTION("""COMPUTED_VALUE"""),"")</f>
        <v/>
      </c>
      <c r="AB198" s="74" t="str">
        <f>IFERROR(__xludf.DUMMYFUNCTION("""COMPUTED_VALUE"""),"")</f>
        <v/>
      </c>
    </row>
    <row r="199">
      <c r="A199" s="109">
        <f>IFERROR(__xludf.DUMMYFUNCTION("""COMPUTED_VALUE"""),45961.59144520834)</f>
        <v>45961.59145</v>
      </c>
      <c r="B199" s="81" t="str">
        <f>IFERROR(__xludf.DUMMYFUNCTION("""COMPUTED_VALUE"""),"Greta Traynor")</f>
        <v>Greta Traynor</v>
      </c>
      <c r="C199" s="74" t="b">
        <f>IFERROR(__xludf.DUMMYFUNCTION("""COMPUTED_VALUE"""),FALSE)</f>
        <v>0</v>
      </c>
      <c r="D199" s="137">
        <f>IFERROR(__xludf.DUMMYFUNCTION("""COMPUTED_VALUE"""),0.5437499999970896)</f>
        <v>0.54375</v>
      </c>
      <c r="E199" s="82">
        <f>IFERROR(__xludf.DUMMYFUNCTION("""COMPUTED_VALUE"""),0.04722222222335404)</f>
        <v>0.04722222222</v>
      </c>
      <c r="F199" s="137">
        <f>IFERROR(__xludf.DUMMYFUNCTION("""COMPUTED_VALUE"""),0.5909722222204437)</f>
        <v>0.5909722222</v>
      </c>
      <c r="G199" s="82">
        <f>IFERROR(__xludf.DUMMYFUNCTION("""COMPUTED_VALUE"""),0.04722222222335404)</f>
        <v>0.04722222222</v>
      </c>
      <c r="H199" s="115">
        <f>IFERROR(__xludf.DUMMYFUNCTION("""COMPUTED_VALUE"""),45.0)</f>
        <v>45</v>
      </c>
      <c r="I199" s="112">
        <f>IFERROR(__xludf.DUMMYFUNCTION("""COMPUTED_VALUE"""),39.70588235198951)</f>
        <v>39.70588235</v>
      </c>
      <c r="J199" s="74" t="str">
        <f>IFERROR(__xludf.DUMMYFUNCTION("""COMPUTED_VALUE"""),"Lunch")</f>
        <v>Lunch</v>
      </c>
      <c r="K199" s="113">
        <f>IFERROR(__xludf.DUMMYFUNCTION("""COMPUTED_VALUE"""),45961.0)</f>
        <v>45961</v>
      </c>
      <c r="L199" s="74" t="str">
        <f>IFERROR(__xludf.DUMMYFUNCTION("""COMPUTED_VALUE"""),"Friday")</f>
        <v>Friday</v>
      </c>
      <c r="M199" s="74" t="str">
        <f>IFERROR(__xludf.DUMMYFUNCTION("""COMPUTED_VALUE"""),"BF")</f>
        <v>BF</v>
      </c>
      <c r="N199" s="114">
        <f>IFERROR(__xludf.DUMMYFUNCTION("""COMPUTED_VALUE"""),1.022537556373915)</f>
        <v>1.022537556</v>
      </c>
      <c r="O199" s="74" t="str">
        <f>IFERROR(__xludf.DUMMYFUNCTION("""COMPUTED_VALUE"""),"")</f>
        <v/>
      </c>
      <c r="P199" s="74" t="str">
        <f>IFERROR(__xludf.DUMMYFUNCTION("""COMPUTED_VALUE"""),"")</f>
        <v/>
      </c>
      <c r="Q199" s="82" t="str">
        <f>IFERROR(__xludf.DUMMYFUNCTION("""COMPUTED_VALUE"""),"")</f>
        <v/>
      </c>
      <c r="R199" s="82" t="str">
        <f>IFERROR(__xludf.DUMMYFUNCTION("""COMPUTED_VALUE"""),"")</f>
        <v/>
      </c>
      <c r="S199" s="63" t="str">
        <f>IFERROR(__xludf.DUMMYFUNCTION("""COMPUTED_VALUE"""),"")</f>
        <v/>
      </c>
      <c r="T199" s="63" t="str">
        <f>IFERROR(__xludf.DUMMYFUNCTION("""COMPUTED_VALUE"""),"")</f>
        <v/>
      </c>
      <c r="U199" s="138" t="str">
        <f>IFERROR(__xludf.DUMMYFUNCTION("""COMPUTED_VALUE"""),"")</f>
        <v/>
      </c>
      <c r="V199" s="82" t="str">
        <f>IFERROR(__xludf.DUMMYFUNCTION("""COMPUTED_VALUE"""),"")</f>
        <v/>
      </c>
      <c r="W199" s="64" t="str">
        <f>IFERROR(__xludf.DUMMYFUNCTION("""COMPUTED_VALUE"""),"")</f>
        <v/>
      </c>
      <c r="X199" s="64" t="str">
        <f>IFERROR(__xludf.DUMMYFUNCTION("""COMPUTED_VALUE"""),"")</f>
        <v/>
      </c>
      <c r="Y199" s="114" t="str">
        <f>IFERROR(__xludf.DUMMYFUNCTION("""COMPUTED_VALUE"""),"")</f>
        <v/>
      </c>
      <c r="Z199" s="118" t="str">
        <f>IFERROR(__xludf.DUMMYFUNCTION("""COMPUTED_VALUE"""),"")</f>
        <v/>
      </c>
      <c r="AA199" s="118" t="str">
        <f>IFERROR(__xludf.DUMMYFUNCTION("""COMPUTED_VALUE"""),"")</f>
        <v/>
      </c>
      <c r="AB199" s="74" t="str">
        <f>IFERROR(__xludf.DUMMYFUNCTION("""COMPUTED_VALUE"""),"")</f>
        <v/>
      </c>
    </row>
    <row r="200">
      <c r="A200" s="109">
        <f>IFERROR(__xludf.DUMMYFUNCTION("""COMPUTED_VALUE"""),45961.63295871528)</f>
        <v>45961.63296</v>
      </c>
      <c r="B200" s="81" t="str">
        <f>IFERROR(__xludf.DUMMYFUNCTION("""COMPUTED_VALUE"""),"Brynn Hornig")</f>
        <v>Brynn Hornig</v>
      </c>
      <c r="C200" s="74" t="b">
        <f>IFERROR(__xludf.DUMMYFUNCTION("""COMPUTED_VALUE"""),FALSE)</f>
        <v>0</v>
      </c>
      <c r="D200" s="137">
        <f>IFERROR(__xludf.DUMMYFUNCTION("""COMPUTED_VALUE"""),0.5520833333357587)</f>
        <v>0.5520833333</v>
      </c>
      <c r="E200" s="82">
        <f>IFERROR(__xludf.DUMMYFUNCTION("""COMPUTED_VALUE"""),0.0833333333284827)</f>
        <v>0.08333333333</v>
      </c>
      <c r="F200" s="137">
        <f>IFERROR(__xludf.DUMMYFUNCTION("""COMPUTED_VALUE"""),0.6354166666642413)</f>
        <v>0.6354166667</v>
      </c>
      <c r="G200" s="82">
        <f>IFERROR(__xludf.DUMMYFUNCTION("""COMPUTED_VALUE"""),0.0833333333284827)</f>
        <v>0.08333333333</v>
      </c>
      <c r="H200" s="115">
        <f>IFERROR(__xludf.DUMMYFUNCTION("""COMPUTED_VALUE"""),116.0)</f>
        <v>116</v>
      </c>
      <c r="I200" s="112">
        <f>IFERROR(__xludf.DUMMYFUNCTION("""COMPUTED_VALUE"""),58.000000003376044)</f>
        <v>58</v>
      </c>
      <c r="J200" s="74" t="str">
        <f>IFERROR(__xludf.DUMMYFUNCTION("""COMPUTED_VALUE"""),"Lunch")</f>
        <v>Lunch</v>
      </c>
      <c r="K200" s="113">
        <f>IFERROR(__xludf.DUMMYFUNCTION("""COMPUTED_VALUE"""),45961.0)</f>
        <v>45961</v>
      </c>
      <c r="L200" s="74" t="str">
        <f>IFERROR(__xludf.DUMMYFUNCTION("""COMPUTED_VALUE"""),"Friday")</f>
        <v>Friday</v>
      </c>
      <c r="M200" s="74" t="str">
        <f>IFERROR(__xludf.DUMMYFUNCTION("""COMPUTED_VALUE"""),"MF")</f>
        <v>MF</v>
      </c>
      <c r="N200" s="114">
        <f>IFERROR(__xludf.DUMMYFUNCTION("""COMPUTED_VALUE"""),1.2061009075032105)</f>
        <v>1.206100908</v>
      </c>
      <c r="O200" s="74" t="str">
        <f>IFERROR(__xludf.DUMMYFUNCTION("""COMPUTED_VALUE"""),"")</f>
        <v/>
      </c>
      <c r="P200" s="74" t="str">
        <f>IFERROR(__xludf.DUMMYFUNCTION("""COMPUTED_VALUE"""),"")</f>
        <v/>
      </c>
      <c r="Q200" s="82" t="str">
        <f>IFERROR(__xludf.DUMMYFUNCTION("""COMPUTED_VALUE"""),"")</f>
        <v/>
      </c>
      <c r="R200" s="82" t="str">
        <f>IFERROR(__xludf.DUMMYFUNCTION("""COMPUTED_VALUE"""),"")</f>
        <v/>
      </c>
      <c r="S200" s="63" t="str">
        <f>IFERROR(__xludf.DUMMYFUNCTION("""COMPUTED_VALUE"""),"")</f>
        <v/>
      </c>
      <c r="T200" s="63" t="str">
        <f>IFERROR(__xludf.DUMMYFUNCTION("""COMPUTED_VALUE"""),"")</f>
        <v/>
      </c>
      <c r="U200" s="138" t="str">
        <f>IFERROR(__xludf.DUMMYFUNCTION("""COMPUTED_VALUE"""),"")</f>
        <v/>
      </c>
      <c r="V200" s="82" t="str">
        <f>IFERROR(__xludf.DUMMYFUNCTION("""COMPUTED_VALUE"""),"")</f>
        <v/>
      </c>
      <c r="W200" s="64" t="str">
        <f>IFERROR(__xludf.DUMMYFUNCTION("""COMPUTED_VALUE"""),"")</f>
        <v/>
      </c>
      <c r="X200" s="64" t="str">
        <f>IFERROR(__xludf.DUMMYFUNCTION("""COMPUTED_VALUE"""),"")</f>
        <v/>
      </c>
      <c r="Y200" s="114" t="str">
        <f>IFERROR(__xludf.DUMMYFUNCTION("""COMPUTED_VALUE"""),"")</f>
        <v/>
      </c>
      <c r="Z200" s="118" t="str">
        <f>IFERROR(__xludf.DUMMYFUNCTION("""COMPUTED_VALUE"""),"")</f>
        <v/>
      </c>
      <c r="AA200" s="118" t="str">
        <f>IFERROR(__xludf.DUMMYFUNCTION("""COMPUTED_VALUE"""),"")</f>
        <v/>
      </c>
      <c r="AB200" s="74" t="str">
        <f>IFERROR(__xludf.DUMMYFUNCTION("""COMPUTED_VALUE"""),"")</f>
        <v/>
      </c>
    </row>
    <row r="201">
      <c r="A201" s="109">
        <f>IFERROR(__xludf.DUMMYFUNCTION("""COMPUTED_VALUE"""),45961.72839416667)</f>
        <v>45961.72839</v>
      </c>
      <c r="B201" s="81" t="str">
        <f>IFERROR(__xludf.DUMMYFUNCTION("""COMPUTED_VALUE"""),"Emmett Khan")</f>
        <v>Emmett Khan</v>
      </c>
      <c r="C201" s="74" t="b">
        <f>IFERROR(__xludf.DUMMYFUNCTION("""COMPUTED_VALUE"""),FALSE)</f>
        <v>0</v>
      </c>
      <c r="D201" s="137">
        <f>IFERROR(__xludf.DUMMYFUNCTION("""COMPUTED_VALUE"""),0.6666666666642413)</f>
        <v>0.6666666667</v>
      </c>
      <c r="E201" s="82">
        <f>IFERROR(__xludf.DUMMYFUNCTION("""COMPUTED_VALUE"""),0.0625)</f>
        <v>0.0625</v>
      </c>
      <c r="F201" s="137">
        <f>IFERROR(__xludf.DUMMYFUNCTION("""COMPUTED_VALUE"""),0.7291666666642413)</f>
        <v>0.7291666667</v>
      </c>
      <c r="G201" s="82">
        <f>IFERROR(__xludf.DUMMYFUNCTION("""COMPUTED_VALUE"""),0.0625)</f>
        <v>0.0625</v>
      </c>
      <c r="H201" s="115">
        <f>IFERROR(__xludf.DUMMYFUNCTION("""COMPUTED_VALUE"""),118.0)</f>
        <v>118</v>
      </c>
      <c r="I201" s="112">
        <f>IFERROR(__xludf.DUMMYFUNCTION("""COMPUTED_VALUE"""),78.66666666666667)</f>
        <v>78.66666667</v>
      </c>
      <c r="J201" s="74" t="str">
        <f>IFERROR(__xludf.DUMMYFUNCTION("""COMPUTED_VALUE"""),"Dinner")</f>
        <v>Dinner</v>
      </c>
      <c r="K201" s="113">
        <f>IFERROR(__xludf.DUMMYFUNCTION("""COMPUTED_VALUE"""),45961.0)</f>
        <v>45961</v>
      </c>
      <c r="L201" s="74" t="str">
        <f>IFERROR(__xludf.DUMMYFUNCTION("""COMPUTED_VALUE"""),"Friday")</f>
        <v>Friday</v>
      </c>
      <c r="M201" s="74" t="str">
        <f>IFERROR(__xludf.DUMMYFUNCTION("""COMPUTED_VALUE"""),"MF")</f>
        <v>MF</v>
      </c>
      <c r="N201" s="114">
        <f>IFERROR(__xludf.DUMMYFUNCTION("""COMPUTED_VALUE"""),1.5501255775496428)</f>
        <v>1.550125578</v>
      </c>
      <c r="O201" s="74" t="str">
        <f>IFERROR(__xludf.DUMMYFUNCTION("""COMPUTED_VALUE"""),"")</f>
        <v/>
      </c>
      <c r="P201" s="74" t="str">
        <f>IFERROR(__xludf.DUMMYFUNCTION("""COMPUTED_VALUE"""),"")</f>
        <v/>
      </c>
      <c r="Q201" s="82" t="str">
        <f>IFERROR(__xludf.DUMMYFUNCTION("""COMPUTED_VALUE"""),"")</f>
        <v/>
      </c>
      <c r="R201" s="82" t="str">
        <f>IFERROR(__xludf.DUMMYFUNCTION("""COMPUTED_VALUE"""),"")</f>
        <v/>
      </c>
      <c r="S201" s="63" t="str">
        <f>IFERROR(__xludf.DUMMYFUNCTION("""COMPUTED_VALUE"""),"")</f>
        <v/>
      </c>
      <c r="T201" s="63" t="str">
        <f>IFERROR(__xludf.DUMMYFUNCTION("""COMPUTED_VALUE"""),"")</f>
        <v/>
      </c>
      <c r="U201" s="138" t="str">
        <f>IFERROR(__xludf.DUMMYFUNCTION("""COMPUTED_VALUE"""),"")</f>
        <v/>
      </c>
      <c r="V201" s="82" t="str">
        <f>IFERROR(__xludf.DUMMYFUNCTION("""COMPUTED_VALUE"""),"")</f>
        <v/>
      </c>
      <c r="W201" s="64" t="str">
        <f>IFERROR(__xludf.DUMMYFUNCTION("""COMPUTED_VALUE"""),"")</f>
        <v/>
      </c>
      <c r="X201" s="64" t="str">
        <f>IFERROR(__xludf.DUMMYFUNCTION("""COMPUTED_VALUE"""),"")</f>
        <v/>
      </c>
      <c r="Y201" s="114" t="str">
        <f>IFERROR(__xludf.DUMMYFUNCTION("""COMPUTED_VALUE"""),"")</f>
        <v/>
      </c>
      <c r="Z201" s="118" t="str">
        <f>IFERROR(__xludf.DUMMYFUNCTION("""COMPUTED_VALUE"""),"")</f>
        <v/>
      </c>
      <c r="AA201" s="118" t="str">
        <f>IFERROR(__xludf.DUMMYFUNCTION("""COMPUTED_VALUE"""),"")</f>
        <v/>
      </c>
      <c r="AB201" s="74" t="str">
        <f>IFERROR(__xludf.DUMMYFUNCTION("""COMPUTED_VALUE"""),"")</f>
        <v/>
      </c>
    </row>
    <row r="202">
      <c r="A202" s="109">
        <f>IFERROR(__xludf.DUMMYFUNCTION("""COMPUTED_VALUE"""),45961.85801412037)</f>
        <v>45961.85801</v>
      </c>
      <c r="B202" s="81" t="str">
        <f>IFERROR(__xludf.DUMMYFUNCTION("""COMPUTED_VALUE"""),"Elliott Haber")</f>
        <v>Elliott Haber</v>
      </c>
      <c r="C202" s="74" t="b">
        <f>IFERROR(__xludf.DUMMYFUNCTION("""COMPUTED_VALUE"""),FALSE)</f>
        <v>0</v>
      </c>
      <c r="D202" s="137">
        <f>IFERROR(__xludf.DUMMYFUNCTION("""COMPUTED_VALUE"""),0.7604166666642413)</f>
        <v>0.7604166667</v>
      </c>
      <c r="E202" s="82">
        <f>IFERROR(__xludf.DUMMYFUNCTION("""COMPUTED_VALUE"""),0.08680555555474712)</f>
        <v>0.08680555555</v>
      </c>
      <c r="F202" s="137">
        <f>IFERROR(__xludf.DUMMYFUNCTION("""COMPUTED_VALUE"""),0.8472222222189885)</f>
        <v>0.8472222222</v>
      </c>
      <c r="G202" s="82">
        <f>IFERROR(__xludf.DUMMYFUNCTION("""COMPUTED_VALUE"""),0.08680555555474712)</f>
        <v>0.08680555555</v>
      </c>
      <c r="H202" s="115">
        <f>IFERROR(__xludf.DUMMYFUNCTION("""COMPUTED_VALUE"""),85.0)</f>
        <v>85</v>
      </c>
      <c r="I202" s="112">
        <f>IFERROR(__xludf.DUMMYFUNCTION("""COMPUTED_VALUE"""),40.80000000037998)</f>
        <v>40.8</v>
      </c>
      <c r="J202" s="74" t="str">
        <f>IFERROR(__xludf.DUMMYFUNCTION("""COMPUTED_VALUE"""),"Dinner")</f>
        <v>Dinner</v>
      </c>
      <c r="K202" s="113">
        <f>IFERROR(__xludf.DUMMYFUNCTION("""COMPUTED_VALUE"""),45961.0)</f>
        <v>45961</v>
      </c>
      <c r="L202" s="74" t="str">
        <f>IFERROR(__xludf.DUMMYFUNCTION("""COMPUTED_VALUE"""),"Friday")</f>
        <v>Friday</v>
      </c>
      <c r="M202" s="74" t="str">
        <f>IFERROR(__xludf.DUMMYFUNCTION("""COMPUTED_VALUE"""),"MF")</f>
        <v>MF</v>
      </c>
      <c r="N202" s="114">
        <f>IFERROR(__xludf.DUMMYFUNCTION("""COMPUTED_VALUE"""),0.8039634351434038)</f>
        <v>0.8039634351</v>
      </c>
      <c r="O202" s="74">
        <f>IFERROR(__xludf.DUMMYFUNCTION("""COMPUTED_VALUE"""),461.0)</f>
        <v>461</v>
      </c>
      <c r="P202" s="74">
        <f>IFERROR(__xludf.DUMMYFUNCTION("""COMPUTED_VALUE"""),45.0)</f>
        <v>45</v>
      </c>
      <c r="Q202" s="82">
        <f>IFERROR(__xludf.DUMMYFUNCTION("""COMPUTED_VALUE"""),0.29861111110949423)</f>
        <v>0.2986111111</v>
      </c>
      <c r="R202" s="82">
        <f>IFERROR(__xludf.DUMMYFUNCTION("""COMPUTED_VALUE"""),0.04722222222335404)</f>
        <v>0.04722222222</v>
      </c>
      <c r="S202" s="63">
        <f>IFERROR(__xludf.DUMMYFUNCTION("""COMPUTED_VALUE"""),66.78771929781087)</f>
        <v>66.7877193</v>
      </c>
      <c r="T202" s="63">
        <f>IFERROR(__xludf.DUMMYFUNCTION("""COMPUTED_VALUE"""),39.70588235198951)</f>
        <v>39.70588235</v>
      </c>
      <c r="U202" s="138">
        <f>IFERROR(__xludf.DUMMYFUNCTION("""COMPUTED_VALUE"""),506.0)</f>
        <v>506</v>
      </c>
      <c r="V202" s="82">
        <f>IFERROR(__xludf.DUMMYFUNCTION("""COMPUTED_VALUE"""),0.34583333333284827)</f>
        <v>0.3458333333</v>
      </c>
      <c r="W202" s="64">
        <f>IFERROR(__xludf.DUMMYFUNCTION("""COMPUTED_VALUE"""),60.96385542177225)</f>
        <v>60.96385542</v>
      </c>
      <c r="X202" s="64">
        <f>IFERROR(__xludf.DUMMYFUNCTION("""COMPUTED_VALUE"""),61.37135190864658)</f>
        <v>61.37135191</v>
      </c>
      <c r="Y202" s="114">
        <f>IFERROR(__xludf.DUMMYFUNCTION("""COMPUTED_VALUE"""),1.348386225322812)</f>
        <v>1.348386225</v>
      </c>
      <c r="Z202" s="118">
        <f>IFERROR(__xludf.DUMMYFUNCTION("""COMPUTED_VALUE"""),3473.0)</f>
        <v>3473</v>
      </c>
      <c r="AA202" s="118">
        <f>IFERROR(__xludf.DUMMYFUNCTION("""COMPUTED_VALUE"""),1721.0)</f>
        <v>1721</v>
      </c>
      <c r="AB202" s="118">
        <f>IFERROR(__xludf.DUMMYFUNCTION("""COMPUTED_VALUE"""),5194.0)</f>
        <v>5194</v>
      </c>
    </row>
    <row r="203">
      <c r="A203" s="109">
        <f>IFERROR(__xludf.DUMMYFUNCTION("""COMPUTED_VALUE"""),45964.42084212963)</f>
        <v>45964.42084</v>
      </c>
      <c r="B203" s="81" t="str">
        <f>IFERROR(__xludf.DUMMYFUNCTION("""COMPUTED_VALUE"""),"Sarah Wilme")</f>
        <v>Sarah Wilme</v>
      </c>
      <c r="C203" s="74" t="b">
        <f>IFERROR(__xludf.DUMMYFUNCTION("""COMPUTED_VALUE"""),FALSE)</f>
        <v>0</v>
      </c>
      <c r="D203" s="137">
        <f>IFERROR(__xludf.DUMMYFUNCTION("""COMPUTED_VALUE"""),0.2923611111109494)</f>
        <v>0.2923611111</v>
      </c>
      <c r="E203" s="82">
        <f>IFERROR(__xludf.DUMMYFUNCTION("""COMPUTED_VALUE"""),0.12777777777955635)</f>
        <v>0.1277777778</v>
      </c>
      <c r="F203" s="137">
        <f>IFERROR(__xludf.DUMMYFUNCTION("""COMPUTED_VALUE"""),0.42013888889050577)</f>
        <v>0.4201388889</v>
      </c>
      <c r="G203" s="82">
        <f>IFERROR(__xludf.DUMMYFUNCTION("""COMPUTED_VALUE"""),0.12777777777955635)</f>
        <v>0.1277777778</v>
      </c>
      <c r="H203" s="115">
        <f>IFERROR(__xludf.DUMMYFUNCTION("""COMPUTED_VALUE"""),85.0)</f>
        <v>85</v>
      </c>
      <c r="I203" s="112">
        <f>IFERROR(__xludf.DUMMYFUNCTION("""COMPUTED_VALUE"""),27.71739130396202)</f>
        <v>27.7173913</v>
      </c>
      <c r="J203" s="74" t="str">
        <f>IFERROR(__xludf.DUMMYFUNCTION("""COMPUTED_VALUE"""),"Breakfast")</f>
        <v>Breakfast</v>
      </c>
      <c r="K203" s="113">
        <f>IFERROR(__xludf.DUMMYFUNCTION("""COMPUTED_VALUE"""),45964.0)</f>
        <v>45964</v>
      </c>
      <c r="L203" s="74" t="str">
        <f>IFERROR(__xludf.DUMMYFUNCTION("""COMPUTED_VALUE"""),"Monday")</f>
        <v>Monday</v>
      </c>
      <c r="M203" s="74" t="str">
        <f>IFERROR(__xludf.DUMMYFUNCTION("""COMPUTED_VALUE"""),"BF")</f>
        <v>BF</v>
      </c>
      <c r="N203" s="114">
        <f>IFERROR(__xludf.DUMMYFUNCTION("""COMPUTED_VALUE"""),1.173864060312636)</f>
        <v>1.17386406</v>
      </c>
      <c r="O203" s="74" t="str">
        <f>IFERROR(__xludf.DUMMYFUNCTION("""COMPUTED_VALUE"""),"")</f>
        <v/>
      </c>
      <c r="P203" s="74" t="str">
        <f>IFERROR(__xludf.DUMMYFUNCTION("""COMPUTED_VALUE"""),"")</f>
        <v/>
      </c>
      <c r="Q203" s="82" t="str">
        <f>IFERROR(__xludf.DUMMYFUNCTION("""COMPUTED_VALUE"""),"")</f>
        <v/>
      </c>
      <c r="R203" s="82" t="str">
        <f>IFERROR(__xludf.DUMMYFUNCTION("""COMPUTED_VALUE"""),"")</f>
        <v/>
      </c>
      <c r="S203" s="63" t="str">
        <f>IFERROR(__xludf.DUMMYFUNCTION("""COMPUTED_VALUE"""),"")</f>
        <v/>
      </c>
      <c r="T203" s="63" t="str">
        <f>IFERROR(__xludf.DUMMYFUNCTION("""COMPUTED_VALUE"""),"")</f>
        <v/>
      </c>
      <c r="U203" s="138" t="str">
        <f>IFERROR(__xludf.DUMMYFUNCTION("""COMPUTED_VALUE"""),"")</f>
        <v/>
      </c>
      <c r="V203" s="82" t="str">
        <f>IFERROR(__xludf.DUMMYFUNCTION("""COMPUTED_VALUE"""),"")</f>
        <v/>
      </c>
      <c r="W203" s="64" t="str">
        <f>IFERROR(__xludf.DUMMYFUNCTION("""COMPUTED_VALUE"""),"")</f>
        <v/>
      </c>
      <c r="X203" s="64" t="str">
        <f>IFERROR(__xludf.DUMMYFUNCTION("""COMPUTED_VALUE"""),"")</f>
        <v/>
      </c>
      <c r="Y203" s="114" t="str">
        <f>IFERROR(__xludf.DUMMYFUNCTION("""COMPUTED_VALUE"""),"")</f>
        <v/>
      </c>
      <c r="Z203" s="118" t="str">
        <f>IFERROR(__xludf.DUMMYFUNCTION("""COMPUTED_VALUE"""),"")</f>
        <v/>
      </c>
      <c r="AA203" s="118" t="str">
        <f>IFERROR(__xludf.DUMMYFUNCTION("""COMPUTED_VALUE"""),"")</f>
        <v/>
      </c>
      <c r="AB203" s="74" t="str">
        <f>IFERROR(__xludf.DUMMYFUNCTION("""COMPUTED_VALUE"""),"")</f>
        <v/>
      </c>
    </row>
    <row r="204">
      <c r="A204" s="109">
        <f>IFERROR(__xludf.DUMMYFUNCTION("""COMPUTED_VALUE"""),45964.500910567134)</f>
        <v>45964.50091</v>
      </c>
      <c r="B204" s="81" t="str">
        <f>IFERROR(__xludf.DUMMYFUNCTION("""COMPUTED_VALUE"""),"Oluwatimilehin Shodipe")</f>
        <v>Oluwatimilehin Shodipe</v>
      </c>
      <c r="C204" s="74" t="b">
        <f>IFERROR(__xludf.DUMMYFUNCTION("""COMPUTED_VALUE"""),FALSE)</f>
        <v>0</v>
      </c>
      <c r="D204" s="137">
        <f>IFERROR(__xludf.DUMMYFUNCTION("""COMPUTED_VALUE"""),0.4375)</f>
        <v>0.4375</v>
      </c>
      <c r="E204" s="82">
        <f>IFERROR(__xludf.DUMMYFUNCTION("""COMPUTED_VALUE"""),0.06388888889341615)</f>
        <v>0.06388888889</v>
      </c>
      <c r="F204" s="137">
        <f>IFERROR(__xludf.DUMMYFUNCTION("""COMPUTED_VALUE"""),0.5013888888934162)</f>
        <v>0.5013888889</v>
      </c>
      <c r="G204" s="82">
        <f>IFERROR(__xludf.DUMMYFUNCTION("""COMPUTED_VALUE"""),0.06388888889341615)</f>
        <v>0.06388888889</v>
      </c>
      <c r="H204" s="115">
        <f>IFERROR(__xludf.DUMMYFUNCTION("""COMPUTED_VALUE"""),96.0)</f>
        <v>96</v>
      </c>
      <c r="I204" s="112">
        <f>IFERROR(__xludf.DUMMYFUNCTION("""COMPUTED_VALUE"""),62.60869564773737)</f>
        <v>62.60869565</v>
      </c>
      <c r="J204" s="74" t="str">
        <f>IFERROR(__xludf.DUMMYFUNCTION("""COMPUTED_VALUE"""),"Breakfast/Lunch")</f>
        <v>Breakfast/Lunch</v>
      </c>
      <c r="K204" s="113">
        <f>IFERROR(__xludf.DUMMYFUNCTION("""COMPUTED_VALUE"""),45964.0)</f>
        <v>45964</v>
      </c>
      <c r="L204" s="74" t="str">
        <f>IFERROR(__xludf.DUMMYFUNCTION("""COMPUTED_VALUE"""),"Monday")</f>
        <v>Monday</v>
      </c>
      <c r="M204" s="74" t="str">
        <f>IFERROR(__xludf.DUMMYFUNCTION("""COMPUTED_VALUE"""),"BF")</f>
        <v>BF</v>
      </c>
      <c r="N204" s="114">
        <f>IFERROR(__xludf.DUMMYFUNCTION("""COMPUTED_VALUE"""),1.09950121582892)</f>
        <v>1.099501216</v>
      </c>
      <c r="O204" s="74" t="str">
        <f>IFERROR(__xludf.DUMMYFUNCTION("""COMPUTED_VALUE"""),"")</f>
        <v/>
      </c>
      <c r="P204" s="74" t="str">
        <f>IFERROR(__xludf.DUMMYFUNCTION("""COMPUTED_VALUE"""),"")</f>
        <v/>
      </c>
      <c r="Q204" s="82" t="str">
        <f>IFERROR(__xludf.DUMMYFUNCTION("""COMPUTED_VALUE"""),"")</f>
        <v/>
      </c>
      <c r="R204" s="82" t="str">
        <f>IFERROR(__xludf.DUMMYFUNCTION("""COMPUTED_VALUE"""),"")</f>
        <v/>
      </c>
      <c r="S204" s="63" t="str">
        <f>IFERROR(__xludf.DUMMYFUNCTION("""COMPUTED_VALUE"""),"")</f>
        <v/>
      </c>
      <c r="T204" s="63" t="str">
        <f>IFERROR(__xludf.DUMMYFUNCTION("""COMPUTED_VALUE"""),"")</f>
        <v/>
      </c>
      <c r="U204" s="138" t="str">
        <f>IFERROR(__xludf.DUMMYFUNCTION("""COMPUTED_VALUE"""),"")</f>
        <v/>
      </c>
      <c r="V204" s="82" t="str">
        <f>IFERROR(__xludf.DUMMYFUNCTION("""COMPUTED_VALUE"""),"")</f>
        <v/>
      </c>
      <c r="W204" s="64" t="str">
        <f>IFERROR(__xludf.DUMMYFUNCTION("""COMPUTED_VALUE"""),"")</f>
        <v/>
      </c>
      <c r="X204" s="64" t="str">
        <f>IFERROR(__xludf.DUMMYFUNCTION("""COMPUTED_VALUE"""),"")</f>
        <v/>
      </c>
      <c r="Y204" s="114" t="str">
        <f>IFERROR(__xludf.DUMMYFUNCTION("""COMPUTED_VALUE"""),"")</f>
        <v/>
      </c>
      <c r="Z204" s="118" t="str">
        <f>IFERROR(__xludf.DUMMYFUNCTION("""COMPUTED_VALUE"""),"")</f>
        <v/>
      </c>
      <c r="AA204" s="118" t="str">
        <f>IFERROR(__xludf.DUMMYFUNCTION("""COMPUTED_VALUE"""),"")</f>
        <v/>
      </c>
      <c r="AB204" s="74" t="str">
        <f>IFERROR(__xludf.DUMMYFUNCTION("""COMPUTED_VALUE"""),"")</f>
        <v/>
      </c>
    </row>
    <row r="205">
      <c r="A205" s="109">
        <f>IFERROR(__xludf.DUMMYFUNCTION("""COMPUTED_VALUE"""),45964.57099349537)</f>
        <v>45964.57099</v>
      </c>
      <c r="B205" s="81" t="str">
        <f>IFERROR(__xludf.DUMMYFUNCTION("""COMPUTED_VALUE"""),"Orpheus Wilson")</f>
        <v>Orpheus Wilson</v>
      </c>
      <c r="C205" s="74" t="b">
        <f>IFERROR(__xludf.DUMMYFUNCTION("""COMPUTED_VALUE"""),FALSE)</f>
        <v>0</v>
      </c>
      <c r="D205" s="137">
        <f>IFERROR(__xludf.DUMMYFUNCTION("""COMPUTED_VALUE"""),0.4819444444437977)</f>
        <v>0.4819444444</v>
      </c>
      <c r="E205" s="82">
        <f>IFERROR(__xludf.DUMMYFUNCTION("""COMPUTED_VALUE"""),0.07777777777664596)</f>
        <v>0.07777777778</v>
      </c>
      <c r="F205" s="137">
        <f>IFERROR(__xludf.DUMMYFUNCTION("""COMPUTED_VALUE"""),0.5597222222204437)</f>
        <v>0.5597222222</v>
      </c>
      <c r="G205" s="82">
        <f>IFERROR(__xludf.DUMMYFUNCTION("""COMPUTED_VALUE"""),0.07777777777664596)</f>
        <v>0.07777777778</v>
      </c>
      <c r="H205" s="115">
        <f>IFERROR(__xludf.DUMMYFUNCTION("""COMPUTED_VALUE"""),137.0)</f>
        <v>137</v>
      </c>
      <c r="I205" s="112">
        <f>IFERROR(__xludf.DUMMYFUNCTION("""COMPUTED_VALUE"""),73.39285714392516)</f>
        <v>73.39285714</v>
      </c>
      <c r="J205" s="74" t="str">
        <f>IFERROR(__xludf.DUMMYFUNCTION("""COMPUTED_VALUE"""),"Lunch")</f>
        <v>Lunch</v>
      </c>
      <c r="K205" s="113">
        <f>IFERROR(__xludf.DUMMYFUNCTION("""COMPUTED_VALUE"""),45964.0)</f>
        <v>45964</v>
      </c>
      <c r="L205" s="74" t="str">
        <f>IFERROR(__xludf.DUMMYFUNCTION("""COMPUTED_VALUE"""),"Monday")</f>
        <v>Monday</v>
      </c>
      <c r="M205" s="74" t="str">
        <f>IFERROR(__xludf.DUMMYFUNCTION("""COMPUTED_VALUE"""),"MF")</f>
        <v>MF</v>
      </c>
      <c r="N205" s="114">
        <f>IFERROR(__xludf.DUMMYFUNCTION("""COMPUTED_VALUE"""),1.5261929586273988)</f>
        <v>1.526192959</v>
      </c>
      <c r="O205" s="74" t="str">
        <f>IFERROR(__xludf.DUMMYFUNCTION("""COMPUTED_VALUE"""),"")</f>
        <v/>
      </c>
      <c r="P205" s="74" t="str">
        <f>IFERROR(__xludf.DUMMYFUNCTION("""COMPUTED_VALUE"""),"")</f>
        <v/>
      </c>
      <c r="Q205" s="82" t="str">
        <f>IFERROR(__xludf.DUMMYFUNCTION("""COMPUTED_VALUE"""),"")</f>
        <v/>
      </c>
      <c r="R205" s="82" t="str">
        <f>IFERROR(__xludf.DUMMYFUNCTION("""COMPUTED_VALUE"""),"")</f>
        <v/>
      </c>
      <c r="S205" s="63" t="str">
        <f>IFERROR(__xludf.DUMMYFUNCTION("""COMPUTED_VALUE"""),"")</f>
        <v/>
      </c>
      <c r="T205" s="63" t="str">
        <f>IFERROR(__xludf.DUMMYFUNCTION("""COMPUTED_VALUE"""),"")</f>
        <v/>
      </c>
      <c r="U205" s="138" t="str">
        <f>IFERROR(__xludf.DUMMYFUNCTION("""COMPUTED_VALUE"""),"")</f>
        <v/>
      </c>
      <c r="V205" s="82" t="str">
        <f>IFERROR(__xludf.DUMMYFUNCTION("""COMPUTED_VALUE"""),"")</f>
        <v/>
      </c>
      <c r="W205" s="64" t="str">
        <f>IFERROR(__xludf.DUMMYFUNCTION("""COMPUTED_VALUE"""),"")</f>
        <v/>
      </c>
      <c r="X205" s="64" t="str">
        <f>IFERROR(__xludf.DUMMYFUNCTION("""COMPUTED_VALUE"""),"")</f>
        <v/>
      </c>
      <c r="Y205" s="114" t="str">
        <f>IFERROR(__xludf.DUMMYFUNCTION("""COMPUTED_VALUE"""),"")</f>
        <v/>
      </c>
      <c r="Z205" s="118" t="str">
        <f>IFERROR(__xludf.DUMMYFUNCTION("""COMPUTED_VALUE"""),"")</f>
        <v/>
      </c>
      <c r="AA205" s="118" t="str">
        <f>IFERROR(__xludf.DUMMYFUNCTION("""COMPUTED_VALUE"""),"")</f>
        <v/>
      </c>
      <c r="AB205" s="74" t="str">
        <f>IFERROR(__xludf.DUMMYFUNCTION("""COMPUTED_VALUE"""),"")</f>
        <v/>
      </c>
    </row>
    <row r="206">
      <c r="A206" s="109">
        <f>IFERROR(__xludf.DUMMYFUNCTION("""COMPUTED_VALUE"""),45964.654776111114)</f>
        <v>45964.65478</v>
      </c>
      <c r="B206" s="81" t="str">
        <f>IFERROR(__xludf.DUMMYFUNCTION("""COMPUTED_VALUE"""),"Greta Traynor")</f>
        <v>Greta Traynor</v>
      </c>
      <c r="C206" s="74" t="b">
        <f>IFERROR(__xludf.DUMMYFUNCTION("""COMPUTED_VALUE"""),FALSE)</f>
        <v>0</v>
      </c>
      <c r="D206" s="137">
        <f>IFERROR(__xludf.DUMMYFUNCTION("""COMPUTED_VALUE"""),0.5645833333328483)</f>
        <v>0.5645833333</v>
      </c>
      <c r="E206" s="82">
        <f>IFERROR(__xludf.DUMMYFUNCTION("""COMPUTED_VALUE"""),0.06805555555183673)</f>
        <v>0.06805555555</v>
      </c>
      <c r="F206" s="137">
        <f>IFERROR(__xludf.DUMMYFUNCTION("""COMPUTED_VALUE"""),0.632638888884685)</f>
        <v>0.6326388889</v>
      </c>
      <c r="G206" s="82">
        <f>IFERROR(__xludf.DUMMYFUNCTION("""COMPUTED_VALUE"""),0.06805555555183673)</f>
        <v>0.06805555555</v>
      </c>
      <c r="H206" s="115">
        <f>IFERROR(__xludf.DUMMYFUNCTION("""COMPUTED_VALUE"""),78.0)</f>
        <v>78</v>
      </c>
      <c r="I206" s="112">
        <f>IFERROR(__xludf.DUMMYFUNCTION("""COMPUTED_VALUE"""),47.75510204342585)</f>
        <v>47.75510204</v>
      </c>
      <c r="J206" s="74" t="str">
        <f>IFERROR(__xludf.DUMMYFUNCTION("""COMPUTED_VALUE"""),"Lunch")</f>
        <v>Lunch</v>
      </c>
      <c r="K206" s="113">
        <f>IFERROR(__xludf.DUMMYFUNCTION("""COMPUTED_VALUE"""),45964.0)</f>
        <v>45964</v>
      </c>
      <c r="L206" s="74" t="str">
        <f>IFERROR(__xludf.DUMMYFUNCTION("""COMPUTED_VALUE"""),"Monday")</f>
        <v>Monday</v>
      </c>
      <c r="M206" s="74" t="str">
        <f>IFERROR(__xludf.DUMMYFUNCTION("""COMPUTED_VALUE"""),"MF")</f>
        <v>MF</v>
      </c>
      <c r="N206" s="114">
        <f>IFERROR(__xludf.DUMMYFUNCTION("""COMPUTED_VALUE"""),0.9930598605022712)</f>
        <v>0.9930598605</v>
      </c>
      <c r="O206" s="74" t="str">
        <f>IFERROR(__xludf.DUMMYFUNCTION("""COMPUTED_VALUE"""),"")</f>
        <v/>
      </c>
      <c r="P206" s="74" t="str">
        <f>IFERROR(__xludf.DUMMYFUNCTION("""COMPUTED_VALUE"""),"")</f>
        <v/>
      </c>
      <c r="Q206" s="82" t="str">
        <f>IFERROR(__xludf.DUMMYFUNCTION("""COMPUTED_VALUE"""),"")</f>
        <v/>
      </c>
      <c r="R206" s="82" t="str">
        <f>IFERROR(__xludf.DUMMYFUNCTION("""COMPUTED_VALUE"""),"")</f>
        <v/>
      </c>
      <c r="S206" s="63" t="str">
        <f>IFERROR(__xludf.DUMMYFUNCTION("""COMPUTED_VALUE"""),"")</f>
        <v/>
      </c>
      <c r="T206" s="63" t="str">
        <f>IFERROR(__xludf.DUMMYFUNCTION("""COMPUTED_VALUE"""),"")</f>
        <v/>
      </c>
      <c r="U206" s="138" t="str">
        <f>IFERROR(__xludf.DUMMYFUNCTION("""COMPUTED_VALUE"""),"")</f>
        <v/>
      </c>
      <c r="V206" s="82" t="str">
        <f>IFERROR(__xludf.DUMMYFUNCTION("""COMPUTED_VALUE"""),"")</f>
        <v/>
      </c>
      <c r="W206" s="64" t="str">
        <f>IFERROR(__xludf.DUMMYFUNCTION("""COMPUTED_VALUE"""),"")</f>
        <v/>
      </c>
      <c r="X206" s="64" t="str">
        <f>IFERROR(__xludf.DUMMYFUNCTION("""COMPUTED_VALUE"""),"")</f>
        <v/>
      </c>
      <c r="Y206" s="114" t="str">
        <f>IFERROR(__xludf.DUMMYFUNCTION("""COMPUTED_VALUE"""),"")</f>
        <v/>
      </c>
      <c r="Z206" s="118" t="str">
        <f>IFERROR(__xludf.DUMMYFUNCTION("""COMPUTED_VALUE"""),"")</f>
        <v/>
      </c>
      <c r="AA206" s="118" t="str">
        <f>IFERROR(__xludf.DUMMYFUNCTION("""COMPUTED_VALUE"""),"")</f>
        <v/>
      </c>
      <c r="AB206" s="74" t="str">
        <f>IFERROR(__xludf.DUMMYFUNCTION("""COMPUTED_VALUE"""),"")</f>
        <v/>
      </c>
    </row>
    <row r="207">
      <c r="A207" s="109">
        <f>IFERROR(__xludf.DUMMYFUNCTION("""COMPUTED_VALUE"""),45964.771505983794)</f>
        <v>45964.77151</v>
      </c>
      <c r="B207" s="81" t="str">
        <f>IFERROR(__xludf.DUMMYFUNCTION("""COMPUTED_VALUE"""),"Maureen Surgot")</f>
        <v>Maureen Surgot</v>
      </c>
      <c r="C207" s="74" t="b">
        <f>IFERROR(__xludf.DUMMYFUNCTION("""COMPUTED_VALUE"""),FALSE)</f>
        <v>0</v>
      </c>
      <c r="D207" s="137">
        <f>IFERROR(__xludf.DUMMYFUNCTION("""COMPUTED_VALUE"""),0.6666666666642413)</f>
        <v>0.6666666667</v>
      </c>
      <c r="E207" s="82">
        <f>IFERROR(__xludf.DUMMYFUNCTION("""COMPUTED_VALUE"""),0.1041666666715173)</f>
        <v>0.1041666667</v>
      </c>
      <c r="F207" s="137">
        <f>IFERROR(__xludf.DUMMYFUNCTION("""COMPUTED_VALUE"""),0.7708333333357587)</f>
        <v>0.7708333333</v>
      </c>
      <c r="G207" s="82">
        <f>IFERROR(__xludf.DUMMYFUNCTION("""COMPUTED_VALUE"""),0.1041666666715173)</f>
        <v>0.1041666667</v>
      </c>
      <c r="H207" s="115">
        <f>IFERROR(__xludf.DUMMYFUNCTION("""COMPUTED_VALUE"""),143.0)</f>
        <v>143</v>
      </c>
      <c r="I207" s="112">
        <f>IFERROR(__xludf.DUMMYFUNCTION("""COMPUTED_VALUE"""),57.19999999733642)</f>
        <v>57.2</v>
      </c>
      <c r="J207" s="74" t="str">
        <f>IFERROR(__xludf.DUMMYFUNCTION("""COMPUTED_VALUE"""),"Dinner")</f>
        <v>Dinner</v>
      </c>
      <c r="K207" s="113">
        <f>IFERROR(__xludf.DUMMYFUNCTION("""COMPUTED_VALUE"""),45964.0)</f>
        <v>45964</v>
      </c>
      <c r="L207" s="74" t="str">
        <f>IFERROR(__xludf.DUMMYFUNCTION("""COMPUTED_VALUE"""),"Monday")</f>
        <v>Monday</v>
      </c>
      <c r="M207" s="74" t="str">
        <f>IFERROR(__xludf.DUMMYFUNCTION("""COMPUTED_VALUE"""),"MF")</f>
        <v>MF</v>
      </c>
      <c r="N207" s="114">
        <f>IFERROR(__xludf.DUMMYFUNCTION("""COMPUTED_VALUE"""),1.1271252080302203)</f>
        <v>1.127125208</v>
      </c>
      <c r="O207" s="74" t="str">
        <f>IFERROR(__xludf.DUMMYFUNCTION("""COMPUTED_VALUE"""),"")</f>
        <v/>
      </c>
      <c r="P207" s="74" t="str">
        <f>IFERROR(__xludf.DUMMYFUNCTION("""COMPUTED_VALUE"""),"")</f>
        <v/>
      </c>
      <c r="Q207" s="82" t="str">
        <f>IFERROR(__xludf.DUMMYFUNCTION("""COMPUTED_VALUE"""),"")</f>
        <v/>
      </c>
      <c r="R207" s="82" t="str">
        <f>IFERROR(__xludf.DUMMYFUNCTION("""COMPUTED_VALUE"""),"")</f>
        <v/>
      </c>
      <c r="S207" s="63" t="str">
        <f>IFERROR(__xludf.DUMMYFUNCTION("""COMPUTED_VALUE"""),"")</f>
        <v/>
      </c>
      <c r="T207" s="63" t="str">
        <f>IFERROR(__xludf.DUMMYFUNCTION("""COMPUTED_VALUE"""),"")</f>
        <v/>
      </c>
      <c r="U207" s="138" t="str">
        <f>IFERROR(__xludf.DUMMYFUNCTION("""COMPUTED_VALUE"""),"")</f>
        <v/>
      </c>
      <c r="V207" s="82" t="str">
        <f>IFERROR(__xludf.DUMMYFUNCTION("""COMPUTED_VALUE"""),"")</f>
        <v/>
      </c>
      <c r="W207" s="64" t="str">
        <f>IFERROR(__xludf.DUMMYFUNCTION("""COMPUTED_VALUE"""),"")</f>
        <v/>
      </c>
      <c r="X207" s="64" t="str">
        <f>IFERROR(__xludf.DUMMYFUNCTION("""COMPUTED_VALUE"""),"")</f>
        <v/>
      </c>
      <c r="Y207" s="114" t="str">
        <f>IFERROR(__xludf.DUMMYFUNCTION("""COMPUTED_VALUE"""),"")</f>
        <v/>
      </c>
      <c r="Z207" s="118" t="str">
        <f>IFERROR(__xludf.DUMMYFUNCTION("""COMPUTED_VALUE"""),"")</f>
        <v/>
      </c>
      <c r="AA207" s="118" t="str">
        <f>IFERROR(__xludf.DUMMYFUNCTION("""COMPUTED_VALUE"""),"")</f>
        <v/>
      </c>
      <c r="AB207" s="74" t="str">
        <f>IFERROR(__xludf.DUMMYFUNCTION("""COMPUTED_VALUE"""),"")</f>
        <v/>
      </c>
    </row>
    <row r="208">
      <c r="A208" s="109">
        <f>IFERROR(__xludf.DUMMYFUNCTION("""COMPUTED_VALUE"""),45964.86508927083)</f>
        <v>45964.86509</v>
      </c>
      <c r="B208" s="81" t="str">
        <f>IFERROR(__xludf.DUMMYFUNCTION("""COMPUTED_VALUE"""),"Kaylie Forgue")</f>
        <v>Kaylie Forgue</v>
      </c>
      <c r="C208" s="74" t="b">
        <f>IFERROR(__xludf.DUMMYFUNCTION("""COMPUTED_VALUE"""),FALSE)</f>
        <v>0</v>
      </c>
      <c r="D208" s="137">
        <f>IFERROR(__xludf.DUMMYFUNCTION("""COMPUTED_VALUE"""),0.6840277777810115)</f>
        <v>0.6840277778</v>
      </c>
      <c r="E208" s="82">
        <f>IFERROR(__xludf.DUMMYFUNCTION("""COMPUTED_VALUE"""),0.17777777777519077)</f>
        <v>0.1777777778</v>
      </c>
      <c r="F208" s="137">
        <f>IFERROR(__xludf.DUMMYFUNCTION("""COMPUTED_VALUE"""),0.8618055555562023)</f>
        <v>0.8618055556</v>
      </c>
      <c r="G208" s="82">
        <f>IFERROR(__xludf.DUMMYFUNCTION("""COMPUTED_VALUE"""),0.17777777777519077)</f>
        <v>0.1777777778</v>
      </c>
      <c r="H208" s="115">
        <f>IFERROR(__xludf.DUMMYFUNCTION("""COMPUTED_VALUE"""),137.0)</f>
        <v>137</v>
      </c>
      <c r="I208" s="112">
        <f>IFERROR(__xludf.DUMMYFUNCTION("""COMPUTED_VALUE"""),32.10937500046725)</f>
        <v>32.109375</v>
      </c>
      <c r="J208" s="74" t="str">
        <f>IFERROR(__xludf.DUMMYFUNCTION("""COMPUTED_VALUE"""),"Dinner")</f>
        <v>Dinner</v>
      </c>
      <c r="K208" s="113">
        <f>IFERROR(__xludf.DUMMYFUNCTION("""COMPUTED_VALUE"""),45964.0)</f>
        <v>45964</v>
      </c>
      <c r="L208" s="74" t="str">
        <f>IFERROR(__xludf.DUMMYFUNCTION("""COMPUTED_VALUE"""),"Monday")</f>
        <v>Monday</v>
      </c>
      <c r="M208" s="74" t="str">
        <f>IFERROR(__xludf.DUMMYFUNCTION("""COMPUTED_VALUE"""),"BF")</f>
        <v>BF</v>
      </c>
      <c r="N208" s="114">
        <f>IFERROR(__xludf.DUMMYFUNCTION("""COMPUTED_VALUE"""),0.7577704902926512)</f>
        <v>0.7577704903</v>
      </c>
      <c r="O208" s="74" t="str">
        <f>IFERROR(__xludf.DUMMYFUNCTION("""COMPUTED_VALUE"""),"")</f>
        <v/>
      </c>
      <c r="P208" s="74" t="str">
        <f>IFERROR(__xludf.DUMMYFUNCTION("""COMPUTED_VALUE"""),"")</f>
        <v/>
      </c>
      <c r="Q208" s="82" t="str">
        <f>IFERROR(__xludf.DUMMYFUNCTION("""COMPUTED_VALUE"""),"")</f>
        <v/>
      </c>
      <c r="R208" s="82" t="str">
        <f>IFERROR(__xludf.DUMMYFUNCTION("""COMPUTED_VALUE"""),"")</f>
        <v/>
      </c>
      <c r="S208" s="63" t="str">
        <f>IFERROR(__xludf.DUMMYFUNCTION("""COMPUTED_VALUE"""),"")</f>
        <v/>
      </c>
      <c r="T208" s="63" t="str">
        <f>IFERROR(__xludf.DUMMYFUNCTION("""COMPUTED_VALUE"""),"")</f>
        <v/>
      </c>
      <c r="U208" s="138" t="str">
        <f>IFERROR(__xludf.DUMMYFUNCTION("""COMPUTED_VALUE"""),"")</f>
        <v/>
      </c>
      <c r="V208" s="82" t="str">
        <f>IFERROR(__xludf.DUMMYFUNCTION("""COMPUTED_VALUE"""),"")</f>
        <v/>
      </c>
      <c r="W208" s="64" t="str">
        <f>IFERROR(__xludf.DUMMYFUNCTION("""COMPUTED_VALUE"""),"")</f>
        <v/>
      </c>
      <c r="X208" s="64" t="str">
        <f>IFERROR(__xludf.DUMMYFUNCTION("""COMPUTED_VALUE"""),"")</f>
        <v/>
      </c>
      <c r="Y208" s="114" t="str">
        <f>IFERROR(__xludf.DUMMYFUNCTION("""COMPUTED_VALUE"""),"")</f>
        <v/>
      </c>
      <c r="Z208" s="118" t="str">
        <f>IFERROR(__xludf.DUMMYFUNCTION("""COMPUTED_VALUE"""),"")</f>
        <v/>
      </c>
      <c r="AA208" s="118" t="str">
        <f>IFERROR(__xludf.DUMMYFUNCTION("""COMPUTED_VALUE"""),"")</f>
        <v/>
      </c>
      <c r="AB208" s="74" t="str">
        <f>IFERROR(__xludf.DUMMYFUNCTION("""COMPUTED_VALUE"""),"")</f>
        <v/>
      </c>
    </row>
    <row r="209">
      <c r="A209" s="109">
        <f>IFERROR(__xludf.DUMMYFUNCTION("""COMPUTED_VALUE"""),45964.87081502315)</f>
        <v>45964.87082</v>
      </c>
      <c r="B209" s="81" t="str">
        <f>IFERROR(__xludf.DUMMYFUNCTION("""COMPUTED_VALUE"""),"Laila Maisuria")</f>
        <v>Laila Maisuria</v>
      </c>
      <c r="C209" s="74" t="b">
        <f>IFERROR(__xludf.DUMMYFUNCTION("""COMPUTED_VALUE"""),FALSE)</f>
        <v>0</v>
      </c>
      <c r="D209" s="137">
        <f>IFERROR(__xludf.DUMMYFUNCTION("""COMPUTED_VALUE"""),0.7701388888890506)</f>
        <v>0.7701388889</v>
      </c>
      <c r="E209" s="82">
        <f>IFERROR(__xludf.DUMMYFUNCTION("""COMPUTED_VALUE"""),0.09930555555539389)</f>
        <v>0.09930555556</v>
      </c>
      <c r="F209" s="137">
        <f>IFERROR(__xludf.DUMMYFUNCTION("""COMPUTED_VALUE"""),0.8694444444444445)</f>
        <v>0.8694444444</v>
      </c>
      <c r="G209" s="82">
        <f>IFERROR(__xludf.DUMMYFUNCTION("""COMPUTED_VALUE"""),0.19861111111078777)</f>
        <v>0.1986111111</v>
      </c>
      <c r="H209" s="115">
        <f>IFERROR(__xludf.DUMMYFUNCTION("""COMPUTED_VALUE"""),21.0)</f>
        <v>21</v>
      </c>
      <c r="I209" s="112">
        <f>IFERROR(__xludf.DUMMYFUNCTION("""COMPUTED_VALUE"""),4.405594405601578)</f>
        <v>4.405594406</v>
      </c>
      <c r="J209" s="74" t="str">
        <f>IFERROR(__xludf.DUMMYFUNCTION("""COMPUTED_VALUE"""),"Dinner")</f>
        <v>Dinner</v>
      </c>
      <c r="K209" s="113">
        <f>IFERROR(__xludf.DUMMYFUNCTION("""COMPUTED_VALUE"""),45964.0)</f>
        <v>45964</v>
      </c>
      <c r="L209" s="74" t="str">
        <f>IFERROR(__xludf.DUMMYFUNCTION("""COMPUTED_VALUE"""),"Monday")</f>
        <v>Monday</v>
      </c>
      <c r="M209" s="74" t="str">
        <f>IFERROR(__xludf.DUMMYFUNCTION("""COMPUTED_VALUE"""),"MF")</f>
        <v>MF</v>
      </c>
      <c r="N209" s="114">
        <f>IFERROR(__xludf.DUMMYFUNCTION("""COMPUTED_VALUE"""),0.08681217676821128)</f>
        <v>0.08681217677</v>
      </c>
      <c r="O209" s="74" t="str">
        <f>IFERROR(__xludf.DUMMYFUNCTION("""COMPUTED_VALUE"""),"")</f>
        <v/>
      </c>
      <c r="P209" s="74" t="str">
        <f>IFERROR(__xludf.DUMMYFUNCTION("""COMPUTED_VALUE"""),"")</f>
        <v/>
      </c>
      <c r="Q209" s="82" t="str">
        <f>IFERROR(__xludf.DUMMYFUNCTION("""COMPUTED_VALUE"""),"")</f>
        <v/>
      </c>
      <c r="R209" s="82" t="str">
        <f>IFERROR(__xludf.DUMMYFUNCTION("""COMPUTED_VALUE"""),"")</f>
        <v/>
      </c>
      <c r="S209" s="63" t="str">
        <f>IFERROR(__xludf.DUMMYFUNCTION("""COMPUTED_VALUE"""),"")</f>
        <v/>
      </c>
      <c r="T209" s="63" t="str">
        <f>IFERROR(__xludf.DUMMYFUNCTION("""COMPUTED_VALUE"""),"")</f>
        <v/>
      </c>
      <c r="U209" s="138" t="str">
        <f>IFERROR(__xludf.DUMMYFUNCTION("""COMPUTED_VALUE"""),"")</f>
        <v/>
      </c>
      <c r="V209" s="82" t="str">
        <f>IFERROR(__xludf.DUMMYFUNCTION("""COMPUTED_VALUE"""),"")</f>
        <v/>
      </c>
      <c r="W209" s="64" t="str">
        <f>IFERROR(__xludf.DUMMYFUNCTION("""COMPUTED_VALUE"""),"")</f>
        <v/>
      </c>
      <c r="X209" s="64" t="str">
        <f>IFERROR(__xludf.DUMMYFUNCTION("""COMPUTED_VALUE"""),"")</f>
        <v/>
      </c>
      <c r="Y209" s="114" t="str">
        <f>IFERROR(__xludf.DUMMYFUNCTION("""COMPUTED_VALUE"""),"")</f>
        <v/>
      </c>
      <c r="Z209" s="118" t="str">
        <f>IFERROR(__xludf.DUMMYFUNCTION("""COMPUTED_VALUE"""),"")</f>
        <v/>
      </c>
      <c r="AA209" s="118" t="str">
        <f>IFERROR(__xludf.DUMMYFUNCTION("""COMPUTED_VALUE"""),"")</f>
        <v/>
      </c>
      <c r="AB209" s="74" t="str">
        <f>IFERROR(__xludf.DUMMYFUNCTION("""COMPUTED_VALUE"""),"")</f>
        <v/>
      </c>
    </row>
    <row r="210">
      <c r="A210" s="109">
        <f>IFERROR(__xludf.DUMMYFUNCTION("""COMPUTED_VALUE"""),45964.87081502315)</f>
        <v>45964.87082</v>
      </c>
      <c r="B210" s="81" t="str">
        <f>IFERROR(__xludf.DUMMYFUNCTION("""COMPUTED_VALUE"""),"Laila Maisuria")</f>
        <v>Laila Maisuria</v>
      </c>
      <c r="C210" s="74" t="b">
        <f>IFERROR(__xludf.DUMMYFUNCTION("""COMPUTED_VALUE"""),TRUE)</f>
        <v>1</v>
      </c>
      <c r="D210" s="137">
        <f>IFERROR(__xludf.DUMMYFUNCTION("""COMPUTED_VALUE"""),0.7701388888890506)</f>
        <v>0.7701388889</v>
      </c>
      <c r="E210" s="82">
        <f>IFERROR(__xludf.DUMMYFUNCTION("""COMPUTED_VALUE"""),0.09930555555539389)</f>
        <v>0.09930555556</v>
      </c>
      <c r="F210" s="137">
        <f>IFERROR(__xludf.DUMMYFUNCTION("""COMPUTED_VALUE"""),0.8694444444444445)</f>
        <v>0.8694444444</v>
      </c>
      <c r="G210" s="82" t="str">
        <f>IFERROR(__xludf.DUMMYFUNCTION("""COMPUTED_VALUE"""),"")</f>
        <v/>
      </c>
      <c r="H210" s="115">
        <f>IFERROR(__xludf.DUMMYFUNCTION("""COMPUTED_VALUE"""),49.0)</f>
        <v>49</v>
      </c>
      <c r="I210" s="112" t="str">
        <f>IFERROR(__xludf.DUMMYFUNCTION("""COMPUTED_VALUE"""),"")</f>
        <v/>
      </c>
      <c r="J210" s="74" t="str">
        <f>IFERROR(__xludf.DUMMYFUNCTION("""COMPUTED_VALUE"""),"Dinner")</f>
        <v>Dinner</v>
      </c>
      <c r="K210" s="113">
        <f>IFERROR(__xludf.DUMMYFUNCTION("""COMPUTED_VALUE"""),45964.0)</f>
        <v>45964</v>
      </c>
      <c r="L210" s="74" t="str">
        <f>IFERROR(__xludf.DUMMYFUNCTION("""COMPUTED_VALUE"""),"Monday")</f>
        <v>Monday</v>
      </c>
      <c r="M210" s="74" t="str">
        <f>IFERROR(__xludf.DUMMYFUNCTION("""COMPUTED_VALUE"""),"MF")</f>
        <v>MF</v>
      </c>
      <c r="N210" s="114" t="str">
        <f>IFERROR(__xludf.DUMMYFUNCTION("""COMPUTED_VALUE"""),"")</f>
        <v/>
      </c>
      <c r="O210" s="74">
        <f>IFERROR(__xludf.DUMMYFUNCTION("""COMPUTED_VALUE"""),428.0)</f>
        <v>428</v>
      </c>
      <c r="P210" s="74">
        <f>IFERROR(__xludf.DUMMYFUNCTION("""COMPUTED_VALUE"""),318.0)</f>
        <v>318</v>
      </c>
      <c r="Q210" s="82">
        <f>IFERROR(__xludf.DUMMYFUNCTION("""COMPUTED_VALUE"""),0.4486111111107878)</f>
        <v>0.4486111111</v>
      </c>
      <c r="R210" s="82">
        <f>IFERROR(__xludf.DUMMYFUNCTION("""COMPUTED_VALUE"""),0.36944444444816327)</f>
        <v>0.3694444444</v>
      </c>
      <c r="S210" s="63">
        <f>IFERROR(__xludf.DUMMYFUNCTION("""COMPUTED_VALUE"""),45.688388397572254)</f>
        <v>45.6883884</v>
      </c>
      <c r="T210" s="63">
        <f>IFERROR(__xludf.DUMMYFUNCTION("""COMPUTED_VALUE"""),40.81182065072222)</f>
        <v>40.81182065</v>
      </c>
      <c r="U210" s="138">
        <f>IFERROR(__xludf.DUMMYFUNCTION("""COMPUTED_VALUE"""),746.0)</f>
        <v>746</v>
      </c>
      <c r="V210" s="82">
        <f>IFERROR(__xludf.DUMMYFUNCTION("""COMPUTED_VALUE"""),0.818055555558951)</f>
        <v>0.8180555556</v>
      </c>
      <c r="W210" s="64">
        <f>IFERROR(__xludf.DUMMYFUNCTION("""COMPUTED_VALUE"""),37.99660441410375)</f>
        <v>37.99660441</v>
      </c>
      <c r="X210" s="64">
        <f>IFERROR(__xludf.DUMMYFUNCTION("""COMPUTED_VALUE"""),43.59843079177938)</f>
        <v>43.59843079</v>
      </c>
      <c r="Y210" s="114">
        <f>IFERROR(__xludf.DUMMYFUNCTION("""COMPUTED_VALUE"""),0.8724820199327875)</f>
        <v>0.8724820199</v>
      </c>
      <c r="Z210" s="118">
        <f>IFERROR(__xludf.DUMMYFUNCTION("""COMPUTED_VALUE"""),3996.0)</f>
        <v>3996</v>
      </c>
      <c r="AA210" s="118">
        <f>IFERROR(__xludf.DUMMYFUNCTION("""COMPUTED_VALUE"""),4003.0)</f>
        <v>4003</v>
      </c>
      <c r="AB210" s="118">
        <f>IFERROR(__xludf.DUMMYFUNCTION("""COMPUTED_VALUE"""),7999.0)</f>
        <v>7999</v>
      </c>
    </row>
    <row r="211">
      <c r="A211" s="109">
        <f>IFERROR(__xludf.DUMMYFUNCTION("""COMPUTED_VALUE"""),45965.3941409375)</f>
        <v>45965.39414</v>
      </c>
      <c r="B211" s="81" t="str">
        <f>IFERROR(__xludf.DUMMYFUNCTION("""COMPUTED_VALUE"""),"Evan Morgan")</f>
        <v>Evan Morgan</v>
      </c>
      <c r="C211" s="74" t="b">
        <f>IFERROR(__xludf.DUMMYFUNCTION("""COMPUTED_VALUE"""),FALSE)</f>
        <v>0</v>
      </c>
      <c r="D211" s="137">
        <f>IFERROR(__xludf.DUMMYFUNCTION("""COMPUTED_VALUE"""),0.29166666666424135)</f>
        <v>0.2916666667</v>
      </c>
      <c r="E211" s="82">
        <f>IFERROR(__xludf.DUMMYFUNCTION("""COMPUTED_VALUE"""),0.1423611111167702)</f>
        <v>0.1423611111</v>
      </c>
      <c r="F211" s="137">
        <f>IFERROR(__xludf.DUMMYFUNCTION("""COMPUTED_VALUE"""),0.43402777778101154)</f>
        <v>0.4340277778</v>
      </c>
      <c r="G211" s="82">
        <f>IFERROR(__xludf.DUMMYFUNCTION("""COMPUTED_VALUE"""),0.1423611111167702)</f>
        <v>0.1423611111</v>
      </c>
      <c r="H211" s="115">
        <f>IFERROR(__xludf.DUMMYFUNCTION("""COMPUTED_VALUE"""),53.0)</f>
        <v>53</v>
      </c>
      <c r="I211" s="112">
        <f>IFERROR(__xludf.DUMMYFUNCTION("""COMPUTED_VALUE"""),15.512195121334585)</f>
        <v>15.51219512</v>
      </c>
      <c r="J211" s="74" t="str">
        <f>IFERROR(__xludf.DUMMYFUNCTION("""COMPUTED_VALUE"""),"Breakfast")</f>
        <v>Breakfast</v>
      </c>
      <c r="K211" s="113">
        <f>IFERROR(__xludf.DUMMYFUNCTION("""COMPUTED_VALUE"""),45965.0)</f>
        <v>45965</v>
      </c>
      <c r="L211" s="74" t="str">
        <f>IFERROR(__xludf.DUMMYFUNCTION("""COMPUTED_VALUE"""),"Tuesday")</f>
        <v>Tuesday</v>
      </c>
      <c r="M211" s="74" t="str">
        <f>IFERROR(__xludf.DUMMYFUNCTION("""COMPUTED_VALUE"""),"BF")</f>
        <v>BF</v>
      </c>
      <c r="N211" s="114">
        <f>IFERROR(__xludf.DUMMYFUNCTION("""COMPUTED_VALUE"""),0.6569596737947266)</f>
        <v>0.6569596738</v>
      </c>
      <c r="O211" s="74" t="str">
        <f>IFERROR(__xludf.DUMMYFUNCTION("""COMPUTED_VALUE"""),"")</f>
        <v/>
      </c>
      <c r="P211" s="74" t="str">
        <f>IFERROR(__xludf.DUMMYFUNCTION("""COMPUTED_VALUE"""),"")</f>
        <v/>
      </c>
      <c r="Q211" s="82" t="str">
        <f>IFERROR(__xludf.DUMMYFUNCTION("""COMPUTED_VALUE"""),"")</f>
        <v/>
      </c>
      <c r="R211" s="82" t="str">
        <f>IFERROR(__xludf.DUMMYFUNCTION("""COMPUTED_VALUE"""),"")</f>
        <v/>
      </c>
      <c r="S211" s="63" t="str">
        <f>IFERROR(__xludf.DUMMYFUNCTION("""COMPUTED_VALUE"""),"")</f>
        <v/>
      </c>
      <c r="T211" s="63" t="str">
        <f>IFERROR(__xludf.DUMMYFUNCTION("""COMPUTED_VALUE"""),"")</f>
        <v/>
      </c>
      <c r="U211" s="138" t="str">
        <f>IFERROR(__xludf.DUMMYFUNCTION("""COMPUTED_VALUE"""),"")</f>
        <v/>
      </c>
      <c r="V211" s="82" t="str">
        <f>IFERROR(__xludf.DUMMYFUNCTION("""COMPUTED_VALUE"""),"")</f>
        <v/>
      </c>
      <c r="W211" s="64" t="str">
        <f>IFERROR(__xludf.DUMMYFUNCTION("""COMPUTED_VALUE"""),"")</f>
        <v/>
      </c>
      <c r="X211" s="64" t="str">
        <f>IFERROR(__xludf.DUMMYFUNCTION("""COMPUTED_VALUE"""),"")</f>
        <v/>
      </c>
      <c r="Y211" s="114" t="str">
        <f>IFERROR(__xludf.DUMMYFUNCTION("""COMPUTED_VALUE"""),"")</f>
        <v/>
      </c>
      <c r="Z211" s="118" t="str">
        <f>IFERROR(__xludf.DUMMYFUNCTION("""COMPUTED_VALUE"""),"")</f>
        <v/>
      </c>
      <c r="AA211" s="118" t="str">
        <f>IFERROR(__xludf.DUMMYFUNCTION("""COMPUTED_VALUE"""),"")</f>
        <v/>
      </c>
      <c r="AB211" s="74" t="str">
        <f>IFERROR(__xludf.DUMMYFUNCTION("""COMPUTED_VALUE"""),"")</f>
        <v/>
      </c>
    </row>
    <row r="212">
      <c r="A212" s="109">
        <f>IFERROR(__xludf.DUMMYFUNCTION("""COMPUTED_VALUE"""),45965.47667403935)</f>
        <v>45965.47667</v>
      </c>
      <c r="B212" s="81" t="str">
        <f>IFERROR(__xludf.DUMMYFUNCTION("""COMPUTED_VALUE"""),"Emmett Khan")</f>
        <v>Emmett Khan</v>
      </c>
      <c r="C212" s="74" t="b">
        <f>IFERROR(__xludf.DUMMYFUNCTION("""COMPUTED_VALUE"""),FALSE)</f>
        <v>0</v>
      </c>
      <c r="D212" s="137">
        <f>IFERROR(__xludf.DUMMYFUNCTION("""COMPUTED_VALUE"""),0.39583333333575865)</f>
        <v>0.3958333333</v>
      </c>
      <c r="E212" s="82">
        <f>IFERROR(__xludf.DUMMYFUNCTION("""COMPUTED_VALUE"""),0.0833333333284827)</f>
        <v>0.08333333333</v>
      </c>
      <c r="F212" s="137">
        <f>IFERROR(__xludf.DUMMYFUNCTION("""COMPUTED_VALUE"""),0.47916666666424135)</f>
        <v>0.4791666667</v>
      </c>
      <c r="G212" s="82">
        <f>IFERROR(__xludf.DUMMYFUNCTION("""COMPUTED_VALUE"""),0.0833333333284827)</f>
        <v>0.08333333333</v>
      </c>
      <c r="H212" s="115">
        <f>IFERROR(__xludf.DUMMYFUNCTION("""COMPUTED_VALUE"""),118.0)</f>
        <v>118</v>
      </c>
      <c r="I212" s="112">
        <f>IFERROR(__xludf.DUMMYFUNCTION("""COMPUTED_VALUE"""),59.00000000343425)</f>
        <v>59</v>
      </c>
      <c r="J212" s="74" t="str">
        <f>IFERROR(__xludf.DUMMYFUNCTION("""COMPUTED_VALUE"""),"Breakfast/Lunch")</f>
        <v>Breakfast/Lunch</v>
      </c>
      <c r="K212" s="113">
        <f>IFERROR(__xludf.DUMMYFUNCTION("""COMPUTED_VALUE"""),45965.0)</f>
        <v>45965</v>
      </c>
      <c r="L212" s="74" t="str">
        <f>IFERROR(__xludf.DUMMYFUNCTION("""COMPUTED_VALUE"""),"Tuesday")</f>
        <v>Tuesday</v>
      </c>
      <c r="M212" s="74" t="str">
        <f>IFERROR(__xludf.DUMMYFUNCTION("""COMPUTED_VALUE"""),"BF")</f>
        <v>BF</v>
      </c>
      <c r="N212" s="114">
        <f>IFERROR(__xludf.DUMMYFUNCTION("""COMPUTED_VALUE"""),1.0361271875502907)</f>
        <v>1.036127188</v>
      </c>
      <c r="O212" s="74" t="str">
        <f>IFERROR(__xludf.DUMMYFUNCTION("""COMPUTED_VALUE"""),"")</f>
        <v/>
      </c>
      <c r="P212" s="74" t="str">
        <f>IFERROR(__xludf.DUMMYFUNCTION("""COMPUTED_VALUE"""),"")</f>
        <v/>
      </c>
      <c r="Q212" s="82" t="str">
        <f>IFERROR(__xludf.DUMMYFUNCTION("""COMPUTED_VALUE"""),"")</f>
        <v/>
      </c>
      <c r="R212" s="82" t="str">
        <f>IFERROR(__xludf.DUMMYFUNCTION("""COMPUTED_VALUE"""),"")</f>
        <v/>
      </c>
      <c r="S212" s="63" t="str">
        <f>IFERROR(__xludf.DUMMYFUNCTION("""COMPUTED_VALUE"""),"")</f>
        <v/>
      </c>
      <c r="T212" s="63" t="str">
        <f>IFERROR(__xludf.DUMMYFUNCTION("""COMPUTED_VALUE"""),"")</f>
        <v/>
      </c>
      <c r="U212" s="138" t="str">
        <f>IFERROR(__xludf.DUMMYFUNCTION("""COMPUTED_VALUE"""),"")</f>
        <v/>
      </c>
      <c r="V212" s="82" t="str">
        <f>IFERROR(__xludf.DUMMYFUNCTION("""COMPUTED_VALUE"""),"")</f>
        <v/>
      </c>
      <c r="W212" s="64" t="str">
        <f>IFERROR(__xludf.DUMMYFUNCTION("""COMPUTED_VALUE"""),"")</f>
        <v/>
      </c>
      <c r="X212" s="64" t="str">
        <f>IFERROR(__xludf.DUMMYFUNCTION("""COMPUTED_VALUE"""),"")</f>
        <v/>
      </c>
      <c r="Y212" s="114" t="str">
        <f>IFERROR(__xludf.DUMMYFUNCTION("""COMPUTED_VALUE"""),"")</f>
        <v/>
      </c>
      <c r="Z212" s="118" t="str">
        <f>IFERROR(__xludf.DUMMYFUNCTION("""COMPUTED_VALUE"""),"")</f>
        <v/>
      </c>
      <c r="AA212" s="118" t="str">
        <f>IFERROR(__xludf.DUMMYFUNCTION("""COMPUTED_VALUE"""),"")</f>
        <v/>
      </c>
      <c r="AB212" s="74" t="str">
        <f>IFERROR(__xludf.DUMMYFUNCTION("""COMPUTED_VALUE"""),"")</f>
        <v/>
      </c>
    </row>
    <row r="213">
      <c r="A213" s="109">
        <f>IFERROR(__xludf.DUMMYFUNCTION("""COMPUTED_VALUE"""),45965.62690416667)</f>
        <v>45965.6269</v>
      </c>
      <c r="B213" s="81" t="str">
        <f>IFERROR(__xludf.DUMMYFUNCTION("""COMPUTED_VALUE"""),"Maureen Surgot")</f>
        <v>Maureen Surgot</v>
      </c>
      <c r="C213" s="74" t="b">
        <f>IFERROR(__xludf.DUMMYFUNCTION("""COMPUTED_VALUE"""),FALSE)</f>
        <v>0</v>
      </c>
      <c r="D213" s="137">
        <f>IFERROR(__xludf.DUMMYFUNCTION("""COMPUTED_VALUE"""),0.47916666666424135)</f>
        <v>0.4791666667</v>
      </c>
      <c r="E213" s="82">
        <f>IFERROR(__xludf.DUMMYFUNCTION("""COMPUTED_VALUE"""),0.14583333333575865)</f>
        <v>0.1458333333</v>
      </c>
      <c r="F213" s="137">
        <f>IFERROR(__xludf.DUMMYFUNCTION("""COMPUTED_VALUE"""),0.625)</f>
        <v>0.625</v>
      </c>
      <c r="G213" s="82">
        <f>IFERROR(__xludf.DUMMYFUNCTION("""COMPUTED_VALUE"""),0.14583333333575865)</f>
        <v>0.1458333333</v>
      </c>
      <c r="H213" s="115">
        <f>IFERROR(__xludf.DUMMYFUNCTION("""COMPUTED_VALUE"""),192.0)</f>
        <v>192</v>
      </c>
      <c r="I213" s="112">
        <f>IFERROR(__xludf.DUMMYFUNCTION("""COMPUTED_VALUE"""),54.85714285623054)</f>
        <v>54.85714286</v>
      </c>
      <c r="J213" s="74" t="str">
        <f>IFERROR(__xludf.DUMMYFUNCTION("""COMPUTED_VALUE"""),"Lunch")</f>
        <v>Lunch</v>
      </c>
      <c r="K213" s="113">
        <f>IFERROR(__xludf.DUMMYFUNCTION("""COMPUTED_VALUE"""),45965.0)</f>
        <v>45965</v>
      </c>
      <c r="L213" s="74" t="str">
        <f>IFERROR(__xludf.DUMMYFUNCTION("""COMPUTED_VALUE"""),"Tuesday")</f>
        <v>Tuesday</v>
      </c>
      <c r="M213" s="74" t="str">
        <f>IFERROR(__xludf.DUMMYFUNCTION("""COMPUTED_VALUE"""),"MF")</f>
        <v>MF</v>
      </c>
      <c r="N213" s="114">
        <f>IFERROR(__xludf.DUMMYFUNCTION("""COMPUTED_VALUE"""),1.140745685828995)</f>
        <v>1.140745686</v>
      </c>
      <c r="O213" s="74" t="str">
        <f>IFERROR(__xludf.DUMMYFUNCTION("""COMPUTED_VALUE"""),"")</f>
        <v/>
      </c>
      <c r="P213" s="74" t="str">
        <f>IFERROR(__xludf.DUMMYFUNCTION("""COMPUTED_VALUE"""),"")</f>
        <v/>
      </c>
      <c r="Q213" s="82" t="str">
        <f>IFERROR(__xludf.DUMMYFUNCTION("""COMPUTED_VALUE"""),"")</f>
        <v/>
      </c>
      <c r="R213" s="82" t="str">
        <f>IFERROR(__xludf.DUMMYFUNCTION("""COMPUTED_VALUE"""),"")</f>
        <v/>
      </c>
      <c r="S213" s="63" t="str">
        <f>IFERROR(__xludf.DUMMYFUNCTION("""COMPUTED_VALUE"""),"")</f>
        <v/>
      </c>
      <c r="T213" s="63" t="str">
        <f>IFERROR(__xludf.DUMMYFUNCTION("""COMPUTED_VALUE"""),"")</f>
        <v/>
      </c>
      <c r="U213" s="138" t="str">
        <f>IFERROR(__xludf.DUMMYFUNCTION("""COMPUTED_VALUE"""),"")</f>
        <v/>
      </c>
      <c r="V213" s="82" t="str">
        <f>IFERROR(__xludf.DUMMYFUNCTION("""COMPUTED_VALUE"""),"")</f>
        <v/>
      </c>
      <c r="W213" s="64" t="str">
        <f>IFERROR(__xludf.DUMMYFUNCTION("""COMPUTED_VALUE"""),"")</f>
        <v/>
      </c>
      <c r="X213" s="64" t="str">
        <f>IFERROR(__xludf.DUMMYFUNCTION("""COMPUTED_VALUE"""),"")</f>
        <v/>
      </c>
      <c r="Y213" s="114" t="str">
        <f>IFERROR(__xludf.DUMMYFUNCTION("""COMPUTED_VALUE"""),"")</f>
        <v/>
      </c>
      <c r="Z213" s="118" t="str">
        <f>IFERROR(__xludf.DUMMYFUNCTION("""COMPUTED_VALUE"""),"")</f>
        <v/>
      </c>
      <c r="AA213" s="118" t="str">
        <f>IFERROR(__xludf.DUMMYFUNCTION("""COMPUTED_VALUE"""),"")</f>
        <v/>
      </c>
      <c r="AB213" s="74" t="str">
        <f>IFERROR(__xludf.DUMMYFUNCTION("""COMPUTED_VALUE"""),"")</f>
        <v/>
      </c>
    </row>
    <row r="214">
      <c r="A214" s="109">
        <f>IFERROR(__xludf.DUMMYFUNCTION("""COMPUTED_VALUE"""),45965.65396491898)</f>
        <v>45965.65396</v>
      </c>
      <c r="B214" s="81" t="str">
        <f>IFERROR(__xludf.DUMMYFUNCTION("""COMPUTED_VALUE"""),"Brynn Hornig")</f>
        <v>Brynn Hornig</v>
      </c>
      <c r="C214" s="74" t="b">
        <f>IFERROR(__xludf.DUMMYFUNCTION("""COMPUTED_VALUE"""),FALSE)</f>
        <v>0</v>
      </c>
      <c r="D214" s="137">
        <f>IFERROR(__xludf.DUMMYFUNCTION("""COMPUTED_VALUE"""),0.5208333333357587)</f>
        <v>0.5208333333</v>
      </c>
      <c r="E214" s="82">
        <f>IFERROR(__xludf.DUMMYFUNCTION("""COMPUTED_VALUE"""),0.13541666666424135)</f>
        <v>0.1354166667</v>
      </c>
      <c r="F214" s="137">
        <f>IFERROR(__xludf.DUMMYFUNCTION("""COMPUTED_VALUE"""),0.65625)</f>
        <v>0.65625</v>
      </c>
      <c r="G214" s="82">
        <f>IFERROR(__xludf.DUMMYFUNCTION("""COMPUTED_VALUE"""),0.13541666666424135)</f>
        <v>0.1354166667</v>
      </c>
      <c r="H214" s="115">
        <f>IFERROR(__xludf.DUMMYFUNCTION("""COMPUTED_VALUE"""),79.0)</f>
        <v>79</v>
      </c>
      <c r="I214" s="112">
        <f>IFERROR(__xludf.DUMMYFUNCTION("""COMPUTED_VALUE"""),24.30769230812766)</f>
        <v>24.30769231</v>
      </c>
      <c r="J214" s="74" t="str">
        <f>IFERROR(__xludf.DUMMYFUNCTION("""COMPUTED_VALUE"""),"Lunch")</f>
        <v>Lunch</v>
      </c>
      <c r="K214" s="113">
        <f>IFERROR(__xludf.DUMMYFUNCTION("""COMPUTED_VALUE"""),45965.0)</f>
        <v>45965</v>
      </c>
      <c r="L214" s="74" t="str">
        <f>IFERROR(__xludf.DUMMYFUNCTION("""COMPUTED_VALUE"""),"Tuesday")</f>
        <v>Tuesday</v>
      </c>
      <c r="M214" s="74" t="str">
        <f>IFERROR(__xludf.DUMMYFUNCTION("""COMPUTED_VALUE"""),"BF")</f>
        <v>BF</v>
      </c>
      <c r="N214" s="114">
        <f>IFERROR(__xludf.DUMMYFUNCTION("""COMPUTED_VALUE"""),0.625991082971021)</f>
        <v>0.625991083</v>
      </c>
      <c r="O214" s="74" t="str">
        <f>IFERROR(__xludf.DUMMYFUNCTION("""COMPUTED_VALUE"""),"")</f>
        <v/>
      </c>
      <c r="P214" s="74" t="str">
        <f>IFERROR(__xludf.DUMMYFUNCTION("""COMPUTED_VALUE"""),"")</f>
        <v/>
      </c>
      <c r="Q214" s="82" t="str">
        <f>IFERROR(__xludf.DUMMYFUNCTION("""COMPUTED_VALUE"""),"")</f>
        <v/>
      </c>
      <c r="R214" s="82" t="str">
        <f>IFERROR(__xludf.DUMMYFUNCTION("""COMPUTED_VALUE"""),"")</f>
        <v/>
      </c>
      <c r="S214" s="63" t="str">
        <f>IFERROR(__xludf.DUMMYFUNCTION("""COMPUTED_VALUE"""),"")</f>
        <v/>
      </c>
      <c r="T214" s="63" t="str">
        <f>IFERROR(__xludf.DUMMYFUNCTION("""COMPUTED_VALUE"""),"")</f>
        <v/>
      </c>
      <c r="U214" s="138" t="str">
        <f>IFERROR(__xludf.DUMMYFUNCTION("""COMPUTED_VALUE"""),"")</f>
        <v/>
      </c>
      <c r="V214" s="82" t="str">
        <f>IFERROR(__xludf.DUMMYFUNCTION("""COMPUTED_VALUE"""),"")</f>
        <v/>
      </c>
      <c r="W214" s="64" t="str">
        <f>IFERROR(__xludf.DUMMYFUNCTION("""COMPUTED_VALUE"""),"")</f>
        <v/>
      </c>
      <c r="X214" s="64" t="str">
        <f>IFERROR(__xludf.DUMMYFUNCTION("""COMPUTED_VALUE"""),"")</f>
        <v/>
      </c>
      <c r="Y214" s="114" t="str">
        <f>IFERROR(__xludf.DUMMYFUNCTION("""COMPUTED_VALUE"""),"")</f>
        <v/>
      </c>
      <c r="Z214" s="118" t="str">
        <f>IFERROR(__xludf.DUMMYFUNCTION("""COMPUTED_VALUE"""),"")</f>
        <v/>
      </c>
      <c r="AA214" s="118" t="str">
        <f>IFERROR(__xludf.DUMMYFUNCTION("""COMPUTED_VALUE"""),"")</f>
        <v/>
      </c>
      <c r="AB214" s="74" t="str">
        <f>IFERROR(__xludf.DUMMYFUNCTION("""COMPUTED_VALUE"""),"")</f>
        <v/>
      </c>
    </row>
    <row r="215">
      <c r="A215" s="109">
        <f>IFERROR(__xludf.DUMMYFUNCTION("""COMPUTED_VALUE"""),45965.76771746528)</f>
        <v>45965.76772</v>
      </c>
      <c r="B215" s="81" t="str">
        <f>IFERROR(__xludf.DUMMYFUNCTION("""COMPUTED_VALUE"""),"Kyra Turner")</f>
        <v>Kyra Turner</v>
      </c>
      <c r="C215" s="74" t="b">
        <f>IFERROR(__xludf.DUMMYFUNCTION("""COMPUTED_VALUE"""),FALSE)</f>
        <v>0</v>
      </c>
      <c r="D215" s="137">
        <f>IFERROR(__xludf.DUMMYFUNCTION("""COMPUTED_VALUE"""),0.6875)</f>
        <v>0.6875</v>
      </c>
      <c r="E215" s="82">
        <f>IFERROR(__xludf.DUMMYFUNCTION("""COMPUTED_VALUE"""),0.07499999999708962)</f>
        <v>0.075</v>
      </c>
      <c r="F215" s="137">
        <f>IFERROR(__xludf.DUMMYFUNCTION("""COMPUTED_VALUE"""),0.7624999999970896)</f>
        <v>0.7625</v>
      </c>
      <c r="G215" s="82">
        <f>IFERROR(__xludf.DUMMYFUNCTION("""COMPUTED_VALUE"""),0.1027777777708252)</f>
        <v>0.1027777778</v>
      </c>
      <c r="H215" s="115">
        <f>IFERROR(__xludf.DUMMYFUNCTION("""COMPUTED_VALUE"""),82.0)</f>
        <v>82</v>
      </c>
      <c r="I215" s="112">
        <f>IFERROR(__xludf.DUMMYFUNCTION("""COMPUTED_VALUE"""),33.24324324549204)</f>
        <v>33.24324325</v>
      </c>
      <c r="J215" s="74" t="str">
        <f>IFERROR(__xludf.DUMMYFUNCTION("""COMPUTED_VALUE"""),"Dinner")</f>
        <v>Dinner</v>
      </c>
      <c r="K215" s="113">
        <f>IFERROR(__xludf.DUMMYFUNCTION("""COMPUTED_VALUE"""),45965.0)</f>
        <v>45965</v>
      </c>
      <c r="L215" s="74" t="str">
        <f>IFERROR(__xludf.DUMMYFUNCTION("""COMPUTED_VALUE"""),"Tuesday")</f>
        <v>Tuesday</v>
      </c>
      <c r="M215" s="74" t="str">
        <f>IFERROR(__xludf.DUMMYFUNCTION("""COMPUTED_VALUE"""),"BF")</f>
        <v>BF</v>
      </c>
      <c r="N215" s="114">
        <f>IFERROR(__xludf.DUMMYFUNCTION("""COMPUTED_VALUE"""),0.7845294009206905)</f>
        <v>0.7845294009</v>
      </c>
      <c r="O215" s="74" t="str">
        <f>IFERROR(__xludf.DUMMYFUNCTION("""COMPUTED_VALUE"""),"")</f>
        <v/>
      </c>
      <c r="P215" s="74" t="str">
        <f>IFERROR(__xludf.DUMMYFUNCTION("""COMPUTED_VALUE"""),"")</f>
        <v/>
      </c>
      <c r="Q215" s="82" t="str">
        <f>IFERROR(__xludf.DUMMYFUNCTION("""COMPUTED_VALUE"""),"")</f>
        <v/>
      </c>
      <c r="R215" s="82" t="str">
        <f>IFERROR(__xludf.DUMMYFUNCTION("""COMPUTED_VALUE"""),"")</f>
        <v/>
      </c>
      <c r="S215" s="63" t="str">
        <f>IFERROR(__xludf.DUMMYFUNCTION("""COMPUTED_VALUE"""),"")</f>
        <v/>
      </c>
      <c r="T215" s="63" t="str">
        <f>IFERROR(__xludf.DUMMYFUNCTION("""COMPUTED_VALUE"""),"")</f>
        <v/>
      </c>
      <c r="U215" s="138" t="str">
        <f>IFERROR(__xludf.DUMMYFUNCTION("""COMPUTED_VALUE"""),"")</f>
        <v/>
      </c>
      <c r="V215" s="82" t="str">
        <f>IFERROR(__xludf.DUMMYFUNCTION("""COMPUTED_VALUE"""),"")</f>
        <v/>
      </c>
      <c r="W215" s="64" t="str">
        <f>IFERROR(__xludf.DUMMYFUNCTION("""COMPUTED_VALUE"""),"")</f>
        <v/>
      </c>
      <c r="X215" s="64" t="str">
        <f>IFERROR(__xludf.DUMMYFUNCTION("""COMPUTED_VALUE"""),"")</f>
        <v/>
      </c>
      <c r="Y215" s="114" t="str">
        <f>IFERROR(__xludf.DUMMYFUNCTION("""COMPUTED_VALUE"""),"")</f>
        <v/>
      </c>
      <c r="Z215" s="118" t="str">
        <f>IFERROR(__xludf.DUMMYFUNCTION("""COMPUTED_VALUE"""),"")</f>
        <v/>
      </c>
      <c r="AA215" s="118" t="str">
        <f>IFERROR(__xludf.DUMMYFUNCTION("""COMPUTED_VALUE"""),"")</f>
        <v/>
      </c>
      <c r="AB215" s="74" t="str">
        <f>IFERROR(__xludf.DUMMYFUNCTION("""COMPUTED_VALUE"""),"")</f>
        <v/>
      </c>
    </row>
    <row r="216">
      <c r="A216" s="109">
        <f>IFERROR(__xludf.DUMMYFUNCTION("""COMPUTED_VALUE"""),45965.791311423614)</f>
        <v>45965.79131</v>
      </c>
      <c r="B216" s="81" t="str">
        <f>IFERROR(__xludf.DUMMYFUNCTION("""COMPUTED_VALUE"""),"Kyra Turner")</f>
        <v>Kyra Turner</v>
      </c>
      <c r="C216" s="74" t="b">
        <f>IFERROR(__xludf.DUMMYFUNCTION("""COMPUTED_VALUE"""),TRUE)</f>
        <v>1</v>
      </c>
      <c r="D216" s="137">
        <f>IFERROR(__xludf.DUMMYFUNCTION("""COMPUTED_VALUE"""),0.7638888888905058)</f>
        <v>0.7638888889</v>
      </c>
      <c r="E216" s="82">
        <f>IFERROR(__xludf.DUMMYFUNCTION("""COMPUTED_VALUE"""),0.02777777777373558)</f>
        <v>0.02777777777</v>
      </c>
      <c r="F216" s="137">
        <f>IFERROR(__xludf.DUMMYFUNCTION("""COMPUTED_VALUE"""),0.7916666666642413)</f>
        <v>0.7916666667</v>
      </c>
      <c r="G216" s="82" t="str">
        <f>IFERROR(__xludf.DUMMYFUNCTION("""COMPUTED_VALUE"""),"")</f>
        <v/>
      </c>
      <c r="H216" s="115">
        <f>IFERROR(__xludf.DUMMYFUNCTION("""COMPUTED_VALUE"""),49.0)</f>
        <v>49</v>
      </c>
      <c r="I216" s="112" t="str">
        <f>IFERROR(__xludf.DUMMYFUNCTION("""COMPUTED_VALUE"""),"")</f>
        <v/>
      </c>
      <c r="J216" s="74" t="str">
        <f>IFERROR(__xludf.DUMMYFUNCTION("""COMPUTED_VALUE"""),"Dinner")</f>
        <v>Dinner</v>
      </c>
      <c r="K216" s="113">
        <f>IFERROR(__xludf.DUMMYFUNCTION("""COMPUTED_VALUE"""),45965.0)</f>
        <v>45965</v>
      </c>
      <c r="L216" s="74" t="str">
        <f>IFERROR(__xludf.DUMMYFUNCTION("""COMPUTED_VALUE"""),"Tuesday")</f>
        <v>Tuesday</v>
      </c>
      <c r="M216" s="74" t="str">
        <f>IFERROR(__xludf.DUMMYFUNCTION("""COMPUTED_VALUE"""),"BF")</f>
        <v>BF</v>
      </c>
      <c r="N216" s="114" t="str">
        <f>IFERROR(__xludf.DUMMYFUNCTION("""COMPUTED_VALUE"""),"")</f>
        <v/>
      </c>
      <c r="O216" s="74" t="str">
        <f>IFERROR(__xludf.DUMMYFUNCTION("""COMPUTED_VALUE"""),"")</f>
        <v/>
      </c>
      <c r="P216" s="74" t="str">
        <f>IFERROR(__xludf.DUMMYFUNCTION("""COMPUTED_VALUE"""),"")</f>
        <v/>
      </c>
      <c r="Q216" s="82" t="str">
        <f>IFERROR(__xludf.DUMMYFUNCTION("""COMPUTED_VALUE"""),"")</f>
        <v/>
      </c>
      <c r="R216" s="82" t="str">
        <f>IFERROR(__xludf.DUMMYFUNCTION("""COMPUTED_VALUE"""),"")</f>
        <v/>
      </c>
      <c r="S216" s="63" t="str">
        <f>IFERROR(__xludf.DUMMYFUNCTION("""COMPUTED_VALUE"""),"")</f>
        <v/>
      </c>
      <c r="T216" s="63" t="str">
        <f>IFERROR(__xludf.DUMMYFUNCTION("""COMPUTED_VALUE"""),"")</f>
        <v/>
      </c>
      <c r="U216" s="138" t="str">
        <f>IFERROR(__xludf.DUMMYFUNCTION("""COMPUTED_VALUE"""),"")</f>
        <v/>
      </c>
      <c r="V216" s="82" t="str">
        <f>IFERROR(__xludf.DUMMYFUNCTION("""COMPUTED_VALUE"""),"")</f>
        <v/>
      </c>
      <c r="W216" s="64" t="str">
        <f>IFERROR(__xludf.DUMMYFUNCTION("""COMPUTED_VALUE"""),"")</f>
        <v/>
      </c>
      <c r="X216" s="64" t="str">
        <f>IFERROR(__xludf.DUMMYFUNCTION("""COMPUTED_VALUE"""),"")</f>
        <v/>
      </c>
      <c r="Y216" s="114" t="str">
        <f>IFERROR(__xludf.DUMMYFUNCTION("""COMPUTED_VALUE"""),"")</f>
        <v/>
      </c>
      <c r="Z216" s="118" t="str">
        <f>IFERROR(__xludf.DUMMYFUNCTION("""COMPUTED_VALUE"""),"")</f>
        <v/>
      </c>
      <c r="AA216" s="118" t="str">
        <f>IFERROR(__xludf.DUMMYFUNCTION("""COMPUTED_VALUE"""),"")</f>
        <v/>
      </c>
      <c r="AB216" s="74" t="str">
        <f>IFERROR(__xludf.DUMMYFUNCTION("""COMPUTED_VALUE"""),"")</f>
        <v/>
      </c>
    </row>
    <row r="217">
      <c r="A217" s="109">
        <f>IFERROR(__xludf.DUMMYFUNCTION("""COMPUTED_VALUE"""),45965.86600618056)</f>
        <v>45965.86601</v>
      </c>
      <c r="B217" s="81" t="str">
        <f>IFERROR(__xludf.DUMMYFUNCTION("""COMPUTED_VALUE"""),"Kaylie Forgue")</f>
        <v>Kaylie Forgue</v>
      </c>
      <c r="C217" s="74" t="b">
        <f>IFERROR(__xludf.DUMMYFUNCTION("""COMPUTED_VALUE"""),FALSE)</f>
        <v>0</v>
      </c>
      <c r="D217" s="137">
        <f>IFERROR(__xludf.DUMMYFUNCTION("""COMPUTED_VALUE"""),0.7881944444452529)</f>
        <v>0.7881944444</v>
      </c>
      <c r="E217" s="82">
        <f>IFERROR(__xludf.DUMMYFUNCTION("""COMPUTED_VALUE"""),0.07361111111094942)</f>
        <v>0.07361111111</v>
      </c>
      <c r="F217" s="137">
        <f>IFERROR(__xludf.DUMMYFUNCTION("""COMPUTED_VALUE"""),0.8618055555562023)</f>
        <v>0.8618055556</v>
      </c>
      <c r="G217" s="82">
        <f>IFERROR(__xludf.DUMMYFUNCTION("""COMPUTED_VALUE"""),0.07361111111094942)</f>
        <v>0.07361111111</v>
      </c>
      <c r="H217" s="115">
        <f>IFERROR(__xludf.DUMMYFUNCTION("""COMPUTED_VALUE"""),63.0)</f>
        <v>63</v>
      </c>
      <c r="I217" s="112">
        <f>IFERROR(__xludf.DUMMYFUNCTION("""COMPUTED_VALUE"""),35.660377358568894)</f>
        <v>35.66037736</v>
      </c>
      <c r="J217" s="74" t="str">
        <f>IFERROR(__xludf.DUMMYFUNCTION("""COMPUTED_VALUE"""),"Dinner")</f>
        <v>Dinner</v>
      </c>
      <c r="K217" s="113">
        <f>IFERROR(__xludf.DUMMYFUNCTION("""COMPUTED_VALUE"""),45965.0)</f>
        <v>45965</v>
      </c>
      <c r="L217" s="74" t="str">
        <f>IFERROR(__xludf.DUMMYFUNCTION("""COMPUTED_VALUE"""),"Tuesday")</f>
        <v>Tuesday</v>
      </c>
      <c r="M217" s="74" t="str">
        <f>IFERROR(__xludf.DUMMYFUNCTION("""COMPUTED_VALUE"""),"BF")</f>
        <v>BF</v>
      </c>
      <c r="N217" s="114">
        <f>IFERROR(__xludf.DUMMYFUNCTION("""COMPUTED_VALUE"""),0.841572956017689)</f>
        <v>0.841572956</v>
      </c>
      <c r="O217" s="74">
        <f>IFERROR(__xludf.DUMMYFUNCTION("""COMPUTED_VALUE"""),192.0)</f>
        <v>192</v>
      </c>
      <c r="P217" s="74">
        <f>IFERROR(__xludf.DUMMYFUNCTION("""COMPUTED_VALUE"""),444.0)</f>
        <v>444</v>
      </c>
      <c r="Q217" s="82">
        <f>IFERROR(__xludf.DUMMYFUNCTION("""COMPUTED_VALUE"""),0.14583333333575865)</f>
        <v>0.1458333333</v>
      </c>
      <c r="R217" s="82">
        <f>IFERROR(__xludf.DUMMYFUNCTION("""COMPUTED_VALUE"""),0.5374999999912689)</f>
        <v>0.5375</v>
      </c>
      <c r="S217" s="63">
        <f>IFERROR(__xludf.DUMMYFUNCTION("""COMPUTED_VALUE"""),54.85714285623054)</f>
        <v>54.85714286</v>
      </c>
      <c r="T217" s="63">
        <f>IFERROR(__xludf.DUMMYFUNCTION("""COMPUTED_VALUE"""),33.54470160739148)</f>
        <v>33.54470161</v>
      </c>
      <c r="U217" s="138">
        <f>IFERROR(__xludf.DUMMYFUNCTION("""COMPUTED_VALUE"""),636.0)</f>
        <v>636</v>
      </c>
      <c r="V217" s="82">
        <f>IFERROR(__xludf.DUMMYFUNCTION("""COMPUTED_VALUE"""),0.6833333333270275)</f>
        <v>0.6833333333</v>
      </c>
      <c r="W217" s="64">
        <f>IFERROR(__xludf.DUMMYFUNCTION("""COMPUTED_VALUE"""),38.780487805235914)</f>
        <v>38.78048781</v>
      </c>
      <c r="X217" s="64">
        <f>IFERROR(__xludf.DUMMYFUNCTION("""COMPUTED_VALUE"""),37.09677514886466)</f>
        <v>37.09677515</v>
      </c>
      <c r="Y217" s="114">
        <f>IFERROR(__xludf.DUMMYFUNCTION("""COMPUTED_VALUE"""),0.7043358275590255)</f>
        <v>0.7043358276</v>
      </c>
      <c r="Z217" s="118">
        <f>IFERROR(__xludf.DUMMYFUNCTION("""COMPUTED_VALUE"""),4436.0)</f>
        <v>4436</v>
      </c>
      <c r="AA217" s="118">
        <f>IFERROR(__xludf.DUMMYFUNCTION("""COMPUTED_VALUE"""),3565.0)</f>
        <v>3565</v>
      </c>
      <c r="AB217" s="118">
        <f>IFERROR(__xludf.DUMMYFUNCTION("""COMPUTED_VALUE"""),8001.0)</f>
        <v>8001</v>
      </c>
    </row>
    <row r="218">
      <c r="A218" s="109">
        <f>IFERROR(__xludf.DUMMYFUNCTION("""COMPUTED_VALUE"""),45966.623965023144)</f>
        <v>45966.62397</v>
      </c>
      <c r="B218" s="81" t="str">
        <f>IFERROR(__xludf.DUMMYFUNCTION("""COMPUTED_VALUE"""),"Sarah Wilme")</f>
        <v>Sarah Wilme</v>
      </c>
      <c r="C218" s="74" t="b">
        <f>IFERROR(__xludf.DUMMYFUNCTION("""COMPUTED_VALUE"""),FALSE)</f>
        <v>0</v>
      </c>
      <c r="D218" s="137">
        <f>IFERROR(__xludf.DUMMYFUNCTION("""COMPUTED_VALUE"""),0.523611111115315)</f>
        <v>0.5236111111</v>
      </c>
      <c r="E218" s="82">
        <f>IFERROR(__xludf.DUMMYFUNCTION("""COMPUTED_VALUE"""),0.09999999999579612)</f>
        <v>0.1</v>
      </c>
      <c r="F218" s="137">
        <f>IFERROR(__xludf.DUMMYFUNCTION("""COMPUTED_VALUE"""),0.6236111111111111)</f>
        <v>0.6236111111</v>
      </c>
      <c r="G218" s="82">
        <f>IFERROR(__xludf.DUMMYFUNCTION("""COMPUTED_VALUE"""),0.09999999999579612)</f>
        <v>0.1</v>
      </c>
      <c r="H218" s="115">
        <f>IFERROR(__xludf.DUMMYFUNCTION("""COMPUTED_VALUE"""),99.0)</f>
        <v>99</v>
      </c>
      <c r="I218" s="112">
        <f>IFERROR(__xludf.DUMMYFUNCTION("""COMPUTED_VALUE"""),41.2500000017341)</f>
        <v>41.25</v>
      </c>
      <c r="J218" s="74" t="str">
        <f>IFERROR(__xludf.DUMMYFUNCTION("""COMPUTED_VALUE"""),"Lunch")</f>
        <v>Lunch</v>
      </c>
      <c r="K218" s="113">
        <f>IFERROR(__xludf.DUMMYFUNCTION("""COMPUTED_VALUE"""),45966.0)</f>
        <v>45966</v>
      </c>
      <c r="L218" s="74" t="str">
        <f>IFERROR(__xludf.DUMMYFUNCTION("""COMPUTED_VALUE"""),"Wednesday")</f>
        <v>Wednesday</v>
      </c>
      <c r="M218" s="74" t="str">
        <f>IFERROR(__xludf.DUMMYFUNCTION("""COMPUTED_VALUE"""),"BF")</f>
        <v>BF</v>
      </c>
      <c r="N218" s="114">
        <f>IFERROR(__xludf.DUMMYFUNCTION("""COMPUTED_VALUE"""),1.0623029058585751)</f>
        <v>1.062302906</v>
      </c>
      <c r="O218" s="74" t="str">
        <f>IFERROR(__xludf.DUMMYFUNCTION("""COMPUTED_VALUE"""),"")</f>
        <v/>
      </c>
      <c r="P218" s="74" t="str">
        <f>IFERROR(__xludf.DUMMYFUNCTION("""COMPUTED_VALUE"""),"")</f>
        <v/>
      </c>
      <c r="Q218" s="82" t="str">
        <f>IFERROR(__xludf.DUMMYFUNCTION("""COMPUTED_VALUE"""),"")</f>
        <v/>
      </c>
      <c r="R218" s="82" t="str">
        <f>IFERROR(__xludf.DUMMYFUNCTION("""COMPUTED_VALUE"""),"")</f>
        <v/>
      </c>
      <c r="S218" s="63" t="str">
        <f>IFERROR(__xludf.DUMMYFUNCTION("""COMPUTED_VALUE"""),"")</f>
        <v/>
      </c>
      <c r="T218" s="63" t="str">
        <f>IFERROR(__xludf.DUMMYFUNCTION("""COMPUTED_VALUE"""),"")</f>
        <v/>
      </c>
      <c r="U218" s="138" t="str">
        <f>IFERROR(__xludf.DUMMYFUNCTION("""COMPUTED_VALUE"""),"")</f>
        <v/>
      </c>
      <c r="V218" s="82" t="str">
        <f>IFERROR(__xludf.DUMMYFUNCTION("""COMPUTED_VALUE"""),"")</f>
        <v/>
      </c>
      <c r="W218" s="64" t="str">
        <f>IFERROR(__xludf.DUMMYFUNCTION("""COMPUTED_VALUE"""),"")</f>
        <v/>
      </c>
      <c r="X218" s="64" t="str">
        <f>IFERROR(__xludf.DUMMYFUNCTION("""COMPUTED_VALUE"""),"")</f>
        <v/>
      </c>
      <c r="Y218" s="114" t="str">
        <f>IFERROR(__xludf.DUMMYFUNCTION("""COMPUTED_VALUE"""),"")</f>
        <v/>
      </c>
      <c r="Z218" s="118" t="str">
        <f>IFERROR(__xludf.DUMMYFUNCTION("""COMPUTED_VALUE"""),"")</f>
        <v/>
      </c>
      <c r="AA218" s="118" t="str">
        <f>IFERROR(__xludf.DUMMYFUNCTION("""COMPUTED_VALUE"""),"")</f>
        <v/>
      </c>
      <c r="AB218" s="74" t="str">
        <f>IFERROR(__xludf.DUMMYFUNCTION("""COMPUTED_VALUE"""),"")</f>
        <v/>
      </c>
    </row>
    <row r="219">
      <c r="A219" s="109">
        <f>IFERROR(__xludf.DUMMYFUNCTION("""COMPUTED_VALUE"""),45966.63157795139)</f>
        <v>45966.63158</v>
      </c>
      <c r="B219" s="81" t="str">
        <f>IFERROR(__xludf.DUMMYFUNCTION("""COMPUTED_VALUE"""),"Greta Traynor")</f>
        <v>Greta Traynor</v>
      </c>
      <c r="C219" s="74" t="b">
        <f>IFERROR(__xludf.DUMMYFUNCTION("""COMPUTED_VALUE"""),FALSE)</f>
        <v>0</v>
      </c>
      <c r="D219" s="137">
        <f>IFERROR(__xludf.DUMMYFUNCTION("""COMPUTED_VALUE"""),0.5645833333328483)</f>
        <v>0.5645833333</v>
      </c>
      <c r="E219" s="82">
        <f>IFERROR(__xludf.DUMMYFUNCTION("""COMPUTED_VALUE"""),0.06666666666569654)</f>
        <v>0.06666666667</v>
      </c>
      <c r="F219" s="137">
        <f>IFERROR(__xludf.DUMMYFUNCTION("""COMPUTED_VALUE"""),0.6312499999985448)</f>
        <v>0.63125</v>
      </c>
      <c r="G219" s="82">
        <f>IFERROR(__xludf.DUMMYFUNCTION("""COMPUTED_VALUE"""),0.06666666666569654)</f>
        <v>0.06666666667</v>
      </c>
      <c r="H219" s="115">
        <f>IFERROR(__xludf.DUMMYFUNCTION("""COMPUTED_VALUE"""),67.0)</f>
        <v>67</v>
      </c>
      <c r="I219" s="112">
        <f>IFERROR(__xludf.DUMMYFUNCTION("""COMPUTED_VALUE"""),41.87500000060936)</f>
        <v>41.875</v>
      </c>
      <c r="J219" s="74" t="str">
        <f>IFERROR(__xludf.DUMMYFUNCTION("""COMPUTED_VALUE"""),"Lunch")</f>
        <v>Lunch</v>
      </c>
      <c r="K219" s="113">
        <f>IFERROR(__xludf.DUMMYFUNCTION("""COMPUTED_VALUE"""),45966.0)</f>
        <v>45966</v>
      </c>
      <c r="L219" s="74" t="str">
        <f>IFERROR(__xludf.DUMMYFUNCTION("""COMPUTED_VALUE"""),"Wednesday")</f>
        <v>Wednesday</v>
      </c>
      <c r="M219" s="74" t="str">
        <f>IFERROR(__xludf.DUMMYFUNCTION("""COMPUTED_VALUE"""),"MF")</f>
        <v>MF</v>
      </c>
      <c r="N219" s="114">
        <f>IFERROR(__xludf.DUMMYFUNCTION("""COMPUTED_VALUE"""),0.8707840603360705)</f>
        <v>0.8707840603</v>
      </c>
      <c r="O219" s="74" t="str">
        <f>IFERROR(__xludf.DUMMYFUNCTION("""COMPUTED_VALUE"""),"")</f>
        <v/>
      </c>
      <c r="P219" s="74" t="str">
        <f>IFERROR(__xludf.DUMMYFUNCTION("""COMPUTED_VALUE"""),"")</f>
        <v/>
      </c>
      <c r="Q219" s="82" t="str">
        <f>IFERROR(__xludf.DUMMYFUNCTION("""COMPUTED_VALUE"""),"")</f>
        <v/>
      </c>
      <c r="R219" s="82" t="str">
        <f>IFERROR(__xludf.DUMMYFUNCTION("""COMPUTED_VALUE"""),"")</f>
        <v/>
      </c>
      <c r="S219" s="63" t="str">
        <f>IFERROR(__xludf.DUMMYFUNCTION("""COMPUTED_VALUE"""),"")</f>
        <v/>
      </c>
      <c r="T219" s="63" t="str">
        <f>IFERROR(__xludf.DUMMYFUNCTION("""COMPUTED_VALUE"""),"")</f>
        <v/>
      </c>
      <c r="U219" s="138" t="str">
        <f>IFERROR(__xludf.DUMMYFUNCTION("""COMPUTED_VALUE"""),"")</f>
        <v/>
      </c>
      <c r="V219" s="82" t="str">
        <f>IFERROR(__xludf.DUMMYFUNCTION("""COMPUTED_VALUE"""),"")</f>
        <v/>
      </c>
      <c r="W219" s="64" t="str">
        <f>IFERROR(__xludf.DUMMYFUNCTION("""COMPUTED_VALUE"""),"")</f>
        <v/>
      </c>
      <c r="X219" s="64" t="str">
        <f>IFERROR(__xludf.DUMMYFUNCTION("""COMPUTED_VALUE"""),"")</f>
        <v/>
      </c>
      <c r="Y219" s="114" t="str">
        <f>IFERROR(__xludf.DUMMYFUNCTION("""COMPUTED_VALUE"""),"")</f>
        <v/>
      </c>
      <c r="Z219" s="118" t="str">
        <f>IFERROR(__xludf.DUMMYFUNCTION("""COMPUTED_VALUE"""),"")</f>
        <v/>
      </c>
      <c r="AA219" s="118" t="str">
        <f>IFERROR(__xludf.DUMMYFUNCTION("""COMPUTED_VALUE"""),"")</f>
        <v/>
      </c>
      <c r="AB219" s="74" t="str">
        <f>IFERROR(__xludf.DUMMYFUNCTION("""COMPUTED_VALUE"""),"")</f>
        <v/>
      </c>
    </row>
    <row r="220">
      <c r="A220" s="109">
        <f>IFERROR(__xludf.DUMMYFUNCTION("""COMPUTED_VALUE"""),45966.708209247685)</f>
        <v>45966.70821</v>
      </c>
      <c r="B220" s="81" t="str">
        <f>IFERROR(__xludf.DUMMYFUNCTION("""COMPUTED_VALUE"""),"Orpheus Wilson")</f>
        <v>Orpheus Wilson</v>
      </c>
      <c r="C220" s="74" t="b">
        <f>IFERROR(__xludf.DUMMYFUNCTION("""COMPUTED_VALUE"""),FALSE)</f>
        <v>0</v>
      </c>
      <c r="D220" s="137">
        <f>IFERROR(__xludf.DUMMYFUNCTION("""COMPUTED_VALUE"""),0.6916666666656965)</f>
        <v>0.6916666667</v>
      </c>
      <c r="E220" s="82">
        <f>IFERROR(__xludf.DUMMYFUNCTION("""COMPUTED_VALUE"""),0.011111111110949423)</f>
        <v>0.01111111111</v>
      </c>
      <c r="F220" s="137">
        <f>IFERROR(__xludf.DUMMYFUNCTION("""COMPUTED_VALUE"""),0.702777777776646)</f>
        <v>0.7027777778</v>
      </c>
      <c r="G220" s="82">
        <f>IFERROR(__xludf.DUMMYFUNCTION("""COMPUTED_VALUE"""),0.04861111111677019)</f>
        <v>0.04861111112</v>
      </c>
      <c r="H220" s="115">
        <f>IFERROR(__xludf.DUMMYFUNCTION("""COMPUTED_VALUE"""),27.0)</f>
        <v>27</v>
      </c>
      <c r="I220" s="112">
        <f>IFERROR(__xludf.DUMMYFUNCTION("""COMPUTED_VALUE"""),23.14285714016296)</f>
        <v>23.14285714</v>
      </c>
      <c r="J220" s="74" t="str">
        <f>IFERROR(__xludf.DUMMYFUNCTION("""COMPUTED_VALUE"""),"Dinner")</f>
        <v>Dinner</v>
      </c>
      <c r="K220" s="113">
        <f>IFERROR(__xludf.DUMMYFUNCTION("""COMPUTED_VALUE"""),45966.0)</f>
        <v>45966</v>
      </c>
      <c r="L220" s="74" t="str">
        <f>IFERROR(__xludf.DUMMYFUNCTION("""COMPUTED_VALUE"""),"Wednesday")</f>
        <v>Wednesday</v>
      </c>
      <c r="M220" s="74" t="str">
        <f>IFERROR(__xludf.DUMMYFUNCTION("""COMPUTED_VALUE"""),"MF")</f>
        <v>MF</v>
      </c>
      <c r="N220" s="114">
        <f>IFERROR(__xludf.DUMMYFUNCTION("""COMPUTED_VALUE"""),0.45602967954081325)</f>
        <v>0.4560296795</v>
      </c>
      <c r="O220" s="74" t="str">
        <f>IFERROR(__xludf.DUMMYFUNCTION("""COMPUTED_VALUE"""),"")</f>
        <v/>
      </c>
      <c r="P220" s="74" t="str">
        <f>IFERROR(__xludf.DUMMYFUNCTION("""COMPUTED_VALUE"""),"")</f>
        <v/>
      </c>
      <c r="Q220" s="82" t="str">
        <f>IFERROR(__xludf.DUMMYFUNCTION("""COMPUTED_VALUE"""),"")</f>
        <v/>
      </c>
      <c r="R220" s="82" t="str">
        <f>IFERROR(__xludf.DUMMYFUNCTION("""COMPUTED_VALUE"""),"")</f>
        <v/>
      </c>
      <c r="S220" s="63" t="str">
        <f>IFERROR(__xludf.DUMMYFUNCTION("""COMPUTED_VALUE"""),"")</f>
        <v/>
      </c>
      <c r="T220" s="63" t="str">
        <f>IFERROR(__xludf.DUMMYFUNCTION("""COMPUTED_VALUE"""),"")</f>
        <v/>
      </c>
      <c r="U220" s="138" t="str">
        <f>IFERROR(__xludf.DUMMYFUNCTION("""COMPUTED_VALUE"""),"")</f>
        <v/>
      </c>
      <c r="V220" s="82" t="str">
        <f>IFERROR(__xludf.DUMMYFUNCTION("""COMPUTED_VALUE"""),"")</f>
        <v/>
      </c>
      <c r="W220" s="64" t="str">
        <f>IFERROR(__xludf.DUMMYFUNCTION("""COMPUTED_VALUE"""),"")</f>
        <v/>
      </c>
      <c r="X220" s="64" t="str">
        <f>IFERROR(__xludf.DUMMYFUNCTION("""COMPUTED_VALUE"""),"")</f>
        <v/>
      </c>
      <c r="Y220" s="114" t="str">
        <f>IFERROR(__xludf.DUMMYFUNCTION("""COMPUTED_VALUE"""),"")</f>
        <v/>
      </c>
      <c r="Z220" s="118" t="str">
        <f>IFERROR(__xludf.DUMMYFUNCTION("""COMPUTED_VALUE"""),"")</f>
        <v/>
      </c>
      <c r="AA220" s="118" t="str">
        <f>IFERROR(__xludf.DUMMYFUNCTION("""COMPUTED_VALUE"""),"")</f>
        <v/>
      </c>
      <c r="AB220" s="74" t="str">
        <f>IFERROR(__xludf.DUMMYFUNCTION("""COMPUTED_VALUE"""),"")</f>
        <v/>
      </c>
    </row>
    <row r="221">
      <c r="A221" s="109">
        <f>IFERROR(__xludf.DUMMYFUNCTION("""COMPUTED_VALUE"""),45966.747607673606)</f>
        <v>45966.74761</v>
      </c>
      <c r="B221" s="81" t="str">
        <f>IFERROR(__xludf.DUMMYFUNCTION("""COMPUTED_VALUE"""),"Orpheus Wilson")</f>
        <v>Orpheus Wilson</v>
      </c>
      <c r="C221" s="74" t="b">
        <f>IFERROR(__xludf.DUMMYFUNCTION("""COMPUTED_VALUE"""),TRUE)</f>
        <v>1</v>
      </c>
      <c r="D221" s="137">
        <f>IFERROR(__xludf.DUMMYFUNCTION("""COMPUTED_VALUE"""),0.7090277777751908)</f>
        <v>0.7090277778</v>
      </c>
      <c r="E221" s="82">
        <f>IFERROR(__xludf.DUMMYFUNCTION("""COMPUTED_VALUE"""),0.037500000005820766)</f>
        <v>0.03750000001</v>
      </c>
      <c r="F221" s="137">
        <f>IFERROR(__xludf.DUMMYFUNCTION("""COMPUTED_VALUE"""),0.7465277777810115)</f>
        <v>0.7465277778</v>
      </c>
      <c r="G221" s="82" t="str">
        <f>IFERROR(__xludf.DUMMYFUNCTION("""COMPUTED_VALUE"""),"")</f>
        <v/>
      </c>
      <c r="H221" s="115">
        <f>IFERROR(__xludf.DUMMYFUNCTION("""COMPUTED_VALUE"""),57.0)</f>
        <v>57</v>
      </c>
      <c r="I221" s="112" t="str">
        <f>IFERROR(__xludf.DUMMYFUNCTION("""COMPUTED_VALUE"""),"")</f>
        <v/>
      </c>
      <c r="J221" s="74" t="str">
        <f>IFERROR(__xludf.DUMMYFUNCTION("""COMPUTED_VALUE"""),"Dinner")</f>
        <v>Dinner</v>
      </c>
      <c r="K221" s="113">
        <f>IFERROR(__xludf.DUMMYFUNCTION("""COMPUTED_VALUE"""),45966.0)</f>
        <v>45966</v>
      </c>
      <c r="L221" s="74" t="str">
        <f>IFERROR(__xludf.DUMMYFUNCTION("""COMPUTED_VALUE"""),"Wednesday")</f>
        <v>Wednesday</v>
      </c>
      <c r="M221" s="74" t="str">
        <f>IFERROR(__xludf.DUMMYFUNCTION("""COMPUTED_VALUE"""),"MF")</f>
        <v>MF</v>
      </c>
      <c r="N221" s="114" t="str">
        <f>IFERROR(__xludf.DUMMYFUNCTION("""COMPUTED_VALUE"""),"")</f>
        <v/>
      </c>
      <c r="O221" s="74" t="str">
        <f>IFERROR(__xludf.DUMMYFUNCTION("""COMPUTED_VALUE"""),"")</f>
        <v/>
      </c>
      <c r="P221" s="74" t="str">
        <f>IFERROR(__xludf.DUMMYFUNCTION("""COMPUTED_VALUE"""),"")</f>
        <v/>
      </c>
      <c r="Q221" s="82" t="str">
        <f>IFERROR(__xludf.DUMMYFUNCTION("""COMPUTED_VALUE"""),"")</f>
        <v/>
      </c>
      <c r="R221" s="82" t="str">
        <f>IFERROR(__xludf.DUMMYFUNCTION("""COMPUTED_VALUE"""),"")</f>
        <v/>
      </c>
      <c r="S221" s="63" t="str">
        <f>IFERROR(__xludf.DUMMYFUNCTION("""COMPUTED_VALUE"""),"")</f>
        <v/>
      </c>
      <c r="T221" s="63" t="str">
        <f>IFERROR(__xludf.DUMMYFUNCTION("""COMPUTED_VALUE"""),"")</f>
        <v/>
      </c>
      <c r="U221" s="138" t="str">
        <f>IFERROR(__xludf.DUMMYFUNCTION("""COMPUTED_VALUE"""),"")</f>
        <v/>
      </c>
      <c r="V221" s="82" t="str">
        <f>IFERROR(__xludf.DUMMYFUNCTION("""COMPUTED_VALUE"""),"")</f>
        <v/>
      </c>
      <c r="W221" s="64" t="str">
        <f>IFERROR(__xludf.DUMMYFUNCTION("""COMPUTED_VALUE"""),"")</f>
        <v/>
      </c>
      <c r="X221" s="64" t="str">
        <f>IFERROR(__xludf.DUMMYFUNCTION("""COMPUTED_VALUE"""),"")</f>
        <v/>
      </c>
      <c r="Y221" s="114" t="str">
        <f>IFERROR(__xludf.DUMMYFUNCTION("""COMPUTED_VALUE"""),"")</f>
        <v/>
      </c>
      <c r="Z221" s="118" t="str">
        <f>IFERROR(__xludf.DUMMYFUNCTION("""COMPUTED_VALUE"""),"")</f>
        <v/>
      </c>
      <c r="AA221" s="118" t="str">
        <f>IFERROR(__xludf.DUMMYFUNCTION("""COMPUTED_VALUE"""),"")</f>
        <v/>
      </c>
      <c r="AB221" s="74" t="str">
        <f>IFERROR(__xludf.DUMMYFUNCTION("""COMPUTED_VALUE"""),"")</f>
        <v/>
      </c>
    </row>
    <row r="222">
      <c r="A222" s="109">
        <f>IFERROR(__xludf.DUMMYFUNCTION("""COMPUTED_VALUE"""),45966.87402778935)</f>
        <v>45966.87403</v>
      </c>
      <c r="B222" s="81" t="str">
        <f>IFERROR(__xludf.DUMMYFUNCTION("""COMPUTED_VALUE"""),"Kaylie Forgue")</f>
        <v>Kaylie Forgue</v>
      </c>
      <c r="C222" s="74" t="b">
        <f>IFERROR(__xludf.DUMMYFUNCTION("""COMPUTED_VALUE"""),FALSE)</f>
        <v>0</v>
      </c>
      <c r="D222" s="137">
        <f>IFERROR(__xludf.DUMMYFUNCTION("""COMPUTED_VALUE"""),0.7465277777810115)</f>
        <v>0.7465277778</v>
      </c>
      <c r="E222" s="82">
        <f>IFERROR(__xludf.DUMMYFUNCTION("""COMPUTED_VALUE"""),0.11944444444088731)</f>
        <v>0.1194444444</v>
      </c>
      <c r="F222" s="137">
        <f>IFERROR(__xludf.DUMMYFUNCTION("""COMPUTED_VALUE"""),0.8659722222218988)</f>
        <v>0.8659722222</v>
      </c>
      <c r="G222" s="82">
        <f>IFERROR(__xludf.DUMMYFUNCTION("""COMPUTED_VALUE"""),0.11944444444088731)</f>
        <v>0.1194444444</v>
      </c>
      <c r="H222" s="115">
        <f>IFERROR(__xludf.DUMMYFUNCTION("""COMPUTED_VALUE"""),178.0)</f>
        <v>178</v>
      </c>
      <c r="I222" s="112">
        <f>IFERROR(__xludf.DUMMYFUNCTION("""COMPUTED_VALUE"""),62.09302325766313)</f>
        <v>62.09302326</v>
      </c>
      <c r="J222" s="74" t="str">
        <f>IFERROR(__xludf.DUMMYFUNCTION("""COMPUTED_VALUE"""),"Dinner")</f>
        <v>Dinner</v>
      </c>
      <c r="K222" s="113">
        <f>IFERROR(__xludf.DUMMYFUNCTION("""COMPUTED_VALUE"""),45966.0)</f>
        <v>45966</v>
      </c>
      <c r="L222" s="74" t="str">
        <f>IFERROR(__xludf.DUMMYFUNCTION("""COMPUTED_VALUE"""),"Wednesday")</f>
        <v>Wednesday</v>
      </c>
      <c r="M222" s="74" t="str">
        <f>IFERROR(__xludf.DUMMYFUNCTION("""COMPUTED_VALUE"""),"MF")</f>
        <v>MF</v>
      </c>
      <c r="N222" s="114">
        <f>IFERROR(__xludf.DUMMYFUNCTION("""COMPUTED_VALUE"""),1.2235421636324801)</f>
        <v>1.223542164</v>
      </c>
      <c r="O222" s="74">
        <f>IFERROR(__xludf.DUMMYFUNCTION("""COMPUTED_VALUE"""),329.0)</f>
        <v>329</v>
      </c>
      <c r="P222" s="74">
        <f>IFERROR(__xludf.DUMMYFUNCTION("""COMPUTED_VALUE"""),99.0)</f>
        <v>99</v>
      </c>
      <c r="Q222" s="82">
        <f>IFERROR(__xludf.DUMMYFUNCTION("""COMPUTED_VALUE"""),0.23472222222335404)</f>
        <v>0.2347222222</v>
      </c>
      <c r="R222" s="82">
        <f>IFERROR(__xludf.DUMMYFUNCTION("""COMPUTED_VALUE"""),0.09999999999579612)</f>
        <v>0.1</v>
      </c>
      <c r="S222" s="63">
        <f>IFERROR(__xludf.DUMMYFUNCTION("""COMPUTED_VALUE"""),42.37029346614515)</f>
        <v>42.37029347</v>
      </c>
      <c r="T222" s="63">
        <f>IFERROR(__xludf.DUMMYFUNCTION("""COMPUTED_VALUE"""),41.2500000017341)</f>
        <v>41.25</v>
      </c>
      <c r="U222" s="138">
        <f>IFERROR(__xludf.DUMMYFUNCTION("""COMPUTED_VALUE"""),428.0)</f>
        <v>428</v>
      </c>
      <c r="V222" s="82">
        <f>IFERROR(__xludf.DUMMYFUNCTION("""COMPUTED_VALUE"""),0.33472222221915016)</f>
        <v>0.3347222222</v>
      </c>
      <c r="W222" s="64">
        <f>IFERROR(__xludf.DUMMYFUNCTION("""COMPUTED_VALUE"""),53.27800829924417)</f>
        <v>53.2780083</v>
      </c>
      <c r="X222" s="64">
        <f>IFERROR(__xludf.DUMMYFUNCTION("""COMPUTED_VALUE"""),42.09022010004239)</f>
        <v>42.0902201</v>
      </c>
      <c r="Y222" s="114">
        <f>IFERROR(__xludf.DUMMYFUNCTION("""COMPUTED_VALUE"""),0.7342337205405649)</f>
        <v>0.7342337205</v>
      </c>
      <c r="Z222" s="118">
        <f>IFERROR(__xludf.DUMMYFUNCTION("""COMPUTED_VALUE"""),4562.0)</f>
        <v>4562</v>
      </c>
      <c r="AA222" s="118">
        <f>IFERROR(__xludf.DUMMYFUNCTION("""COMPUTED_VALUE"""),3564.0)</f>
        <v>3564</v>
      </c>
      <c r="AB222" s="118">
        <f>IFERROR(__xludf.DUMMYFUNCTION("""COMPUTED_VALUE"""),8126.0)</f>
        <v>8126</v>
      </c>
    </row>
    <row r="223">
      <c r="A223" s="109">
        <f>IFERROR(__xludf.DUMMYFUNCTION("""COMPUTED_VALUE"""),45967.55860017361)</f>
        <v>45967.5586</v>
      </c>
      <c r="B223" s="81" t="str">
        <f>IFERROR(__xludf.DUMMYFUNCTION("""COMPUTED_VALUE"""),"Maureen Surgot")</f>
        <v>Maureen Surgot</v>
      </c>
      <c r="C223" s="74" t="b">
        <f>IFERROR(__xludf.DUMMYFUNCTION("""COMPUTED_VALUE"""),FALSE)</f>
        <v>0</v>
      </c>
      <c r="D223" s="137">
        <f>IFERROR(__xludf.DUMMYFUNCTION("""COMPUTED_VALUE"""),0.47916666666424135)</f>
        <v>0.4791666667</v>
      </c>
      <c r="E223" s="82">
        <f>IFERROR(__xludf.DUMMYFUNCTION("""COMPUTED_VALUE"""),0.08333333333575865)</f>
        <v>0.08333333334</v>
      </c>
      <c r="F223" s="137">
        <f>IFERROR(__xludf.DUMMYFUNCTION("""COMPUTED_VALUE"""),0.5625)</f>
        <v>0.5625</v>
      </c>
      <c r="G223" s="82">
        <f>IFERROR(__xludf.DUMMYFUNCTION("""COMPUTED_VALUE"""),0.08333333333575865)</f>
        <v>0.08333333334</v>
      </c>
      <c r="H223" s="115">
        <f>IFERROR(__xludf.DUMMYFUNCTION("""COMPUTED_VALUE"""),92.0)</f>
        <v>92</v>
      </c>
      <c r="I223" s="112">
        <f>IFERROR(__xludf.DUMMYFUNCTION("""COMPUTED_VALUE"""),45.999999998661224)</f>
        <v>46</v>
      </c>
      <c r="J223" s="74" t="str">
        <f>IFERROR(__xludf.DUMMYFUNCTION("""COMPUTED_VALUE"""),"Lunch")</f>
        <v>Lunch</v>
      </c>
      <c r="K223" s="113">
        <f>IFERROR(__xludf.DUMMYFUNCTION("""COMPUTED_VALUE"""),45967.0)</f>
        <v>45967</v>
      </c>
      <c r="L223" s="74" t="str">
        <f>IFERROR(__xludf.DUMMYFUNCTION("""COMPUTED_VALUE"""),"Thursday")</f>
        <v>Thursday</v>
      </c>
      <c r="M223" s="74" t="str">
        <f>IFERROR(__xludf.DUMMYFUNCTION("""COMPUTED_VALUE"""),"MF")</f>
        <v>MF</v>
      </c>
      <c r="N223" s="114">
        <f>IFERROR(__xludf.DUMMYFUNCTION("""COMPUTED_VALUE"""),0.9565627886259239)</f>
        <v>0.9565627886</v>
      </c>
      <c r="O223" s="74" t="str">
        <f>IFERROR(__xludf.DUMMYFUNCTION("""COMPUTED_VALUE"""),"")</f>
        <v/>
      </c>
      <c r="P223" s="74" t="str">
        <f>IFERROR(__xludf.DUMMYFUNCTION("""COMPUTED_VALUE"""),"")</f>
        <v/>
      </c>
      <c r="Q223" s="82" t="str">
        <f>IFERROR(__xludf.DUMMYFUNCTION("""COMPUTED_VALUE"""),"")</f>
        <v/>
      </c>
      <c r="R223" s="82" t="str">
        <f>IFERROR(__xludf.DUMMYFUNCTION("""COMPUTED_VALUE"""),"")</f>
        <v/>
      </c>
      <c r="S223" s="63" t="str">
        <f>IFERROR(__xludf.DUMMYFUNCTION("""COMPUTED_VALUE"""),"")</f>
        <v/>
      </c>
      <c r="T223" s="63" t="str">
        <f>IFERROR(__xludf.DUMMYFUNCTION("""COMPUTED_VALUE"""),"")</f>
        <v/>
      </c>
      <c r="U223" s="138" t="str">
        <f>IFERROR(__xludf.DUMMYFUNCTION("""COMPUTED_VALUE"""),"")</f>
        <v/>
      </c>
      <c r="V223" s="82" t="str">
        <f>IFERROR(__xludf.DUMMYFUNCTION("""COMPUTED_VALUE"""),"")</f>
        <v/>
      </c>
      <c r="W223" s="64" t="str">
        <f>IFERROR(__xludf.DUMMYFUNCTION("""COMPUTED_VALUE"""),"")</f>
        <v/>
      </c>
      <c r="X223" s="64" t="str">
        <f>IFERROR(__xludf.DUMMYFUNCTION("""COMPUTED_VALUE"""),"")</f>
        <v/>
      </c>
      <c r="Y223" s="114" t="str">
        <f>IFERROR(__xludf.DUMMYFUNCTION("""COMPUTED_VALUE"""),"")</f>
        <v/>
      </c>
      <c r="Z223" s="118" t="str">
        <f>IFERROR(__xludf.DUMMYFUNCTION("""COMPUTED_VALUE"""),"")</f>
        <v/>
      </c>
      <c r="AA223" s="118" t="str">
        <f>IFERROR(__xludf.DUMMYFUNCTION("""COMPUTED_VALUE"""),"")</f>
        <v/>
      </c>
      <c r="AB223" s="74" t="str">
        <f>IFERROR(__xludf.DUMMYFUNCTION("""COMPUTED_VALUE"""),"")</f>
        <v/>
      </c>
    </row>
    <row r="224">
      <c r="A224" s="109">
        <f>IFERROR(__xludf.DUMMYFUNCTION("""COMPUTED_VALUE"""),45967.57163229167)</f>
        <v>45967.57163</v>
      </c>
      <c r="B224" s="81" t="str">
        <f>IFERROR(__xludf.DUMMYFUNCTION("""COMPUTED_VALUE"""),"Greta Traynor")</f>
        <v>Greta Traynor</v>
      </c>
      <c r="C224" s="74" t="b">
        <f>IFERROR(__xludf.DUMMYFUNCTION("""COMPUTED_VALUE"""),FALSE)</f>
        <v>0</v>
      </c>
      <c r="D224" s="137">
        <f>IFERROR(__xludf.DUMMYFUNCTION("""COMPUTED_VALUE"""),0.5201388888890506)</f>
        <v>0.5201388889</v>
      </c>
      <c r="E224" s="82">
        <f>IFERROR(__xludf.DUMMYFUNCTION("""COMPUTED_VALUE"""),0.05138888888905058)</f>
        <v>0.05138888889</v>
      </c>
      <c r="F224" s="137">
        <f>IFERROR(__xludf.DUMMYFUNCTION("""COMPUTED_VALUE"""),0.5715277777781012)</f>
        <v>0.5715277778</v>
      </c>
      <c r="G224" s="82">
        <f>IFERROR(__xludf.DUMMYFUNCTION("""COMPUTED_VALUE"""),0.05138888888905058)</f>
        <v>0.05138888889</v>
      </c>
      <c r="H224" s="115">
        <f>IFERROR(__xludf.DUMMYFUNCTION("""COMPUTED_VALUE"""),60.0)</f>
        <v>60</v>
      </c>
      <c r="I224" s="112">
        <f>IFERROR(__xludf.DUMMYFUNCTION("""COMPUTED_VALUE"""),48.64864864849558)</f>
        <v>48.64864865</v>
      </c>
      <c r="J224" s="74" t="str">
        <f>IFERROR(__xludf.DUMMYFUNCTION("""COMPUTED_VALUE"""),"Lunch")</f>
        <v>Lunch</v>
      </c>
      <c r="K224" s="113">
        <f>IFERROR(__xludf.DUMMYFUNCTION("""COMPUTED_VALUE"""),45967.0)</f>
        <v>45967</v>
      </c>
      <c r="L224" s="74" t="str">
        <f>IFERROR(__xludf.DUMMYFUNCTION("""COMPUTED_VALUE"""),"Thursday")</f>
        <v>Thursday</v>
      </c>
      <c r="M224" s="74" t="str">
        <f>IFERROR(__xludf.DUMMYFUNCTION("""COMPUTED_VALUE"""),"BF")</f>
        <v>BF</v>
      </c>
      <c r="N224" s="114">
        <f>IFERROR(__xludf.DUMMYFUNCTION("""COMPUTED_VALUE"""),1.2528388078355672)</f>
        <v>1.252838808</v>
      </c>
      <c r="O224" s="74" t="str">
        <f>IFERROR(__xludf.DUMMYFUNCTION("""COMPUTED_VALUE"""),"")</f>
        <v/>
      </c>
      <c r="P224" s="74" t="str">
        <f>IFERROR(__xludf.DUMMYFUNCTION("""COMPUTED_VALUE"""),"")</f>
        <v/>
      </c>
      <c r="Q224" s="82" t="str">
        <f>IFERROR(__xludf.DUMMYFUNCTION("""COMPUTED_VALUE"""),"")</f>
        <v/>
      </c>
      <c r="R224" s="82" t="str">
        <f>IFERROR(__xludf.DUMMYFUNCTION("""COMPUTED_VALUE"""),"")</f>
        <v/>
      </c>
      <c r="S224" s="63" t="str">
        <f>IFERROR(__xludf.DUMMYFUNCTION("""COMPUTED_VALUE"""),"")</f>
        <v/>
      </c>
      <c r="T224" s="63" t="str">
        <f>IFERROR(__xludf.DUMMYFUNCTION("""COMPUTED_VALUE"""),"")</f>
        <v/>
      </c>
      <c r="U224" s="138" t="str">
        <f>IFERROR(__xludf.DUMMYFUNCTION("""COMPUTED_VALUE"""),"")</f>
        <v/>
      </c>
      <c r="V224" s="82" t="str">
        <f>IFERROR(__xludf.DUMMYFUNCTION("""COMPUTED_VALUE"""),"")</f>
        <v/>
      </c>
      <c r="W224" s="64" t="str">
        <f>IFERROR(__xludf.DUMMYFUNCTION("""COMPUTED_VALUE"""),"")</f>
        <v/>
      </c>
      <c r="X224" s="64" t="str">
        <f>IFERROR(__xludf.DUMMYFUNCTION("""COMPUTED_VALUE"""),"")</f>
        <v/>
      </c>
      <c r="Y224" s="114" t="str">
        <f>IFERROR(__xludf.DUMMYFUNCTION("""COMPUTED_VALUE"""),"")</f>
        <v/>
      </c>
      <c r="Z224" s="118" t="str">
        <f>IFERROR(__xludf.DUMMYFUNCTION("""COMPUTED_VALUE"""),"")</f>
        <v/>
      </c>
      <c r="AA224" s="118" t="str">
        <f>IFERROR(__xludf.DUMMYFUNCTION("""COMPUTED_VALUE"""),"")</f>
        <v/>
      </c>
      <c r="AB224" s="74" t="str">
        <f>IFERROR(__xludf.DUMMYFUNCTION("""COMPUTED_VALUE"""),"")</f>
        <v/>
      </c>
    </row>
    <row r="225">
      <c r="A225" s="109">
        <f>IFERROR(__xludf.DUMMYFUNCTION("""COMPUTED_VALUE"""),45967.63191671296)</f>
        <v>45967.63192</v>
      </c>
      <c r="B225" s="81" t="str">
        <f>IFERROR(__xludf.DUMMYFUNCTION("""COMPUTED_VALUE"""),"Brynn Hornig")</f>
        <v>Brynn Hornig</v>
      </c>
      <c r="C225" s="74" t="b">
        <f>IFERROR(__xludf.DUMMYFUNCTION("""COMPUTED_VALUE"""),FALSE)</f>
        <v>0</v>
      </c>
      <c r="D225" s="137">
        <f>IFERROR(__xludf.DUMMYFUNCTION("""COMPUTED_VALUE"""),0.5625)</f>
        <v>0.5625</v>
      </c>
      <c r="E225" s="82">
        <f>IFERROR(__xludf.DUMMYFUNCTION("""COMPUTED_VALUE"""),0.07291666666424135)</f>
        <v>0.07291666666</v>
      </c>
      <c r="F225" s="137">
        <f>IFERROR(__xludf.DUMMYFUNCTION("""COMPUTED_VALUE"""),0.6354166666642413)</f>
        <v>0.6354166667</v>
      </c>
      <c r="G225" s="82">
        <f>IFERROR(__xludf.DUMMYFUNCTION("""COMPUTED_VALUE"""),0.07291666666424135)</f>
        <v>0.07291666666</v>
      </c>
      <c r="H225" s="115">
        <f>IFERROR(__xludf.DUMMYFUNCTION("""COMPUTED_VALUE"""),56.0)</f>
        <v>56</v>
      </c>
      <c r="I225" s="112">
        <f>IFERROR(__xludf.DUMMYFUNCTION("""COMPUTED_VALUE"""),32.00000000106437)</f>
        <v>32</v>
      </c>
      <c r="J225" s="74" t="str">
        <f>IFERROR(__xludf.DUMMYFUNCTION("""COMPUTED_VALUE"""),"Lunch")</f>
        <v>Lunch</v>
      </c>
      <c r="K225" s="113">
        <f>IFERROR(__xludf.DUMMYFUNCTION("""COMPUTED_VALUE"""),45967.0)</f>
        <v>45967</v>
      </c>
      <c r="L225" s="74" t="str">
        <f>IFERROR(__xludf.DUMMYFUNCTION("""COMPUTED_VALUE"""),"Thursday")</f>
        <v>Thursday</v>
      </c>
      <c r="M225" s="74" t="str">
        <f>IFERROR(__xludf.DUMMYFUNCTION("""COMPUTED_VALUE"""),"MF")</f>
        <v>MF</v>
      </c>
      <c r="N225" s="114">
        <f>IFERROR(__xludf.DUMMYFUNCTION("""COMPUTED_VALUE"""),0.6654349834334472)</f>
        <v>0.6654349834</v>
      </c>
      <c r="O225" s="74" t="str">
        <f>IFERROR(__xludf.DUMMYFUNCTION("""COMPUTED_VALUE"""),"")</f>
        <v/>
      </c>
      <c r="P225" s="74" t="str">
        <f>IFERROR(__xludf.DUMMYFUNCTION("""COMPUTED_VALUE"""),"")</f>
        <v/>
      </c>
      <c r="Q225" s="82" t="str">
        <f>IFERROR(__xludf.DUMMYFUNCTION("""COMPUTED_VALUE"""),"")</f>
        <v/>
      </c>
      <c r="R225" s="82" t="str">
        <f>IFERROR(__xludf.DUMMYFUNCTION("""COMPUTED_VALUE"""),"")</f>
        <v/>
      </c>
      <c r="S225" s="63" t="str">
        <f>IFERROR(__xludf.DUMMYFUNCTION("""COMPUTED_VALUE"""),"")</f>
        <v/>
      </c>
      <c r="T225" s="63" t="str">
        <f>IFERROR(__xludf.DUMMYFUNCTION("""COMPUTED_VALUE"""),"")</f>
        <v/>
      </c>
      <c r="U225" s="138" t="str">
        <f>IFERROR(__xludf.DUMMYFUNCTION("""COMPUTED_VALUE"""),"")</f>
        <v/>
      </c>
      <c r="V225" s="82" t="str">
        <f>IFERROR(__xludf.DUMMYFUNCTION("""COMPUTED_VALUE"""),"")</f>
        <v/>
      </c>
      <c r="W225" s="64" t="str">
        <f>IFERROR(__xludf.DUMMYFUNCTION("""COMPUTED_VALUE"""),"")</f>
        <v/>
      </c>
      <c r="X225" s="64" t="str">
        <f>IFERROR(__xludf.DUMMYFUNCTION("""COMPUTED_VALUE"""),"")</f>
        <v/>
      </c>
      <c r="Y225" s="114" t="str">
        <f>IFERROR(__xludf.DUMMYFUNCTION("""COMPUTED_VALUE"""),"")</f>
        <v/>
      </c>
      <c r="Z225" s="118" t="str">
        <f>IFERROR(__xludf.DUMMYFUNCTION("""COMPUTED_VALUE"""),"")</f>
        <v/>
      </c>
      <c r="AA225" s="118" t="str">
        <f>IFERROR(__xludf.DUMMYFUNCTION("""COMPUTED_VALUE"""),"")</f>
        <v/>
      </c>
      <c r="AB225" s="74" t="str">
        <f>IFERROR(__xludf.DUMMYFUNCTION("""COMPUTED_VALUE"""),"")</f>
        <v/>
      </c>
    </row>
    <row r="226">
      <c r="A226" s="109">
        <f>IFERROR(__xludf.DUMMYFUNCTION("""COMPUTED_VALUE"""),45967.652683252316)</f>
        <v>45967.65268</v>
      </c>
      <c r="B226" s="81" t="str">
        <f>IFERROR(__xludf.DUMMYFUNCTION("""COMPUTED_VALUE"""),"Emmett Khan")</f>
        <v>Emmett Khan</v>
      </c>
      <c r="C226" s="74" t="b">
        <f>IFERROR(__xludf.DUMMYFUNCTION("""COMPUTED_VALUE"""),FALSE)</f>
        <v>0</v>
      </c>
      <c r="D226" s="137">
        <f>IFERROR(__xludf.DUMMYFUNCTION("""COMPUTED_VALUE"""),0.5833333333357587)</f>
        <v>0.5833333333</v>
      </c>
      <c r="E226" s="82">
        <f>IFERROR(__xludf.DUMMYFUNCTION("""COMPUTED_VALUE"""),0.07291666666424135)</f>
        <v>0.07291666666</v>
      </c>
      <c r="F226" s="137">
        <f>IFERROR(__xludf.DUMMYFUNCTION("""COMPUTED_VALUE"""),0.65625)</f>
        <v>0.65625</v>
      </c>
      <c r="G226" s="82">
        <f>IFERROR(__xludf.DUMMYFUNCTION("""COMPUTED_VALUE"""),0.07291666666424135)</f>
        <v>0.07291666666</v>
      </c>
      <c r="H226" s="115">
        <f>IFERROR(__xludf.DUMMYFUNCTION("""COMPUTED_VALUE"""),73.0)</f>
        <v>73</v>
      </c>
      <c r="I226" s="112">
        <f>IFERROR(__xludf.DUMMYFUNCTION("""COMPUTED_VALUE"""),41.71428571567319)</f>
        <v>41.71428572</v>
      </c>
      <c r="J226" s="74" t="str">
        <f>IFERROR(__xludf.DUMMYFUNCTION("""COMPUTED_VALUE"""),"Lunch")</f>
        <v>Lunch</v>
      </c>
      <c r="K226" s="113">
        <f>IFERROR(__xludf.DUMMYFUNCTION("""COMPUTED_VALUE"""),45967.0)</f>
        <v>45967</v>
      </c>
      <c r="L226" s="74" t="str">
        <f>IFERROR(__xludf.DUMMYFUNCTION("""COMPUTED_VALUE"""),"Thursday")</f>
        <v>Thursday</v>
      </c>
      <c r="M226" s="74" t="str">
        <f>IFERROR(__xludf.DUMMYFUNCTION("""COMPUTED_VALUE"""),"BF")</f>
        <v>BF</v>
      </c>
      <c r="N226" s="114">
        <f>IFERROR(__xludf.DUMMYFUNCTION("""COMPUTED_VALUE"""),1.0742595619324027)</f>
        <v>1.074259562</v>
      </c>
      <c r="O226" s="74" t="str">
        <f>IFERROR(__xludf.DUMMYFUNCTION("""COMPUTED_VALUE"""),"")</f>
        <v/>
      </c>
      <c r="P226" s="74" t="str">
        <f>IFERROR(__xludf.DUMMYFUNCTION("""COMPUTED_VALUE"""),"")</f>
        <v/>
      </c>
      <c r="Q226" s="82" t="str">
        <f>IFERROR(__xludf.DUMMYFUNCTION("""COMPUTED_VALUE"""),"")</f>
        <v/>
      </c>
      <c r="R226" s="82" t="str">
        <f>IFERROR(__xludf.DUMMYFUNCTION("""COMPUTED_VALUE"""),"")</f>
        <v/>
      </c>
      <c r="S226" s="63" t="str">
        <f>IFERROR(__xludf.DUMMYFUNCTION("""COMPUTED_VALUE"""),"")</f>
        <v/>
      </c>
      <c r="T226" s="63" t="str">
        <f>IFERROR(__xludf.DUMMYFUNCTION("""COMPUTED_VALUE"""),"")</f>
        <v/>
      </c>
      <c r="U226" s="138" t="str">
        <f>IFERROR(__xludf.DUMMYFUNCTION("""COMPUTED_VALUE"""),"")</f>
        <v/>
      </c>
      <c r="V226" s="82" t="str">
        <f>IFERROR(__xludf.DUMMYFUNCTION("""COMPUTED_VALUE"""),"")</f>
        <v/>
      </c>
      <c r="W226" s="64" t="str">
        <f>IFERROR(__xludf.DUMMYFUNCTION("""COMPUTED_VALUE"""),"")</f>
        <v/>
      </c>
      <c r="X226" s="64" t="str">
        <f>IFERROR(__xludf.DUMMYFUNCTION("""COMPUTED_VALUE"""),"")</f>
        <v/>
      </c>
      <c r="Y226" s="114" t="str">
        <f>IFERROR(__xludf.DUMMYFUNCTION("""COMPUTED_VALUE"""),"")</f>
        <v/>
      </c>
      <c r="Z226" s="118" t="str">
        <f>IFERROR(__xludf.DUMMYFUNCTION("""COMPUTED_VALUE"""),"")</f>
        <v/>
      </c>
      <c r="AA226" s="118" t="str">
        <f>IFERROR(__xludf.DUMMYFUNCTION("""COMPUTED_VALUE"""),"")</f>
        <v/>
      </c>
      <c r="AB226" s="74" t="str">
        <f>IFERROR(__xludf.DUMMYFUNCTION("""COMPUTED_VALUE"""),"")</f>
        <v/>
      </c>
    </row>
    <row r="227">
      <c r="A227" s="109">
        <f>IFERROR(__xludf.DUMMYFUNCTION("""COMPUTED_VALUE"""),45967.76247613426)</f>
        <v>45967.76248</v>
      </c>
      <c r="B227" s="81" t="str">
        <f>IFERROR(__xludf.DUMMYFUNCTION("""COMPUTED_VALUE"""),"Elliott Haber")</f>
        <v>Elliott Haber</v>
      </c>
      <c r="C227" s="74" t="b">
        <f>IFERROR(__xludf.DUMMYFUNCTION("""COMPUTED_VALUE"""),FALSE)</f>
        <v>0</v>
      </c>
      <c r="D227" s="137">
        <f>IFERROR(__xludf.DUMMYFUNCTION("""COMPUTED_VALUE"""),0.6666666666642413)</f>
        <v>0.6666666667</v>
      </c>
      <c r="E227" s="82">
        <f>IFERROR(__xludf.DUMMYFUNCTION("""COMPUTED_VALUE"""),0.06041666666715173)</f>
        <v>0.06041666667</v>
      </c>
      <c r="F227" s="137">
        <f>IFERROR(__xludf.DUMMYFUNCTION("""COMPUTED_VALUE"""),0.7270833333313931)</f>
        <v>0.7270833333</v>
      </c>
      <c r="G227" s="82">
        <f>IFERROR(__xludf.DUMMYFUNCTION("""COMPUTED_VALUE"""),0.06041666666715173)</f>
        <v>0.06041666667</v>
      </c>
      <c r="H227" s="115">
        <f>IFERROR(__xludf.DUMMYFUNCTION("""COMPUTED_VALUE"""),98.0)</f>
        <v>98</v>
      </c>
      <c r="I227" s="112">
        <f>IFERROR(__xludf.DUMMYFUNCTION("""COMPUTED_VALUE"""),67.5862068960091)</f>
        <v>67.5862069</v>
      </c>
      <c r="J227" s="74" t="str">
        <f>IFERROR(__xludf.DUMMYFUNCTION("""COMPUTED_VALUE"""),"Dinner")</f>
        <v>Dinner</v>
      </c>
      <c r="K227" s="113">
        <f>IFERROR(__xludf.DUMMYFUNCTION("""COMPUTED_VALUE"""),45967.0)</f>
        <v>45967</v>
      </c>
      <c r="L227" s="74" t="str">
        <f>IFERROR(__xludf.DUMMYFUNCTION("""COMPUTED_VALUE"""),"Thursday")</f>
        <v>Thursday</v>
      </c>
      <c r="M227" s="74" t="str">
        <f>IFERROR(__xludf.DUMMYFUNCTION("""COMPUTED_VALUE"""),"MF")</f>
        <v>MF</v>
      </c>
      <c r="N227" s="114">
        <f>IFERROR(__xludf.DUMMYFUNCTION("""COMPUTED_VALUE"""),1.3317852711745646)</f>
        <v>1.331785271</v>
      </c>
      <c r="O227" s="74" t="str">
        <f>IFERROR(__xludf.DUMMYFUNCTION("""COMPUTED_VALUE"""),"")</f>
        <v/>
      </c>
      <c r="P227" s="74" t="str">
        <f>IFERROR(__xludf.DUMMYFUNCTION("""COMPUTED_VALUE"""),"")</f>
        <v/>
      </c>
      <c r="Q227" s="82" t="str">
        <f>IFERROR(__xludf.DUMMYFUNCTION("""COMPUTED_VALUE"""),"")</f>
        <v/>
      </c>
      <c r="R227" s="82" t="str">
        <f>IFERROR(__xludf.DUMMYFUNCTION("""COMPUTED_VALUE"""),"")</f>
        <v/>
      </c>
      <c r="S227" s="63" t="str">
        <f>IFERROR(__xludf.DUMMYFUNCTION("""COMPUTED_VALUE"""),"")</f>
        <v/>
      </c>
      <c r="T227" s="63" t="str">
        <f>IFERROR(__xludf.DUMMYFUNCTION("""COMPUTED_VALUE"""),"")</f>
        <v/>
      </c>
      <c r="U227" s="138" t="str">
        <f>IFERROR(__xludf.DUMMYFUNCTION("""COMPUTED_VALUE"""),"")</f>
        <v/>
      </c>
      <c r="V227" s="82" t="str">
        <f>IFERROR(__xludf.DUMMYFUNCTION("""COMPUTED_VALUE"""),"")</f>
        <v/>
      </c>
      <c r="W227" s="64" t="str">
        <f>IFERROR(__xludf.DUMMYFUNCTION("""COMPUTED_VALUE"""),"")</f>
        <v/>
      </c>
      <c r="X227" s="64" t="str">
        <f>IFERROR(__xludf.DUMMYFUNCTION("""COMPUTED_VALUE"""),"")</f>
        <v/>
      </c>
      <c r="Y227" s="114" t="str">
        <f>IFERROR(__xludf.DUMMYFUNCTION("""COMPUTED_VALUE"""),"")</f>
        <v/>
      </c>
      <c r="Z227" s="118" t="str">
        <f>IFERROR(__xludf.DUMMYFUNCTION("""COMPUTED_VALUE"""),"")</f>
        <v/>
      </c>
      <c r="AA227" s="118" t="str">
        <f>IFERROR(__xludf.DUMMYFUNCTION("""COMPUTED_VALUE"""),"")</f>
        <v/>
      </c>
      <c r="AB227" s="74" t="str">
        <f>IFERROR(__xludf.DUMMYFUNCTION("""COMPUTED_VALUE"""),"")</f>
        <v/>
      </c>
    </row>
    <row r="228">
      <c r="A228" s="109">
        <f>IFERROR(__xludf.DUMMYFUNCTION("""COMPUTED_VALUE"""),45967.77067375)</f>
        <v>45967.77067</v>
      </c>
      <c r="B228" s="81" t="str">
        <f>IFERROR(__xludf.DUMMYFUNCTION("""COMPUTED_VALUE"""),"Emmett Khan")</f>
        <v>Emmett Khan</v>
      </c>
      <c r="C228" s="74" t="b">
        <f>IFERROR(__xludf.DUMMYFUNCTION("""COMPUTED_VALUE"""),FALSE)</f>
        <v>0</v>
      </c>
      <c r="D228" s="137">
        <f>IFERROR(__xludf.DUMMYFUNCTION("""COMPUTED_VALUE"""),0.6875)</f>
        <v>0.6875</v>
      </c>
      <c r="E228" s="82">
        <f>IFERROR(__xludf.DUMMYFUNCTION("""COMPUTED_VALUE"""),0.08333333333575865)</f>
        <v>0.08333333334</v>
      </c>
      <c r="F228" s="137">
        <f>IFERROR(__xludf.DUMMYFUNCTION("""COMPUTED_VALUE"""),0.7708333333357587)</f>
        <v>0.7708333333</v>
      </c>
      <c r="G228" s="82">
        <f>IFERROR(__xludf.DUMMYFUNCTION("""COMPUTED_VALUE"""),0.08333333333575865)</f>
        <v>0.08333333334</v>
      </c>
      <c r="H228" s="115">
        <f>IFERROR(__xludf.DUMMYFUNCTION("""COMPUTED_VALUE"""),87.0)</f>
        <v>87</v>
      </c>
      <c r="I228" s="112">
        <f>IFERROR(__xludf.DUMMYFUNCTION("""COMPUTED_VALUE"""),43.49999999873398)</f>
        <v>43.5</v>
      </c>
      <c r="J228" s="74" t="str">
        <f>IFERROR(__xludf.DUMMYFUNCTION("""COMPUTED_VALUE"""),"Dinner")</f>
        <v>Dinner</v>
      </c>
      <c r="K228" s="113">
        <f>IFERROR(__xludf.DUMMYFUNCTION("""COMPUTED_VALUE"""),45967.0)</f>
        <v>45967</v>
      </c>
      <c r="L228" s="74" t="str">
        <f>IFERROR(__xludf.DUMMYFUNCTION("""COMPUTED_VALUE"""),"Thursday")</f>
        <v>Thursday</v>
      </c>
      <c r="M228" s="74" t="str">
        <f>IFERROR(__xludf.DUMMYFUNCTION("""COMPUTED_VALUE"""),"BF")</f>
        <v>BF</v>
      </c>
      <c r="N228" s="114">
        <f>IFERROR(__xludf.DUMMYFUNCTION("""COMPUTED_VALUE"""),1.0265854233005565)</f>
        <v>1.026585423</v>
      </c>
      <c r="O228" s="74" t="str">
        <f>IFERROR(__xludf.DUMMYFUNCTION("""COMPUTED_VALUE"""),"")</f>
        <v/>
      </c>
      <c r="P228" s="74" t="str">
        <f>IFERROR(__xludf.DUMMYFUNCTION("""COMPUTED_VALUE"""),"")</f>
        <v/>
      </c>
      <c r="Q228" s="82" t="str">
        <f>IFERROR(__xludf.DUMMYFUNCTION("""COMPUTED_VALUE"""),"")</f>
        <v/>
      </c>
      <c r="R228" s="82" t="str">
        <f>IFERROR(__xludf.DUMMYFUNCTION("""COMPUTED_VALUE"""),"")</f>
        <v/>
      </c>
      <c r="S228" s="63" t="str">
        <f>IFERROR(__xludf.DUMMYFUNCTION("""COMPUTED_VALUE"""),"")</f>
        <v/>
      </c>
      <c r="T228" s="63" t="str">
        <f>IFERROR(__xludf.DUMMYFUNCTION("""COMPUTED_VALUE"""),"")</f>
        <v/>
      </c>
      <c r="U228" s="138" t="str">
        <f>IFERROR(__xludf.DUMMYFUNCTION("""COMPUTED_VALUE"""),"")</f>
        <v/>
      </c>
      <c r="V228" s="82" t="str">
        <f>IFERROR(__xludf.DUMMYFUNCTION("""COMPUTED_VALUE"""),"")</f>
        <v/>
      </c>
      <c r="W228" s="64" t="str">
        <f>IFERROR(__xludf.DUMMYFUNCTION("""COMPUTED_VALUE"""),"")</f>
        <v/>
      </c>
      <c r="X228" s="64" t="str">
        <f>IFERROR(__xludf.DUMMYFUNCTION("""COMPUTED_VALUE"""),"")</f>
        <v/>
      </c>
      <c r="Y228" s="114" t="str">
        <f>IFERROR(__xludf.DUMMYFUNCTION("""COMPUTED_VALUE"""),"")</f>
        <v/>
      </c>
      <c r="Z228" s="118" t="str">
        <f>IFERROR(__xludf.DUMMYFUNCTION("""COMPUTED_VALUE"""),"")</f>
        <v/>
      </c>
      <c r="AA228" s="118" t="str">
        <f>IFERROR(__xludf.DUMMYFUNCTION("""COMPUTED_VALUE"""),"")</f>
        <v/>
      </c>
      <c r="AB228" s="74" t="str">
        <f>IFERROR(__xludf.DUMMYFUNCTION("""COMPUTED_VALUE"""),"")</f>
        <v/>
      </c>
    </row>
    <row r="229">
      <c r="A229" s="109">
        <f>IFERROR(__xludf.DUMMYFUNCTION("""COMPUTED_VALUE"""),45967.789025254635)</f>
        <v>45967.78903</v>
      </c>
      <c r="B229" s="81" t="str">
        <f>IFERROR(__xludf.DUMMYFUNCTION("""COMPUTED_VALUE"""),"Elliott Haber")</f>
        <v>Elliott Haber</v>
      </c>
      <c r="C229" s="74" t="b">
        <f>IFERROR(__xludf.DUMMYFUNCTION("""COMPUTED_VALUE"""),FALSE)</f>
        <v>0</v>
      </c>
      <c r="D229" s="137">
        <f>IFERROR(__xludf.DUMMYFUNCTION("""COMPUTED_VALUE"""),0.7361111111094942)</f>
        <v>0.7361111111</v>
      </c>
      <c r="E229" s="82">
        <f>IFERROR(__xludf.DUMMYFUNCTION("""COMPUTED_VALUE"""),0.041666666671517305)</f>
        <v>0.04166666667</v>
      </c>
      <c r="F229" s="137">
        <f>IFERROR(__xludf.DUMMYFUNCTION("""COMPUTED_VALUE"""),0.7777777777810115)</f>
        <v>0.7777777778</v>
      </c>
      <c r="G229" s="82">
        <f>IFERROR(__xludf.DUMMYFUNCTION("""COMPUTED_VALUE"""),0.12777777777955635)</f>
        <v>0.1277777778</v>
      </c>
      <c r="H229" s="115">
        <f>IFERROR(__xludf.DUMMYFUNCTION("""COMPUTED_VALUE"""),111.0)</f>
        <v>111</v>
      </c>
      <c r="I229" s="112">
        <f>IFERROR(__xludf.DUMMYFUNCTION("""COMPUTED_VALUE"""),36.19565217340923)</f>
        <v>36.19565217</v>
      </c>
      <c r="J229" s="74" t="str">
        <f>IFERROR(__xludf.DUMMYFUNCTION("""COMPUTED_VALUE"""),"Dinner")</f>
        <v>Dinner</v>
      </c>
      <c r="K229" s="113">
        <f>IFERROR(__xludf.DUMMYFUNCTION("""COMPUTED_VALUE"""),45967.0)</f>
        <v>45967</v>
      </c>
      <c r="L229" s="74" t="str">
        <f>IFERROR(__xludf.DUMMYFUNCTION("""COMPUTED_VALUE"""),"Thursday")</f>
        <v>Thursday</v>
      </c>
      <c r="M229" s="74" t="str">
        <f>IFERROR(__xludf.DUMMYFUNCTION("""COMPUTED_VALUE"""),"MF")</f>
        <v>MF</v>
      </c>
      <c r="N229" s="114">
        <f>IFERROR(__xludf.DUMMYFUNCTION("""COMPUTED_VALUE"""),0.7132348249587961)</f>
        <v>0.713234825</v>
      </c>
      <c r="O229" s="74" t="str">
        <f>IFERROR(__xludf.DUMMYFUNCTION("""COMPUTED_VALUE"""),"")</f>
        <v/>
      </c>
      <c r="P229" s="74" t="str">
        <f>IFERROR(__xludf.DUMMYFUNCTION("""COMPUTED_VALUE"""),"")</f>
        <v/>
      </c>
      <c r="Q229" s="82" t="str">
        <f>IFERROR(__xludf.DUMMYFUNCTION("""COMPUTED_VALUE"""),"")</f>
        <v/>
      </c>
      <c r="R229" s="82" t="str">
        <f>IFERROR(__xludf.DUMMYFUNCTION("""COMPUTED_VALUE"""),"")</f>
        <v/>
      </c>
      <c r="S229" s="63" t="str">
        <f>IFERROR(__xludf.DUMMYFUNCTION("""COMPUTED_VALUE"""),"")</f>
        <v/>
      </c>
      <c r="T229" s="63" t="str">
        <f>IFERROR(__xludf.DUMMYFUNCTION("""COMPUTED_VALUE"""),"")</f>
        <v/>
      </c>
      <c r="U229" s="116" t="str">
        <f>IFERROR(__xludf.DUMMYFUNCTION("""COMPUTED_VALUE"""),"")</f>
        <v/>
      </c>
      <c r="V229" s="92" t="str">
        <f>IFERROR(__xludf.DUMMYFUNCTION("""COMPUTED_VALUE"""),"")</f>
        <v/>
      </c>
      <c r="W229" s="64" t="str">
        <f>IFERROR(__xludf.DUMMYFUNCTION("""COMPUTED_VALUE"""),"")</f>
        <v/>
      </c>
      <c r="X229" s="64" t="str">
        <f>IFERROR(__xludf.DUMMYFUNCTION("""COMPUTED_VALUE"""),"")</f>
        <v/>
      </c>
      <c r="Y229" s="114" t="str">
        <f>IFERROR(__xludf.DUMMYFUNCTION("""COMPUTED_VALUE"""),"")</f>
        <v/>
      </c>
      <c r="Z229" s="118" t="str">
        <f>IFERROR(__xludf.DUMMYFUNCTION("""COMPUTED_VALUE"""),"")</f>
        <v/>
      </c>
      <c r="AA229" s="118" t="str">
        <f>IFERROR(__xludf.DUMMYFUNCTION("""COMPUTED_VALUE"""),"")</f>
        <v/>
      </c>
      <c r="AB229" s="74" t="str">
        <f>IFERROR(__xludf.DUMMYFUNCTION("""COMPUTED_VALUE"""),"")</f>
        <v/>
      </c>
    </row>
    <row r="230">
      <c r="A230" s="109">
        <f>IFERROR(__xludf.DUMMYFUNCTION("""COMPUTED_VALUE"""),45967.874680532404)</f>
        <v>45967.87468</v>
      </c>
      <c r="B230" s="81" t="str">
        <f>IFERROR(__xludf.DUMMYFUNCTION("""COMPUTED_VALUE"""),"Elliott Haber")</f>
        <v>Elliott Haber</v>
      </c>
      <c r="C230" s="74" t="b">
        <f>IFERROR(__xludf.DUMMYFUNCTION("""COMPUTED_VALUE"""),TRUE)</f>
        <v>1</v>
      </c>
      <c r="D230" s="137">
        <f>IFERROR(__xludf.DUMMYFUNCTION("""COMPUTED_VALUE"""),0.7881944444452529)</f>
        <v>0.7881944444</v>
      </c>
      <c r="E230" s="82">
        <f>IFERROR(__xludf.DUMMYFUNCTION("""COMPUTED_VALUE"""),0.08611111110803904)</f>
        <v>0.08611111111</v>
      </c>
      <c r="F230" s="137">
        <f>IFERROR(__xludf.DUMMYFUNCTION("""COMPUTED_VALUE"""),0.8743055555532919)</f>
        <v>0.8743055556</v>
      </c>
      <c r="G230" s="82" t="str">
        <f>IFERROR(__xludf.DUMMYFUNCTION("""COMPUTED_VALUE"""),"")</f>
        <v/>
      </c>
      <c r="H230" s="115">
        <f>IFERROR(__xludf.DUMMYFUNCTION("""COMPUTED_VALUE"""),55.0)</f>
        <v>55</v>
      </c>
      <c r="I230" s="112" t="str">
        <f>IFERROR(__xludf.DUMMYFUNCTION("""COMPUTED_VALUE"""),"")</f>
        <v/>
      </c>
      <c r="J230" s="74" t="str">
        <f>IFERROR(__xludf.DUMMYFUNCTION("""COMPUTED_VALUE"""),"Dinner")</f>
        <v>Dinner</v>
      </c>
      <c r="K230" s="113">
        <f>IFERROR(__xludf.DUMMYFUNCTION("""COMPUTED_VALUE"""),45967.0)</f>
        <v>45967</v>
      </c>
      <c r="L230" s="74" t="str">
        <f>IFERROR(__xludf.DUMMYFUNCTION("""COMPUTED_VALUE"""),"Thursday")</f>
        <v>Thursday</v>
      </c>
      <c r="M230" s="74" t="str">
        <f>IFERROR(__xludf.DUMMYFUNCTION("""COMPUTED_VALUE"""),"MF")</f>
        <v>MF</v>
      </c>
      <c r="N230" s="114" t="str">
        <f>IFERROR(__xludf.DUMMYFUNCTION("""COMPUTED_VALUE"""),"")</f>
        <v/>
      </c>
      <c r="O230" s="74">
        <f>IFERROR(__xludf.DUMMYFUNCTION("""COMPUTED_VALUE"""),412.0)</f>
        <v>412</v>
      </c>
      <c r="P230" s="74">
        <f>IFERROR(__xludf.DUMMYFUNCTION("""COMPUTED_VALUE"""),220.0)</f>
        <v>220</v>
      </c>
      <c r="Q230" s="82">
        <f>IFERROR(__xludf.DUMMYFUNCTION("""COMPUTED_VALUE"""),0.3444444444467081)</f>
        <v>0.3444444444</v>
      </c>
      <c r="R230" s="82">
        <f>IFERROR(__xludf.DUMMYFUNCTION("""COMPUTED_VALUE"""),0.20763888888905058)</f>
        <v>0.2076388889</v>
      </c>
      <c r="S230" s="63">
        <f>IFERROR(__xludf.DUMMYFUNCTION("""COMPUTED_VALUE"""),45.445464767285976)</f>
        <v>45.44546477</v>
      </c>
      <c r="T230" s="63">
        <f>IFERROR(__xludf.DUMMYFUNCTION("""COMPUTED_VALUE"""),44.620978120967585)</f>
        <v>44.62097812</v>
      </c>
      <c r="U230" s="138">
        <f>IFERROR(__xludf.DUMMYFUNCTION("""COMPUTED_VALUE"""),632.0)</f>
        <v>632</v>
      </c>
      <c r="V230" s="82">
        <f>IFERROR(__xludf.DUMMYFUNCTION("""COMPUTED_VALUE"""),0.5520833333357587)</f>
        <v>0.5520833333</v>
      </c>
      <c r="W230" s="64">
        <f>IFERROR(__xludf.DUMMYFUNCTION("""COMPUTED_VALUE"""),47.69811320733763)</f>
        <v>47.69811321</v>
      </c>
      <c r="X230" s="64">
        <f>IFERROR(__xludf.DUMMYFUNCTION("""COMPUTED_VALUE"""),45.09211334743524)</f>
        <v>45.09211335</v>
      </c>
      <c r="Y230" s="114">
        <f>IFERROR(__xludf.DUMMYFUNCTION("""COMPUTED_VALUE"""),0.8625590989127228)</f>
        <v>0.8625590989</v>
      </c>
      <c r="Z230" s="118">
        <f>IFERROR(__xludf.DUMMYFUNCTION("""COMPUTED_VALUE"""),4010.0)</f>
        <v>4010</v>
      </c>
      <c r="AA230" s="118">
        <f>IFERROR(__xludf.DUMMYFUNCTION("""COMPUTED_VALUE"""),3570.0)</f>
        <v>3570</v>
      </c>
      <c r="AB230" s="118">
        <f>IFERROR(__xludf.DUMMYFUNCTION("""COMPUTED_VALUE"""),7580.0)</f>
        <v>7580</v>
      </c>
    </row>
    <row r="231">
      <c r="A231" s="109">
        <f>IFERROR(__xludf.DUMMYFUNCTION("""COMPUTED_VALUE"""),45968.55270530093)</f>
        <v>45968.55271</v>
      </c>
      <c r="B231" s="81" t="str">
        <f>IFERROR(__xludf.DUMMYFUNCTION("""COMPUTED_VALUE"""),"Orpheus Wilson")</f>
        <v>Orpheus Wilson</v>
      </c>
      <c r="C231" s="74" t="b">
        <f>IFERROR(__xludf.DUMMYFUNCTION("""COMPUTED_VALUE"""),FALSE)</f>
        <v>0</v>
      </c>
      <c r="D231" s="137">
        <f>IFERROR(__xludf.DUMMYFUNCTION("""COMPUTED_VALUE"""),0.48263888889050577)</f>
        <v>0.4826388889</v>
      </c>
      <c r="E231" s="82">
        <f>IFERROR(__xludf.DUMMYFUNCTION("""COMPUTED_VALUE"""),0.06874999999854481)</f>
        <v>0.06875</v>
      </c>
      <c r="F231" s="137">
        <f>IFERROR(__xludf.DUMMYFUNCTION("""COMPUTED_VALUE"""),0.5513888888890506)</f>
        <v>0.5513888889</v>
      </c>
      <c r="G231" s="82">
        <f>IFERROR(__xludf.DUMMYFUNCTION("""COMPUTED_VALUE"""),0.06874999999854481)</f>
        <v>0.06875</v>
      </c>
      <c r="H231" s="115">
        <f>IFERROR(__xludf.DUMMYFUNCTION("""COMPUTED_VALUE"""),101.0)</f>
        <v>101</v>
      </c>
      <c r="I231" s="112">
        <f>IFERROR(__xludf.DUMMYFUNCTION("""COMPUTED_VALUE"""),61.21212121341685)</f>
        <v>61.21212121</v>
      </c>
      <c r="J231" s="74" t="str">
        <f>IFERROR(__xludf.DUMMYFUNCTION("""COMPUTED_VALUE"""),"Lunch")</f>
        <v>Lunch</v>
      </c>
      <c r="K231" s="113">
        <f>IFERROR(__xludf.DUMMYFUNCTION("""COMPUTED_VALUE"""),45968.0)</f>
        <v>45968</v>
      </c>
      <c r="L231" s="74" t="str">
        <f>IFERROR(__xludf.DUMMYFUNCTION("""COMPUTED_VALUE"""),"Friday")</f>
        <v>Friday</v>
      </c>
      <c r="M231" s="74" t="str">
        <f>IFERROR(__xludf.DUMMYFUNCTION("""COMPUTED_VALUE"""),"MF")</f>
        <v>MF</v>
      </c>
      <c r="N231" s="114">
        <f>IFERROR(__xludf.DUMMYFUNCTION("""COMPUTED_VALUE"""),1.2728964645069178)</f>
        <v>1.272896465</v>
      </c>
      <c r="O231" s="74" t="str">
        <f>IFERROR(__xludf.DUMMYFUNCTION("""COMPUTED_VALUE"""),"")</f>
        <v/>
      </c>
      <c r="P231" s="74" t="str">
        <f>IFERROR(__xludf.DUMMYFUNCTION("""COMPUTED_VALUE"""),"")</f>
        <v/>
      </c>
      <c r="Q231" s="82" t="str">
        <f>IFERROR(__xludf.DUMMYFUNCTION("""COMPUTED_VALUE"""),"")</f>
        <v/>
      </c>
      <c r="R231" s="82" t="str">
        <f>IFERROR(__xludf.DUMMYFUNCTION("""COMPUTED_VALUE"""),"")</f>
        <v/>
      </c>
      <c r="S231" s="63" t="str">
        <f>IFERROR(__xludf.DUMMYFUNCTION("""COMPUTED_VALUE"""),"")</f>
        <v/>
      </c>
      <c r="T231" s="63" t="str">
        <f>IFERROR(__xludf.DUMMYFUNCTION("""COMPUTED_VALUE"""),"")</f>
        <v/>
      </c>
      <c r="U231" s="138" t="str">
        <f>IFERROR(__xludf.DUMMYFUNCTION("""COMPUTED_VALUE"""),"")</f>
        <v/>
      </c>
      <c r="V231" s="82" t="str">
        <f>IFERROR(__xludf.DUMMYFUNCTION("""COMPUTED_VALUE"""),"")</f>
        <v/>
      </c>
      <c r="W231" s="64" t="str">
        <f>IFERROR(__xludf.DUMMYFUNCTION("""COMPUTED_VALUE"""),"")</f>
        <v/>
      </c>
      <c r="X231" s="64" t="str">
        <f>IFERROR(__xludf.DUMMYFUNCTION("""COMPUTED_VALUE"""),"")</f>
        <v/>
      </c>
      <c r="Y231" s="114" t="str">
        <f>IFERROR(__xludf.DUMMYFUNCTION("""COMPUTED_VALUE"""),"")</f>
        <v/>
      </c>
      <c r="Z231" s="118" t="str">
        <f>IFERROR(__xludf.DUMMYFUNCTION("""COMPUTED_VALUE"""),"")</f>
        <v/>
      </c>
      <c r="AA231" s="118" t="str">
        <f>IFERROR(__xludf.DUMMYFUNCTION("""COMPUTED_VALUE"""),"")</f>
        <v/>
      </c>
      <c r="AB231" s="74" t="str">
        <f>IFERROR(__xludf.DUMMYFUNCTION("""COMPUTED_VALUE"""),"")</f>
        <v/>
      </c>
    </row>
    <row r="232">
      <c r="A232" s="109">
        <f>IFERROR(__xludf.DUMMYFUNCTION("""COMPUTED_VALUE"""),45968.59190061342)</f>
        <v>45968.5919</v>
      </c>
      <c r="B232" s="81" t="str">
        <f>IFERROR(__xludf.DUMMYFUNCTION("""COMPUTED_VALUE"""),"Greta Traynor")</f>
        <v>Greta Traynor</v>
      </c>
      <c r="C232" s="74" t="b">
        <f>IFERROR(__xludf.DUMMYFUNCTION("""COMPUTED_VALUE"""),FALSE)</f>
        <v>0</v>
      </c>
      <c r="D232" s="137">
        <f>IFERROR(__xludf.DUMMYFUNCTION("""COMPUTED_VALUE"""),0.5416666666642413)</f>
        <v>0.5416666667</v>
      </c>
      <c r="E232" s="82">
        <f>IFERROR(__xludf.DUMMYFUNCTION("""COMPUTED_VALUE"""),0.04930555555620231)</f>
        <v>0.04930555556</v>
      </c>
      <c r="F232" s="137">
        <f>IFERROR(__xludf.DUMMYFUNCTION("""COMPUTED_VALUE"""),0.5909722222204437)</f>
        <v>0.5909722222</v>
      </c>
      <c r="G232" s="82">
        <f>IFERROR(__xludf.DUMMYFUNCTION("""COMPUTED_VALUE"""),0.04930555555620231)</f>
        <v>0.04930555556</v>
      </c>
      <c r="H232" s="115">
        <f>IFERROR(__xludf.DUMMYFUNCTION("""COMPUTED_VALUE"""),56.0)</f>
        <v>56</v>
      </c>
      <c r="I232" s="112">
        <f>IFERROR(__xludf.DUMMYFUNCTION("""COMPUTED_VALUE"""),47.32394366135107)</f>
        <v>47.32394366</v>
      </c>
      <c r="J232" s="74" t="str">
        <f>IFERROR(__xludf.DUMMYFUNCTION("""COMPUTED_VALUE"""),"Lunch")</f>
        <v>Lunch</v>
      </c>
      <c r="K232" s="113">
        <f>IFERROR(__xludf.DUMMYFUNCTION("""COMPUTED_VALUE"""),45968.0)</f>
        <v>45968</v>
      </c>
      <c r="L232" s="74" t="str">
        <f>IFERROR(__xludf.DUMMYFUNCTION("""COMPUTED_VALUE"""),"Friday")</f>
        <v>Friday</v>
      </c>
      <c r="M232" s="74" t="str">
        <f>IFERROR(__xludf.DUMMYFUNCTION("""COMPUTED_VALUE"""),"BF")</f>
        <v>BF</v>
      </c>
      <c r="N232" s="114">
        <f>IFERROR(__xludf.DUMMYFUNCTION("""COMPUTED_VALUE"""),1.2187239482673298)</f>
        <v>1.218723948</v>
      </c>
      <c r="O232" s="74" t="str">
        <f>IFERROR(__xludf.DUMMYFUNCTION("""COMPUTED_VALUE"""),"")</f>
        <v/>
      </c>
      <c r="P232" s="74" t="str">
        <f>IFERROR(__xludf.DUMMYFUNCTION("""COMPUTED_VALUE"""),"")</f>
        <v/>
      </c>
      <c r="Q232" s="82" t="str">
        <f>IFERROR(__xludf.DUMMYFUNCTION("""COMPUTED_VALUE"""),"")</f>
        <v/>
      </c>
      <c r="R232" s="82" t="str">
        <f>IFERROR(__xludf.DUMMYFUNCTION("""COMPUTED_VALUE"""),"")</f>
        <v/>
      </c>
      <c r="S232" s="63" t="str">
        <f>IFERROR(__xludf.DUMMYFUNCTION("""COMPUTED_VALUE"""),"")</f>
        <v/>
      </c>
      <c r="T232" s="63" t="str">
        <f>IFERROR(__xludf.DUMMYFUNCTION("""COMPUTED_VALUE"""),"")</f>
        <v/>
      </c>
      <c r="U232" s="138" t="str">
        <f>IFERROR(__xludf.DUMMYFUNCTION("""COMPUTED_VALUE"""),"")</f>
        <v/>
      </c>
      <c r="V232" s="82" t="str">
        <f>IFERROR(__xludf.DUMMYFUNCTION("""COMPUTED_VALUE"""),"")</f>
        <v/>
      </c>
      <c r="W232" s="64" t="str">
        <f>IFERROR(__xludf.DUMMYFUNCTION("""COMPUTED_VALUE"""),"")</f>
        <v/>
      </c>
      <c r="X232" s="64" t="str">
        <f>IFERROR(__xludf.DUMMYFUNCTION("""COMPUTED_VALUE"""),"")</f>
        <v/>
      </c>
      <c r="Y232" s="114" t="str">
        <f>IFERROR(__xludf.DUMMYFUNCTION("""COMPUTED_VALUE"""),"")</f>
        <v/>
      </c>
      <c r="Z232" s="118" t="str">
        <f>IFERROR(__xludf.DUMMYFUNCTION("""COMPUTED_VALUE"""),"")</f>
        <v/>
      </c>
      <c r="AA232" s="118" t="str">
        <f>IFERROR(__xludf.DUMMYFUNCTION("""COMPUTED_VALUE"""),"")</f>
        <v/>
      </c>
      <c r="AB232" s="74" t="str">
        <f>IFERROR(__xludf.DUMMYFUNCTION("""COMPUTED_VALUE"""),"")</f>
        <v/>
      </c>
    </row>
    <row r="233">
      <c r="A233" s="109">
        <f>IFERROR(__xludf.DUMMYFUNCTION("""COMPUTED_VALUE"""),45968.63256614583)</f>
        <v>45968.63257</v>
      </c>
      <c r="B233" s="81" t="str">
        <f>IFERROR(__xludf.DUMMYFUNCTION("""COMPUTED_VALUE"""),"Brynn Hornig")</f>
        <v>Brynn Hornig</v>
      </c>
      <c r="C233" s="74" t="b">
        <f>IFERROR(__xludf.DUMMYFUNCTION("""COMPUTED_VALUE"""),FALSE)</f>
        <v>0</v>
      </c>
      <c r="D233" s="137">
        <f>IFERROR(__xludf.DUMMYFUNCTION("""COMPUTED_VALUE"""),0.5520833333357587)</f>
        <v>0.5520833333</v>
      </c>
      <c r="E233" s="82">
        <f>IFERROR(__xludf.DUMMYFUNCTION("""COMPUTED_VALUE"""),0.01736111110949423)</f>
        <v>0.01736111111</v>
      </c>
      <c r="F233" s="137">
        <f>IFERROR(__xludf.DUMMYFUNCTION("""COMPUTED_VALUE"""),0.5694444444452529)</f>
        <v>0.5694444444</v>
      </c>
      <c r="G233" s="82">
        <f>IFERROR(__xludf.DUMMYFUNCTION("""COMPUTED_VALUE"""),0.07986111110949423)</f>
        <v>0.07986111111</v>
      </c>
      <c r="H233" s="115">
        <f>IFERROR(__xludf.DUMMYFUNCTION("""COMPUTED_VALUE"""),37.0)</f>
        <v>37</v>
      </c>
      <c r="I233" s="112">
        <f>IFERROR(__xludf.DUMMYFUNCTION("""COMPUTED_VALUE"""),19.304347826477795)</f>
        <v>19.30434783</v>
      </c>
      <c r="J233" s="74" t="str">
        <f>IFERROR(__xludf.DUMMYFUNCTION("""COMPUTED_VALUE"""),"Lunch")</f>
        <v>Lunch</v>
      </c>
      <c r="K233" s="113">
        <f>IFERROR(__xludf.DUMMYFUNCTION("""COMPUTED_VALUE"""),45968.0)</f>
        <v>45968</v>
      </c>
      <c r="L233" s="74" t="str">
        <f>IFERROR(__xludf.DUMMYFUNCTION("""COMPUTED_VALUE"""),"Friday")</f>
        <v>Friday</v>
      </c>
      <c r="M233" s="74" t="str">
        <f>IFERROR(__xludf.DUMMYFUNCTION("""COMPUTED_VALUE"""),"MF")</f>
        <v>MF</v>
      </c>
      <c r="N233" s="114">
        <f>IFERROR(__xludf.DUMMYFUNCTION("""COMPUTED_VALUE"""),0.4014308867399526)</f>
        <v>0.4014308867</v>
      </c>
      <c r="O233" s="74" t="str">
        <f>IFERROR(__xludf.DUMMYFUNCTION("""COMPUTED_VALUE"""),"")</f>
        <v/>
      </c>
      <c r="P233" s="74" t="str">
        <f>IFERROR(__xludf.DUMMYFUNCTION("""COMPUTED_VALUE"""),"")</f>
        <v/>
      </c>
      <c r="Q233" s="82" t="str">
        <f>IFERROR(__xludf.DUMMYFUNCTION("""COMPUTED_VALUE"""),"")</f>
        <v/>
      </c>
      <c r="R233" s="82" t="str">
        <f>IFERROR(__xludf.DUMMYFUNCTION("""COMPUTED_VALUE"""),"")</f>
        <v/>
      </c>
      <c r="S233" s="63" t="str">
        <f>IFERROR(__xludf.DUMMYFUNCTION("""COMPUTED_VALUE"""),"")</f>
        <v/>
      </c>
      <c r="T233" s="63" t="str">
        <f>IFERROR(__xludf.DUMMYFUNCTION("""COMPUTED_VALUE"""),"")</f>
        <v/>
      </c>
      <c r="U233" s="138" t="str">
        <f>IFERROR(__xludf.DUMMYFUNCTION("""COMPUTED_VALUE"""),"")</f>
        <v/>
      </c>
      <c r="V233" s="82" t="str">
        <f>IFERROR(__xludf.DUMMYFUNCTION("""COMPUTED_VALUE"""),"")</f>
        <v/>
      </c>
      <c r="W233" s="64" t="str">
        <f>IFERROR(__xludf.DUMMYFUNCTION("""COMPUTED_VALUE"""),"")</f>
        <v/>
      </c>
      <c r="X233" s="64" t="str">
        <f>IFERROR(__xludf.DUMMYFUNCTION("""COMPUTED_VALUE"""),"")</f>
        <v/>
      </c>
      <c r="Y233" s="114" t="str">
        <f>IFERROR(__xludf.DUMMYFUNCTION("""COMPUTED_VALUE"""),"")</f>
        <v/>
      </c>
      <c r="Z233" s="118" t="str">
        <f>IFERROR(__xludf.DUMMYFUNCTION("""COMPUTED_VALUE"""),"")</f>
        <v/>
      </c>
      <c r="AA233" s="118" t="str">
        <f>IFERROR(__xludf.DUMMYFUNCTION("""COMPUTED_VALUE"""),"")</f>
        <v/>
      </c>
      <c r="AB233" s="74" t="str">
        <f>IFERROR(__xludf.DUMMYFUNCTION("""COMPUTED_VALUE"""),"")</f>
        <v/>
      </c>
    </row>
    <row r="234">
      <c r="A234" s="109">
        <f>IFERROR(__xludf.DUMMYFUNCTION("""COMPUTED_VALUE"""),45968.6330269676)</f>
        <v>45968.63303</v>
      </c>
      <c r="B234" s="81" t="str">
        <f>IFERROR(__xludf.DUMMYFUNCTION("""COMPUTED_VALUE"""),"Brynn Hornig")</f>
        <v>Brynn Hornig</v>
      </c>
      <c r="C234" s="74" t="b">
        <f>IFERROR(__xludf.DUMMYFUNCTION("""COMPUTED_VALUE"""),TRUE)</f>
        <v>1</v>
      </c>
      <c r="D234" s="137">
        <f>IFERROR(__xludf.DUMMYFUNCTION("""COMPUTED_VALUE"""),0.5729166666642413)</f>
        <v>0.5729166667</v>
      </c>
      <c r="E234" s="82">
        <f>IFERROR(__xludf.DUMMYFUNCTION("""COMPUTED_VALUE"""),0.0625)</f>
        <v>0.0625</v>
      </c>
      <c r="F234" s="137">
        <f>IFERROR(__xludf.DUMMYFUNCTION("""COMPUTED_VALUE"""),0.6354166666642413)</f>
        <v>0.6354166667</v>
      </c>
      <c r="G234" s="82" t="str">
        <f>IFERROR(__xludf.DUMMYFUNCTION("""COMPUTED_VALUE"""),"")</f>
        <v/>
      </c>
      <c r="H234" s="115">
        <f>IFERROR(__xludf.DUMMYFUNCTION("""COMPUTED_VALUE"""),58.0)</f>
        <v>58</v>
      </c>
      <c r="I234" s="112" t="str">
        <f>IFERROR(__xludf.DUMMYFUNCTION("""COMPUTED_VALUE"""),"")</f>
        <v/>
      </c>
      <c r="J234" s="74" t="str">
        <f>IFERROR(__xludf.DUMMYFUNCTION("""COMPUTED_VALUE"""),"Lunch")</f>
        <v>Lunch</v>
      </c>
      <c r="K234" s="113">
        <f>IFERROR(__xludf.DUMMYFUNCTION("""COMPUTED_VALUE"""),45968.0)</f>
        <v>45968</v>
      </c>
      <c r="L234" s="74" t="str">
        <f>IFERROR(__xludf.DUMMYFUNCTION("""COMPUTED_VALUE"""),"Friday")</f>
        <v>Friday</v>
      </c>
      <c r="M234" s="74" t="str">
        <f>IFERROR(__xludf.DUMMYFUNCTION("""COMPUTED_VALUE"""),"MF")</f>
        <v>MF</v>
      </c>
      <c r="N234" s="114" t="str">
        <f>IFERROR(__xludf.DUMMYFUNCTION("""COMPUTED_VALUE"""),"")</f>
        <v/>
      </c>
      <c r="O234" s="74" t="str">
        <f>IFERROR(__xludf.DUMMYFUNCTION("""COMPUTED_VALUE"""),"")</f>
        <v/>
      </c>
      <c r="P234" s="74" t="str">
        <f>IFERROR(__xludf.DUMMYFUNCTION("""COMPUTED_VALUE"""),"")</f>
        <v/>
      </c>
      <c r="Q234" s="92" t="str">
        <f>IFERROR(__xludf.DUMMYFUNCTION("""COMPUTED_VALUE"""),"")</f>
        <v/>
      </c>
      <c r="R234" s="92" t="str">
        <f>IFERROR(__xludf.DUMMYFUNCTION("""COMPUTED_VALUE"""),"")</f>
        <v/>
      </c>
      <c r="S234" s="63" t="str">
        <f>IFERROR(__xludf.DUMMYFUNCTION("""COMPUTED_VALUE"""),"")</f>
        <v/>
      </c>
      <c r="T234" s="63" t="str">
        <f>IFERROR(__xludf.DUMMYFUNCTION("""COMPUTED_VALUE"""),"")</f>
        <v/>
      </c>
      <c r="U234" s="116" t="str">
        <f>IFERROR(__xludf.DUMMYFUNCTION("""COMPUTED_VALUE"""),"")</f>
        <v/>
      </c>
      <c r="V234" s="92" t="str">
        <f>IFERROR(__xludf.DUMMYFUNCTION("""COMPUTED_VALUE"""),"")</f>
        <v/>
      </c>
      <c r="W234" s="64" t="str">
        <f>IFERROR(__xludf.DUMMYFUNCTION("""COMPUTED_VALUE"""),"")</f>
        <v/>
      </c>
      <c r="X234" s="64" t="str">
        <f>IFERROR(__xludf.DUMMYFUNCTION("""COMPUTED_VALUE"""),"")</f>
        <v/>
      </c>
      <c r="Y234" s="114" t="str">
        <f>IFERROR(__xludf.DUMMYFUNCTION("""COMPUTED_VALUE"""),"")</f>
        <v/>
      </c>
      <c r="Z234" s="118" t="str">
        <f>IFERROR(__xludf.DUMMYFUNCTION("""COMPUTED_VALUE"""),"")</f>
        <v/>
      </c>
      <c r="AA234" s="118" t="str">
        <f>IFERROR(__xludf.DUMMYFUNCTION("""COMPUTED_VALUE"""),"")</f>
        <v/>
      </c>
      <c r="AB234" s="74" t="str">
        <f>IFERROR(__xludf.DUMMYFUNCTION("""COMPUTED_VALUE"""),"")</f>
        <v/>
      </c>
    </row>
    <row r="235">
      <c r="A235" s="109">
        <f>IFERROR(__xludf.DUMMYFUNCTION("""COMPUTED_VALUE"""),45968.743408634255)</f>
        <v>45968.74341</v>
      </c>
      <c r="B235" s="81" t="str">
        <f>IFERROR(__xludf.DUMMYFUNCTION("""COMPUTED_VALUE"""),"Emmett Khan")</f>
        <v>Emmett Khan</v>
      </c>
      <c r="C235" s="74" t="b">
        <f>IFERROR(__xludf.DUMMYFUNCTION("""COMPUTED_VALUE"""),FALSE)</f>
        <v>0</v>
      </c>
      <c r="D235" s="137">
        <f>IFERROR(__xludf.DUMMYFUNCTION("""COMPUTED_VALUE"""),0.6666666666642413)</f>
        <v>0.6666666667</v>
      </c>
      <c r="E235" s="82">
        <f>IFERROR(__xludf.DUMMYFUNCTION("""COMPUTED_VALUE"""),0.07361111111094942)</f>
        <v>0.07361111111</v>
      </c>
      <c r="F235" s="137">
        <f>IFERROR(__xludf.DUMMYFUNCTION("""COMPUTED_VALUE"""),0.7402777777751908)</f>
        <v>0.7402777778</v>
      </c>
      <c r="G235" s="82">
        <f>IFERROR(__xludf.DUMMYFUNCTION("""COMPUTED_VALUE"""),0.08402777777519077)</f>
        <v>0.08402777778</v>
      </c>
      <c r="H235" s="115">
        <f>IFERROR(__xludf.DUMMYFUNCTION("""COMPUTED_VALUE"""),193.0)</f>
        <v>193</v>
      </c>
      <c r="I235" s="112">
        <f>IFERROR(__xludf.DUMMYFUNCTION("""COMPUTED_VALUE"""),95.70247934178941)</f>
        <v>95.70247934</v>
      </c>
      <c r="J235" s="74" t="str">
        <f>IFERROR(__xludf.DUMMYFUNCTION("""COMPUTED_VALUE"""),"Dinner")</f>
        <v>Dinner</v>
      </c>
      <c r="K235" s="113">
        <f>IFERROR(__xludf.DUMMYFUNCTION("""COMPUTED_VALUE"""),45968.0)</f>
        <v>45968</v>
      </c>
      <c r="L235" s="74" t="str">
        <f>IFERROR(__xludf.DUMMYFUNCTION("""COMPUTED_VALUE"""),"Friday")</f>
        <v>Friday</v>
      </c>
      <c r="M235" s="74" t="str">
        <f>IFERROR(__xludf.DUMMYFUNCTION("""COMPUTED_VALUE"""),"MF")</f>
        <v>MF</v>
      </c>
      <c r="N235" s="114">
        <f>IFERROR(__xludf.DUMMYFUNCTION("""COMPUTED_VALUE"""),1.8858160304570855)</f>
        <v>1.88581603</v>
      </c>
      <c r="O235" s="74" t="str">
        <f>IFERROR(__xludf.DUMMYFUNCTION("""COMPUTED_VALUE"""),"")</f>
        <v/>
      </c>
      <c r="P235" s="74" t="str">
        <f>IFERROR(__xludf.DUMMYFUNCTION("""COMPUTED_VALUE"""),"")</f>
        <v/>
      </c>
      <c r="Q235" s="82" t="str">
        <f>IFERROR(__xludf.DUMMYFUNCTION("""COMPUTED_VALUE"""),"")</f>
        <v/>
      </c>
      <c r="R235" s="82" t="str">
        <f>IFERROR(__xludf.DUMMYFUNCTION("""COMPUTED_VALUE"""),"")</f>
        <v/>
      </c>
      <c r="S235" s="63" t="str">
        <f>IFERROR(__xludf.DUMMYFUNCTION("""COMPUTED_VALUE"""),"")</f>
        <v/>
      </c>
      <c r="T235" s="63" t="str">
        <f>IFERROR(__xludf.DUMMYFUNCTION("""COMPUTED_VALUE"""),"")</f>
        <v/>
      </c>
      <c r="U235" s="138" t="str">
        <f>IFERROR(__xludf.DUMMYFUNCTION("""COMPUTED_VALUE"""),"")</f>
        <v/>
      </c>
      <c r="V235" s="82" t="str">
        <f>IFERROR(__xludf.DUMMYFUNCTION("""COMPUTED_VALUE"""),"")</f>
        <v/>
      </c>
      <c r="W235" s="64" t="str">
        <f>IFERROR(__xludf.DUMMYFUNCTION("""COMPUTED_VALUE"""),"")</f>
        <v/>
      </c>
      <c r="X235" s="64" t="str">
        <f>IFERROR(__xludf.DUMMYFUNCTION("""COMPUTED_VALUE"""),"")</f>
        <v/>
      </c>
      <c r="Y235" s="114" t="str">
        <f>IFERROR(__xludf.DUMMYFUNCTION("""COMPUTED_VALUE"""),"")</f>
        <v/>
      </c>
      <c r="Z235" s="118" t="str">
        <f>IFERROR(__xludf.DUMMYFUNCTION("""COMPUTED_VALUE"""),"")</f>
        <v/>
      </c>
      <c r="AA235" s="118" t="str">
        <f>IFERROR(__xludf.DUMMYFUNCTION("""COMPUTED_VALUE"""),"")</f>
        <v/>
      </c>
      <c r="AB235" s="74" t="str">
        <f>IFERROR(__xludf.DUMMYFUNCTION("""COMPUTED_VALUE"""),"")</f>
        <v/>
      </c>
    </row>
    <row r="236">
      <c r="A236" s="109">
        <f>IFERROR(__xludf.DUMMYFUNCTION("""COMPUTED_VALUE"""),45968.7624846875)</f>
        <v>45968.76248</v>
      </c>
      <c r="B236" s="81" t="str">
        <f>IFERROR(__xludf.DUMMYFUNCTION("""COMPUTED_VALUE"""),"Emmett Khan")</f>
        <v>Emmett Khan</v>
      </c>
      <c r="C236" s="74" t="b">
        <f>IFERROR(__xludf.DUMMYFUNCTION("""COMPUTED_VALUE"""),TRUE)</f>
        <v>1</v>
      </c>
      <c r="D236" s="137">
        <f>IFERROR(__xludf.DUMMYFUNCTION("""COMPUTED_VALUE"""),0.75)</f>
        <v>0.75</v>
      </c>
      <c r="E236" s="82">
        <f>IFERROR(__xludf.DUMMYFUNCTION("""COMPUTED_VALUE"""),0.010416666664241347)</f>
        <v>0.01041666666</v>
      </c>
      <c r="F236" s="137">
        <f>IFERROR(__xludf.DUMMYFUNCTION("""COMPUTED_VALUE"""),0.7604166666642413)</f>
        <v>0.7604166667</v>
      </c>
      <c r="G236" s="82" t="str">
        <f>IFERROR(__xludf.DUMMYFUNCTION("""COMPUTED_VALUE"""),"")</f>
        <v/>
      </c>
      <c r="H236" s="115">
        <f>IFERROR(__xludf.DUMMYFUNCTION("""COMPUTED_VALUE"""),53.0)</f>
        <v>53</v>
      </c>
      <c r="I236" s="112" t="str">
        <f>IFERROR(__xludf.DUMMYFUNCTION("""COMPUTED_VALUE"""),"")</f>
        <v/>
      </c>
      <c r="J236" s="74" t="str">
        <f>IFERROR(__xludf.DUMMYFUNCTION("""COMPUTED_VALUE"""),"Dinner")</f>
        <v>Dinner</v>
      </c>
      <c r="K236" s="113">
        <f>IFERROR(__xludf.DUMMYFUNCTION("""COMPUTED_VALUE"""),45968.0)</f>
        <v>45968</v>
      </c>
      <c r="L236" s="74" t="str">
        <f>IFERROR(__xludf.DUMMYFUNCTION("""COMPUTED_VALUE"""),"Friday")</f>
        <v>Friday</v>
      </c>
      <c r="M236" s="74" t="str">
        <f>IFERROR(__xludf.DUMMYFUNCTION("""COMPUTED_VALUE"""),"MF")</f>
        <v>MF</v>
      </c>
      <c r="N236" s="114" t="str">
        <f>IFERROR(__xludf.DUMMYFUNCTION("""COMPUTED_VALUE"""),"")</f>
        <v/>
      </c>
      <c r="O236" s="74">
        <f>IFERROR(__xludf.DUMMYFUNCTION("""COMPUTED_VALUE"""),442.0)</f>
        <v>442</v>
      </c>
      <c r="P236" s="74">
        <f>IFERROR(__xludf.DUMMYFUNCTION("""COMPUTED_VALUE"""),56.0)</f>
        <v>56</v>
      </c>
      <c r="Q236" s="82">
        <f>IFERROR(__xludf.DUMMYFUNCTION("""COMPUTED_VALUE"""),0.2326388888832298)</f>
        <v>0.2326388889</v>
      </c>
      <c r="R236" s="82">
        <f>IFERROR(__xludf.DUMMYFUNCTION("""COMPUTED_VALUE"""),0.04930555555620231)</f>
        <v>0.04930555556</v>
      </c>
      <c r="S236" s="63">
        <f>IFERROR(__xludf.DUMMYFUNCTION("""COMPUTED_VALUE"""),58.73964946056136)</f>
        <v>58.73964946</v>
      </c>
      <c r="T236" s="63">
        <f>IFERROR(__xludf.DUMMYFUNCTION("""COMPUTED_VALUE"""),47.32394366135107)</f>
        <v>47.32394366</v>
      </c>
      <c r="U236" s="138">
        <f>IFERROR(__xludf.DUMMYFUNCTION("""COMPUTED_VALUE"""),498.0)</f>
        <v>498</v>
      </c>
      <c r="V236" s="82">
        <f>IFERROR(__xludf.DUMMYFUNCTION("""COMPUTED_VALUE"""),0.2819444444394321)</f>
        <v>0.2819444444</v>
      </c>
      <c r="W236" s="64">
        <f>IFERROR(__xludf.DUMMYFUNCTION("""COMPUTED_VALUE"""),73.59605911460886)</f>
        <v>73.59605911</v>
      </c>
      <c r="X236" s="64">
        <f>IFERROR(__xludf.DUMMYFUNCTION("""COMPUTED_VALUE"""),55.88572301075878)</f>
        <v>55.88572301</v>
      </c>
      <c r="Y236" s="114">
        <f>IFERROR(__xludf.DUMMYFUNCTION("""COMPUTED_VALUE"""),0.8165280865198499)</f>
        <v>0.8165280865</v>
      </c>
      <c r="Z236" s="118">
        <f>IFERROR(__xludf.DUMMYFUNCTION("""COMPUTED_VALUE"""),3355.0)</f>
        <v>3355</v>
      </c>
      <c r="AA236" s="118">
        <f>IFERROR(__xludf.DUMMYFUNCTION("""COMPUTED_VALUE"""),1886.0)</f>
        <v>1886</v>
      </c>
      <c r="AB236" s="118">
        <f>IFERROR(__xludf.DUMMYFUNCTION("""COMPUTED_VALUE"""),5241.0)</f>
        <v>5241</v>
      </c>
    </row>
    <row r="237">
      <c r="A237" s="109">
        <f>IFERROR(__xludf.DUMMYFUNCTION("""COMPUTED_VALUE"""),45971.43348891204)</f>
        <v>45971.43349</v>
      </c>
      <c r="B237" s="81" t="str">
        <f>IFERROR(__xludf.DUMMYFUNCTION("""COMPUTED_VALUE"""),"Sarah Wilme")</f>
        <v>Sarah Wilme</v>
      </c>
      <c r="C237" s="74" t="b">
        <f>IFERROR(__xludf.DUMMYFUNCTION("""COMPUTED_VALUE"""),FALSE)</f>
        <v>0</v>
      </c>
      <c r="D237" s="137">
        <f>IFERROR(__xludf.DUMMYFUNCTION("""COMPUTED_VALUE"""),0.29027777777810115)</f>
        <v>0.2902777778</v>
      </c>
      <c r="E237" s="82">
        <f>IFERROR(__xludf.DUMMYFUNCTION("""COMPUTED_VALUE"""),0.13611111111094942)</f>
        <v>0.1361111111</v>
      </c>
      <c r="F237" s="137">
        <f>IFERROR(__xludf.DUMMYFUNCTION("""COMPUTED_VALUE"""),0.4263888888890506)</f>
        <v>0.4263888889</v>
      </c>
      <c r="G237" s="82">
        <f>IFERROR(__xludf.DUMMYFUNCTION("""COMPUTED_VALUE"""),0.13611111111094942)</f>
        <v>0.1361111111</v>
      </c>
      <c r="H237" s="115">
        <f>IFERROR(__xludf.DUMMYFUNCTION("""COMPUTED_VALUE"""),92.0)</f>
        <v>92</v>
      </c>
      <c r="I237" s="112">
        <f>IFERROR(__xludf.DUMMYFUNCTION("""COMPUTED_VALUE"""),28.163265306155903)</f>
        <v>28.16326531</v>
      </c>
      <c r="J237" s="74" t="str">
        <f>IFERROR(__xludf.DUMMYFUNCTION("""COMPUTED_VALUE"""),"Breakfast")</f>
        <v>Breakfast</v>
      </c>
      <c r="K237" s="113">
        <f>IFERROR(__xludf.DUMMYFUNCTION("""COMPUTED_VALUE"""),45971.0)</f>
        <v>45971</v>
      </c>
      <c r="L237" s="74" t="str">
        <f>IFERROR(__xludf.DUMMYFUNCTION("""COMPUTED_VALUE"""),"Monday")</f>
        <v>Monday</v>
      </c>
      <c r="M237" s="74" t="str">
        <f>IFERROR(__xludf.DUMMYFUNCTION("""COMPUTED_VALUE"""),"BF")</f>
        <v>BF</v>
      </c>
      <c r="N237" s="114">
        <f>IFERROR(__xludf.DUMMYFUNCTION("""COMPUTED_VALUE"""),1.1927473477354442)</f>
        <v>1.192747348</v>
      </c>
      <c r="O237" s="74" t="str">
        <f>IFERROR(__xludf.DUMMYFUNCTION("""COMPUTED_VALUE"""),"")</f>
        <v/>
      </c>
      <c r="P237" s="74" t="str">
        <f>IFERROR(__xludf.DUMMYFUNCTION("""COMPUTED_VALUE"""),"")</f>
        <v/>
      </c>
      <c r="Q237" s="92" t="str">
        <f>IFERROR(__xludf.DUMMYFUNCTION("""COMPUTED_VALUE"""),"")</f>
        <v/>
      </c>
      <c r="R237" s="92" t="str">
        <f>IFERROR(__xludf.DUMMYFUNCTION("""COMPUTED_VALUE"""),"")</f>
        <v/>
      </c>
      <c r="S237" s="63" t="str">
        <f>IFERROR(__xludf.DUMMYFUNCTION("""COMPUTED_VALUE"""),"")</f>
        <v/>
      </c>
      <c r="T237" s="63" t="str">
        <f>IFERROR(__xludf.DUMMYFUNCTION("""COMPUTED_VALUE"""),"")</f>
        <v/>
      </c>
      <c r="U237" s="116" t="str">
        <f>IFERROR(__xludf.DUMMYFUNCTION("""COMPUTED_VALUE"""),"")</f>
        <v/>
      </c>
      <c r="V237" s="92" t="str">
        <f>IFERROR(__xludf.DUMMYFUNCTION("""COMPUTED_VALUE"""),"")</f>
        <v/>
      </c>
      <c r="W237" s="64" t="str">
        <f>IFERROR(__xludf.DUMMYFUNCTION("""COMPUTED_VALUE"""),"")</f>
        <v/>
      </c>
      <c r="X237" s="64" t="str">
        <f>IFERROR(__xludf.DUMMYFUNCTION("""COMPUTED_VALUE"""),"")</f>
        <v/>
      </c>
      <c r="Y237" s="114" t="str">
        <f>IFERROR(__xludf.DUMMYFUNCTION("""COMPUTED_VALUE"""),"")</f>
        <v/>
      </c>
      <c r="Z237" s="118" t="str">
        <f>IFERROR(__xludf.DUMMYFUNCTION("""COMPUTED_VALUE"""),"")</f>
        <v/>
      </c>
      <c r="AA237" s="118" t="str">
        <f>IFERROR(__xludf.DUMMYFUNCTION("""COMPUTED_VALUE"""),"")</f>
        <v/>
      </c>
      <c r="AB237" s="74" t="str">
        <f>IFERROR(__xludf.DUMMYFUNCTION("""COMPUTED_VALUE"""),"")</f>
        <v/>
      </c>
    </row>
    <row r="238">
      <c r="A238" s="109">
        <f>IFERROR(__xludf.DUMMYFUNCTION("""COMPUTED_VALUE"""),45971.49991732639)</f>
        <v>45971.49992</v>
      </c>
      <c r="B238" s="81" t="str">
        <f>IFERROR(__xludf.DUMMYFUNCTION("""COMPUTED_VALUE"""),"Oluwatimilehin Shodipe")</f>
        <v>Oluwatimilehin Shodipe</v>
      </c>
      <c r="C238" s="74" t="b">
        <f>IFERROR(__xludf.DUMMYFUNCTION("""COMPUTED_VALUE"""),FALSE)</f>
        <v>0</v>
      </c>
      <c r="D238" s="137">
        <f>IFERROR(__xludf.DUMMYFUNCTION("""COMPUTED_VALUE"""),0.4423611111124046)</f>
        <v>0.4423611111</v>
      </c>
      <c r="E238" s="82">
        <f>IFERROR(__xludf.DUMMYFUNCTION("""COMPUTED_VALUE"""),0.056249999994179234)</f>
        <v>0.05624999999</v>
      </c>
      <c r="F238" s="137">
        <f>IFERROR(__xludf.DUMMYFUNCTION("""COMPUTED_VALUE"""),0.49861111110658385)</f>
        <v>0.4986111111</v>
      </c>
      <c r="G238" s="82">
        <f>IFERROR(__xludf.DUMMYFUNCTION("""COMPUTED_VALUE"""),0.056249999994179234)</f>
        <v>0.05624999999</v>
      </c>
      <c r="H238" s="115">
        <f>IFERROR(__xludf.DUMMYFUNCTION("""COMPUTED_VALUE"""),86.0)</f>
        <v>86</v>
      </c>
      <c r="I238" s="112">
        <f>IFERROR(__xludf.DUMMYFUNCTION("""COMPUTED_VALUE"""),63.703703710295784)</f>
        <v>63.70370371</v>
      </c>
      <c r="J238" s="74" t="str">
        <f>IFERROR(__xludf.DUMMYFUNCTION("""COMPUTED_VALUE"""),"Breakfast/Lunch")</f>
        <v>Breakfast/Lunch</v>
      </c>
      <c r="K238" s="113">
        <f>IFERROR(__xludf.DUMMYFUNCTION("""COMPUTED_VALUE"""),45971.0)</f>
        <v>45971</v>
      </c>
      <c r="L238" s="74" t="str">
        <f>IFERROR(__xludf.DUMMYFUNCTION("""COMPUTED_VALUE"""),"Monday")</f>
        <v>Monday</v>
      </c>
      <c r="M238" s="74" t="str">
        <f>IFERROR(__xludf.DUMMYFUNCTION("""COMPUTED_VALUE"""),"BF")</f>
        <v>BF</v>
      </c>
      <c r="N238" s="114">
        <f>IFERROR(__xludf.DUMMYFUNCTION("""COMPUTED_VALUE"""),1.118731175560064)</f>
        <v>1.118731176</v>
      </c>
      <c r="O238" s="74" t="str">
        <f>IFERROR(__xludf.DUMMYFUNCTION("""COMPUTED_VALUE"""),"")</f>
        <v/>
      </c>
      <c r="P238" s="74" t="str">
        <f>IFERROR(__xludf.DUMMYFUNCTION("""COMPUTED_VALUE"""),"")</f>
        <v/>
      </c>
      <c r="Q238" s="92" t="str">
        <f>IFERROR(__xludf.DUMMYFUNCTION("""COMPUTED_VALUE"""),"")</f>
        <v/>
      </c>
      <c r="R238" s="92" t="str">
        <f>IFERROR(__xludf.DUMMYFUNCTION("""COMPUTED_VALUE"""),"")</f>
        <v/>
      </c>
      <c r="S238" s="63" t="str">
        <f>IFERROR(__xludf.DUMMYFUNCTION("""COMPUTED_VALUE"""),"")</f>
        <v/>
      </c>
      <c r="T238" s="63" t="str">
        <f>IFERROR(__xludf.DUMMYFUNCTION("""COMPUTED_VALUE"""),"")</f>
        <v/>
      </c>
      <c r="U238" s="116" t="str">
        <f>IFERROR(__xludf.DUMMYFUNCTION("""COMPUTED_VALUE"""),"")</f>
        <v/>
      </c>
      <c r="V238" s="92" t="str">
        <f>IFERROR(__xludf.DUMMYFUNCTION("""COMPUTED_VALUE"""),"")</f>
        <v/>
      </c>
      <c r="W238" s="64" t="str">
        <f>IFERROR(__xludf.DUMMYFUNCTION("""COMPUTED_VALUE"""),"")</f>
        <v/>
      </c>
      <c r="X238" s="64" t="str">
        <f>IFERROR(__xludf.DUMMYFUNCTION("""COMPUTED_VALUE"""),"")</f>
        <v/>
      </c>
      <c r="Y238" s="114" t="str">
        <f>IFERROR(__xludf.DUMMYFUNCTION("""COMPUTED_VALUE"""),"")</f>
        <v/>
      </c>
      <c r="Z238" s="118" t="str">
        <f>IFERROR(__xludf.DUMMYFUNCTION("""COMPUTED_VALUE"""),"")</f>
        <v/>
      </c>
      <c r="AA238" s="118" t="str">
        <f>IFERROR(__xludf.DUMMYFUNCTION("""COMPUTED_VALUE"""),"")</f>
        <v/>
      </c>
      <c r="AB238" s="74" t="str">
        <f>IFERROR(__xludf.DUMMYFUNCTION("""COMPUTED_VALUE"""),"")</f>
        <v/>
      </c>
    </row>
    <row r="239">
      <c r="A239" s="109">
        <f>IFERROR(__xludf.DUMMYFUNCTION("""COMPUTED_VALUE"""),45971.56993041666)</f>
        <v>45971.56993</v>
      </c>
      <c r="B239" s="81" t="str">
        <f>IFERROR(__xludf.DUMMYFUNCTION("""COMPUTED_VALUE"""),"Orpheus Wilson")</f>
        <v>Orpheus Wilson</v>
      </c>
      <c r="C239" s="74" t="b">
        <f>IFERROR(__xludf.DUMMYFUNCTION("""COMPUTED_VALUE"""),FALSE)</f>
        <v>0</v>
      </c>
      <c r="D239" s="137">
        <f>IFERROR(__xludf.DUMMYFUNCTION("""COMPUTED_VALUE"""),0.4881944444423425)</f>
        <v>0.4881944444</v>
      </c>
      <c r="E239" s="82">
        <f>IFERROR(__xludf.DUMMYFUNCTION("""COMPUTED_VALUE"""),0.07361111111094942)</f>
        <v>0.07361111111</v>
      </c>
      <c r="F239" s="137">
        <f>IFERROR(__xludf.DUMMYFUNCTION("""COMPUTED_VALUE"""),0.5618055555532919)</f>
        <v>0.5618055556</v>
      </c>
      <c r="G239" s="82">
        <f>IFERROR(__xludf.DUMMYFUNCTION("""COMPUTED_VALUE"""),0.07361111111094942)</f>
        <v>0.07361111111</v>
      </c>
      <c r="H239" s="115">
        <f>IFERROR(__xludf.DUMMYFUNCTION("""COMPUTED_VALUE"""),157.0)</f>
        <v>157</v>
      </c>
      <c r="I239" s="112">
        <f>IFERROR(__xludf.DUMMYFUNCTION("""COMPUTED_VALUE"""),88.86792452849708)</f>
        <v>88.86792453</v>
      </c>
      <c r="J239" s="74" t="str">
        <f>IFERROR(__xludf.DUMMYFUNCTION("""COMPUTED_VALUE"""),"Lunch")</f>
        <v>Lunch</v>
      </c>
      <c r="K239" s="113">
        <f>IFERROR(__xludf.DUMMYFUNCTION("""COMPUTED_VALUE"""),45971.0)</f>
        <v>45971</v>
      </c>
      <c r="L239" s="74" t="str">
        <f>IFERROR(__xludf.DUMMYFUNCTION("""COMPUTED_VALUE"""),"Monday")</f>
        <v>Monday</v>
      </c>
      <c r="M239" s="74" t="str">
        <f>IFERROR(__xludf.DUMMYFUNCTION("""COMPUTED_VALUE"""),"MF")</f>
        <v>MF</v>
      </c>
      <c r="N239" s="114">
        <f>IFERROR(__xludf.DUMMYFUNCTION("""COMPUTED_VALUE"""),1.8479945588880733)</f>
        <v>1.847994559</v>
      </c>
      <c r="O239" s="74" t="str">
        <f>IFERROR(__xludf.DUMMYFUNCTION("""COMPUTED_VALUE"""),"")</f>
        <v/>
      </c>
      <c r="P239" s="74" t="str">
        <f>IFERROR(__xludf.DUMMYFUNCTION("""COMPUTED_VALUE"""),"")</f>
        <v/>
      </c>
      <c r="Q239" s="82" t="str">
        <f>IFERROR(__xludf.DUMMYFUNCTION("""COMPUTED_VALUE"""),"")</f>
        <v/>
      </c>
      <c r="R239" s="82" t="str">
        <f>IFERROR(__xludf.DUMMYFUNCTION("""COMPUTED_VALUE"""),"")</f>
        <v/>
      </c>
      <c r="S239" s="63" t="str">
        <f>IFERROR(__xludf.DUMMYFUNCTION("""COMPUTED_VALUE"""),"")</f>
        <v/>
      </c>
      <c r="T239" s="63" t="str">
        <f>IFERROR(__xludf.DUMMYFUNCTION("""COMPUTED_VALUE"""),"")</f>
        <v/>
      </c>
      <c r="U239" s="138" t="str">
        <f>IFERROR(__xludf.DUMMYFUNCTION("""COMPUTED_VALUE"""),"")</f>
        <v/>
      </c>
      <c r="V239" s="82" t="str">
        <f>IFERROR(__xludf.DUMMYFUNCTION("""COMPUTED_VALUE"""),"")</f>
        <v/>
      </c>
      <c r="W239" s="64" t="str">
        <f>IFERROR(__xludf.DUMMYFUNCTION("""COMPUTED_VALUE"""),"")</f>
        <v/>
      </c>
      <c r="X239" s="64" t="str">
        <f>IFERROR(__xludf.DUMMYFUNCTION("""COMPUTED_VALUE"""),"")</f>
        <v/>
      </c>
      <c r="Y239" s="114" t="str">
        <f>IFERROR(__xludf.DUMMYFUNCTION("""COMPUTED_VALUE"""),"")</f>
        <v/>
      </c>
      <c r="Z239" s="118" t="str">
        <f>IFERROR(__xludf.DUMMYFUNCTION("""COMPUTED_VALUE"""),"")</f>
        <v/>
      </c>
      <c r="AA239" s="118" t="str">
        <f>IFERROR(__xludf.DUMMYFUNCTION("""COMPUTED_VALUE"""),"")</f>
        <v/>
      </c>
      <c r="AB239" s="74" t="str">
        <f>IFERROR(__xludf.DUMMYFUNCTION("""COMPUTED_VALUE"""),"")</f>
        <v/>
      </c>
    </row>
    <row r="240">
      <c r="A240" s="109">
        <f>IFERROR(__xludf.DUMMYFUNCTION("""COMPUTED_VALUE"""),45971.633528182865)</f>
        <v>45971.63353</v>
      </c>
      <c r="B240" s="81" t="str">
        <f>IFERROR(__xludf.DUMMYFUNCTION("""COMPUTED_VALUE"""),"Greta Traynor")</f>
        <v>Greta Traynor</v>
      </c>
      <c r="C240" s="74" t="b">
        <f>IFERROR(__xludf.DUMMYFUNCTION("""COMPUTED_VALUE"""),FALSE)</f>
        <v>0</v>
      </c>
      <c r="D240" s="137">
        <f>IFERROR(__xludf.DUMMYFUNCTION("""COMPUTED_VALUE"""),0.5638888888934162)</f>
        <v>0.5638888889</v>
      </c>
      <c r="E240" s="82">
        <f>IFERROR(__xludf.DUMMYFUNCTION("""COMPUTED_VALUE"""),0.06944444443797693)</f>
        <v>0.06944444444</v>
      </c>
      <c r="F240" s="137">
        <f>IFERROR(__xludf.DUMMYFUNCTION("""COMPUTED_VALUE"""),0.6333333333313931)</f>
        <v>0.6333333333</v>
      </c>
      <c r="G240" s="82">
        <f>IFERROR(__xludf.DUMMYFUNCTION("""COMPUTED_VALUE"""),0.06944444443797693)</f>
        <v>0.06944444444</v>
      </c>
      <c r="H240" s="115">
        <f>IFERROR(__xludf.DUMMYFUNCTION("""COMPUTED_VALUE"""),83.0)</f>
        <v>83</v>
      </c>
      <c r="I240" s="112">
        <f>IFERROR(__xludf.DUMMYFUNCTION("""COMPUTED_VALUE"""),49.80000000463799)</f>
        <v>49.8</v>
      </c>
      <c r="J240" s="74" t="str">
        <f>IFERROR(__xludf.DUMMYFUNCTION("""COMPUTED_VALUE"""),"Lunch")</f>
        <v>Lunch</v>
      </c>
      <c r="K240" s="113">
        <f>IFERROR(__xludf.DUMMYFUNCTION("""COMPUTED_VALUE"""),45971.0)</f>
        <v>45971</v>
      </c>
      <c r="L240" s="74" t="str">
        <f>IFERROR(__xludf.DUMMYFUNCTION("""COMPUTED_VALUE"""),"Monday")</f>
        <v>Monday</v>
      </c>
      <c r="M240" s="74" t="str">
        <f>IFERROR(__xludf.DUMMYFUNCTION("""COMPUTED_VALUE"""),"MF")</f>
        <v>MF</v>
      </c>
      <c r="N240" s="114">
        <f>IFERROR(__xludf.DUMMYFUNCTION("""COMPUTED_VALUE"""),1.0355831930303032)</f>
        <v>1.035583193</v>
      </c>
      <c r="O240" s="74" t="str">
        <f>IFERROR(__xludf.DUMMYFUNCTION("""COMPUTED_VALUE"""),"")</f>
        <v/>
      </c>
      <c r="P240" s="74" t="str">
        <f>IFERROR(__xludf.DUMMYFUNCTION("""COMPUTED_VALUE"""),"")</f>
        <v/>
      </c>
      <c r="Q240" s="82" t="str">
        <f>IFERROR(__xludf.DUMMYFUNCTION("""COMPUTED_VALUE"""),"")</f>
        <v/>
      </c>
      <c r="R240" s="82" t="str">
        <f>IFERROR(__xludf.DUMMYFUNCTION("""COMPUTED_VALUE"""),"")</f>
        <v/>
      </c>
      <c r="S240" s="63" t="str">
        <f>IFERROR(__xludf.DUMMYFUNCTION("""COMPUTED_VALUE"""),"")</f>
        <v/>
      </c>
      <c r="T240" s="63" t="str">
        <f>IFERROR(__xludf.DUMMYFUNCTION("""COMPUTED_VALUE"""),"")</f>
        <v/>
      </c>
      <c r="U240" s="138" t="str">
        <f>IFERROR(__xludf.DUMMYFUNCTION("""COMPUTED_VALUE"""),"")</f>
        <v/>
      </c>
      <c r="V240" s="82" t="str">
        <f>IFERROR(__xludf.DUMMYFUNCTION("""COMPUTED_VALUE"""),"")</f>
        <v/>
      </c>
      <c r="W240" s="64" t="str">
        <f>IFERROR(__xludf.DUMMYFUNCTION("""COMPUTED_VALUE"""),"")</f>
        <v/>
      </c>
      <c r="X240" s="64" t="str">
        <f>IFERROR(__xludf.DUMMYFUNCTION("""COMPUTED_VALUE"""),"")</f>
        <v/>
      </c>
      <c r="Y240" s="114" t="str">
        <f>IFERROR(__xludf.DUMMYFUNCTION("""COMPUTED_VALUE"""),"")</f>
        <v/>
      </c>
      <c r="Z240" s="118" t="str">
        <f>IFERROR(__xludf.DUMMYFUNCTION("""COMPUTED_VALUE"""),"")</f>
        <v/>
      </c>
      <c r="AA240" s="118" t="str">
        <f>IFERROR(__xludf.DUMMYFUNCTION("""COMPUTED_VALUE"""),"")</f>
        <v/>
      </c>
      <c r="AB240" s="74" t="str">
        <f>IFERROR(__xludf.DUMMYFUNCTION("""COMPUTED_VALUE"""),"")</f>
        <v/>
      </c>
    </row>
    <row r="241">
      <c r="A241" s="109">
        <f>IFERROR(__xludf.DUMMYFUNCTION("""COMPUTED_VALUE"""),45971.76520185186)</f>
        <v>45971.7652</v>
      </c>
      <c r="B241" s="81" t="str">
        <f>IFERROR(__xludf.DUMMYFUNCTION("""COMPUTED_VALUE"""),"Maureen Surgot")</f>
        <v>Maureen Surgot</v>
      </c>
      <c r="C241" s="74" t="b">
        <f>IFERROR(__xludf.DUMMYFUNCTION("""COMPUTED_VALUE"""),FALSE)</f>
        <v>0</v>
      </c>
      <c r="D241" s="137">
        <f>IFERROR(__xludf.DUMMYFUNCTION("""COMPUTED_VALUE"""),0.6666666666642413)</f>
        <v>0.6666666667</v>
      </c>
      <c r="E241" s="82">
        <f>IFERROR(__xludf.DUMMYFUNCTION("""COMPUTED_VALUE"""),0.1041666666715173)</f>
        <v>0.1041666667</v>
      </c>
      <c r="F241" s="137">
        <f>IFERROR(__xludf.DUMMYFUNCTION("""COMPUTED_VALUE"""),0.7708333333357587)</f>
        <v>0.7708333333</v>
      </c>
      <c r="G241" s="82">
        <f>IFERROR(__xludf.DUMMYFUNCTION("""COMPUTED_VALUE"""),0.1041666666715173)</f>
        <v>0.1041666667</v>
      </c>
      <c r="H241" s="115">
        <f>IFERROR(__xludf.DUMMYFUNCTION("""COMPUTED_VALUE"""),106.0)</f>
        <v>106</v>
      </c>
      <c r="I241" s="112">
        <f>IFERROR(__xludf.DUMMYFUNCTION("""COMPUTED_VALUE"""),42.3999999980256)</f>
        <v>42.4</v>
      </c>
      <c r="J241" s="74" t="str">
        <f>IFERROR(__xludf.DUMMYFUNCTION("""COMPUTED_VALUE"""),"Dinner")</f>
        <v>Dinner</v>
      </c>
      <c r="K241" s="113">
        <f>IFERROR(__xludf.DUMMYFUNCTION("""COMPUTED_VALUE"""),45971.0)</f>
        <v>45971</v>
      </c>
      <c r="L241" s="74" t="str">
        <f>IFERROR(__xludf.DUMMYFUNCTION("""COMPUTED_VALUE"""),"Monday")</f>
        <v>Monday</v>
      </c>
      <c r="M241" s="74" t="str">
        <f>IFERROR(__xludf.DUMMYFUNCTION("""COMPUTED_VALUE"""),"MF")</f>
        <v>MF</v>
      </c>
      <c r="N241" s="114">
        <f>IFERROR(__xludf.DUMMYFUNCTION("""COMPUTED_VALUE"""),0.8354914129454781)</f>
        <v>0.8354914129</v>
      </c>
      <c r="O241" s="74" t="str">
        <f>IFERROR(__xludf.DUMMYFUNCTION("""COMPUTED_VALUE"""),"")</f>
        <v/>
      </c>
      <c r="P241" s="74" t="str">
        <f>IFERROR(__xludf.DUMMYFUNCTION("""COMPUTED_VALUE"""),"")</f>
        <v/>
      </c>
      <c r="Q241" s="82" t="str">
        <f>IFERROR(__xludf.DUMMYFUNCTION("""COMPUTED_VALUE"""),"")</f>
        <v/>
      </c>
      <c r="R241" s="82" t="str">
        <f>IFERROR(__xludf.DUMMYFUNCTION("""COMPUTED_VALUE"""),"")</f>
        <v/>
      </c>
      <c r="S241" s="63" t="str">
        <f>IFERROR(__xludf.DUMMYFUNCTION("""COMPUTED_VALUE"""),"")</f>
        <v/>
      </c>
      <c r="T241" s="63" t="str">
        <f>IFERROR(__xludf.DUMMYFUNCTION("""COMPUTED_VALUE"""),"")</f>
        <v/>
      </c>
      <c r="U241" s="138" t="str">
        <f>IFERROR(__xludf.DUMMYFUNCTION("""COMPUTED_VALUE"""),"")</f>
        <v/>
      </c>
      <c r="V241" s="82" t="str">
        <f>IFERROR(__xludf.DUMMYFUNCTION("""COMPUTED_VALUE"""),"")</f>
        <v/>
      </c>
      <c r="W241" s="64" t="str">
        <f>IFERROR(__xludf.DUMMYFUNCTION("""COMPUTED_VALUE"""),"")</f>
        <v/>
      </c>
      <c r="X241" s="64" t="str">
        <f>IFERROR(__xludf.DUMMYFUNCTION("""COMPUTED_VALUE"""),"")</f>
        <v/>
      </c>
      <c r="Y241" s="114" t="str">
        <f>IFERROR(__xludf.DUMMYFUNCTION("""COMPUTED_VALUE"""),"")</f>
        <v/>
      </c>
      <c r="Z241" s="118" t="str">
        <f>IFERROR(__xludf.DUMMYFUNCTION("""COMPUTED_VALUE"""),"")</f>
        <v/>
      </c>
      <c r="AA241" s="118" t="str">
        <f>IFERROR(__xludf.DUMMYFUNCTION("""COMPUTED_VALUE"""),"")</f>
        <v/>
      </c>
      <c r="AB241" s="74" t="str">
        <f>IFERROR(__xludf.DUMMYFUNCTION("""COMPUTED_VALUE"""),"")</f>
        <v/>
      </c>
    </row>
    <row r="242">
      <c r="A242" s="109">
        <f>IFERROR(__xludf.DUMMYFUNCTION("""COMPUTED_VALUE"""),45971.880996747685)</f>
        <v>45971.881</v>
      </c>
      <c r="B242" s="81" t="str">
        <f>IFERROR(__xludf.DUMMYFUNCTION("""COMPUTED_VALUE"""),"Elliott Haber")</f>
        <v>Elliott Haber</v>
      </c>
      <c r="C242" s="74" t="b">
        <f>IFERROR(__xludf.DUMMYFUNCTION("""COMPUTED_VALUE"""),FALSE)</f>
        <v>0</v>
      </c>
      <c r="D242" s="137">
        <f>IFERROR(__xludf.DUMMYFUNCTION("""COMPUTED_VALUE"""),0.773611111115315)</f>
        <v>0.7736111111</v>
      </c>
      <c r="E242" s="82">
        <f>IFERROR(__xludf.DUMMYFUNCTION("""COMPUTED_VALUE"""),0.09999999999126885)</f>
        <v>0.09999999999</v>
      </c>
      <c r="F242" s="137">
        <f>IFERROR(__xludf.DUMMYFUNCTION("""COMPUTED_VALUE"""),0.8736111111065838)</f>
        <v>0.8736111111</v>
      </c>
      <c r="G242" s="82">
        <f>IFERROR(__xludf.DUMMYFUNCTION("""COMPUTED_VALUE"""),0.09999999999126885)</f>
        <v>0.09999999999</v>
      </c>
      <c r="H242" s="115">
        <f>IFERROR(__xludf.DUMMYFUNCTION("""COMPUTED_VALUE"""),109.0)</f>
        <v>109</v>
      </c>
      <c r="I242" s="112">
        <f>IFERROR(__xludf.DUMMYFUNCTION("""COMPUTED_VALUE"""),45.41666667063206)</f>
        <v>45.41666667</v>
      </c>
      <c r="J242" s="74" t="str">
        <f>IFERROR(__xludf.DUMMYFUNCTION("""COMPUTED_VALUE"""),"Dinner")</f>
        <v>Dinner</v>
      </c>
      <c r="K242" s="113">
        <f>IFERROR(__xludf.DUMMYFUNCTION("""COMPUTED_VALUE"""),45971.0)</f>
        <v>45971</v>
      </c>
      <c r="L242" s="74" t="str">
        <f>IFERROR(__xludf.DUMMYFUNCTION("""COMPUTED_VALUE"""),"Monday")</f>
        <v>Monday</v>
      </c>
      <c r="M242" s="74" t="str">
        <f>IFERROR(__xludf.DUMMYFUNCTION("""COMPUTED_VALUE"""),"MF")</f>
        <v>MF</v>
      </c>
      <c r="N242" s="114">
        <f>IFERROR(__xludf.DUMMYFUNCTION("""COMPUTED_VALUE"""),0.8949347879643194)</f>
        <v>0.894934788</v>
      </c>
      <c r="O242" s="74" t="str">
        <f>IFERROR(__xludf.DUMMYFUNCTION("""COMPUTED_VALUE"""),"")</f>
        <v/>
      </c>
      <c r="P242" s="74" t="str">
        <f>IFERROR(__xludf.DUMMYFUNCTION("""COMPUTED_VALUE"""),"")</f>
        <v/>
      </c>
      <c r="Q242" s="92" t="str">
        <f>IFERROR(__xludf.DUMMYFUNCTION("""COMPUTED_VALUE"""),"")</f>
        <v/>
      </c>
      <c r="R242" s="92" t="str">
        <f>IFERROR(__xludf.DUMMYFUNCTION("""COMPUTED_VALUE"""),"")</f>
        <v/>
      </c>
      <c r="S242" s="63" t="str">
        <f>IFERROR(__xludf.DUMMYFUNCTION("""COMPUTED_VALUE"""),"")</f>
        <v/>
      </c>
      <c r="T242" s="63" t="str">
        <f>IFERROR(__xludf.DUMMYFUNCTION("""COMPUTED_VALUE"""),"")</f>
        <v/>
      </c>
      <c r="U242" s="116" t="str">
        <f>IFERROR(__xludf.DUMMYFUNCTION("""COMPUTED_VALUE"""),"")</f>
        <v/>
      </c>
      <c r="V242" s="92" t="str">
        <f>IFERROR(__xludf.DUMMYFUNCTION("""COMPUTED_VALUE"""),"")</f>
        <v/>
      </c>
      <c r="W242" s="64" t="str">
        <f>IFERROR(__xludf.DUMMYFUNCTION("""COMPUTED_VALUE"""),"")</f>
        <v/>
      </c>
      <c r="X242" s="64" t="str">
        <f>IFERROR(__xludf.DUMMYFUNCTION("""COMPUTED_VALUE"""),"")</f>
        <v/>
      </c>
      <c r="Y242" s="114" t="str">
        <f>IFERROR(__xludf.DUMMYFUNCTION("""COMPUTED_VALUE"""),"")</f>
        <v/>
      </c>
      <c r="Z242" s="118" t="str">
        <f>IFERROR(__xludf.DUMMYFUNCTION("""COMPUTED_VALUE"""),"")</f>
        <v/>
      </c>
      <c r="AA242" s="118" t="str">
        <f>IFERROR(__xludf.DUMMYFUNCTION("""COMPUTED_VALUE"""),"")</f>
        <v/>
      </c>
      <c r="AB242" s="74" t="str">
        <f>IFERROR(__xludf.DUMMYFUNCTION("""COMPUTED_VALUE"""),"")</f>
        <v/>
      </c>
    </row>
    <row r="243">
      <c r="A243" s="109">
        <f>IFERROR(__xludf.DUMMYFUNCTION("""COMPUTED_VALUE"""),45972.050429525465)</f>
        <v>45972.05043</v>
      </c>
      <c r="B243" s="81" t="str">
        <f>IFERROR(__xludf.DUMMYFUNCTION("""COMPUTED_VALUE"""),"Kaylie Forgue")</f>
        <v>Kaylie Forgue</v>
      </c>
      <c r="C243" s="74" t="b">
        <f>IFERROR(__xludf.DUMMYFUNCTION("""COMPUTED_VALUE"""),FALSE)</f>
        <v>0</v>
      </c>
      <c r="D243" s="137">
        <f>IFERROR(__xludf.DUMMYFUNCTION("""COMPUTED_VALUE"""),0.6888888888934162)</f>
        <v>0.6888888889</v>
      </c>
      <c r="E243" s="82">
        <f>IFERROR(__xludf.DUMMYFUNCTION("""COMPUTED_VALUE"""),0.17361111110949423)</f>
        <v>0.1736111111</v>
      </c>
      <c r="F243" s="137">
        <f>IFERROR(__xludf.DUMMYFUNCTION("""COMPUTED_VALUE"""),0.8625000000029104)</f>
        <v>0.8625</v>
      </c>
      <c r="G243" s="82">
        <f>IFERROR(__xludf.DUMMYFUNCTION("""COMPUTED_VALUE"""),0.17361111110949423)</f>
        <v>0.1736111111</v>
      </c>
      <c r="H243" s="115">
        <f>IFERROR(__xludf.DUMMYFUNCTION("""COMPUTED_VALUE"""),177.0)</f>
        <v>177</v>
      </c>
      <c r="I243" s="112">
        <f>IFERROR(__xludf.DUMMYFUNCTION("""COMPUTED_VALUE"""),42.48000000039563)</f>
        <v>42.48</v>
      </c>
      <c r="J243" s="74" t="str">
        <f>IFERROR(__xludf.DUMMYFUNCTION("""COMPUTED_VALUE"""),"Dinner")</f>
        <v>Dinner</v>
      </c>
      <c r="K243" s="113">
        <f>IFERROR(__xludf.DUMMYFUNCTION("""COMPUTED_VALUE"""),45971.0)</f>
        <v>45971</v>
      </c>
      <c r="L243" s="74" t="str">
        <f>IFERROR(__xludf.DUMMYFUNCTION("""COMPUTED_VALUE"""),"Monday")</f>
        <v>Monday</v>
      </c>
      <c r="M243" s="74" t="str">
        <f>IFERROR(__xludf.DUMMYFUNCTION("""COMPUTED_VALUE"""),"BF")</f>
        <v>BF</v>
      </c>
      <c r="N243" s="114">
        <f>IFERROR(__xludf.DUMMYFUNCTION("""COMPUTED_VALUE"""),1.0025137651375398)</f>
        <v>1.002513765</v>
      </c>
      <c r="O243" s="74">
        <f>IFERROR(__xludf.DUMMYFUNCTION("""COMPUTED_VALUE"""),455.0)</f>
        <v>455</v>
      </c>
      <c r="P243" s="74">
        <f>IFERROR(__xludf.DUMMYFUNCTION("""COMPUTED_VALUE"""),355.0)</f>
        <v>355</v>
      </c>
      <c r="Q243" s="82">
        <f>IFERROR(__xludf.DUMMYFUNCTION("""COMPUTED_VALUE"""),0.3472222222117125)</f>
        <v>0.3472222222</v>
      </c>
      <c r="R243" s="82">
        <f>IFERROR(__xludf.DUMMYFUNCTION("""COMPUTED_VALUE"""),0.3659722222146229)</f>
        <v>0.3659722222</v>
      </c>
      <c r="S243" s="63">
        <f>IFERROR(__xludf.DUMMYFUNCTION("""COMPUTED_VALUE"""),56.621147800448185)</f>
        <v>56.6211478</v>
      </c>
      <c r="T243" s="63">
        <f>IFERROR(__xludf.DUMMYFUNCTION("""COMPUTED_VALUE"""),44.78232300561577)</f>
        <v>44.78232301</v>
      </c>
      <c r="U243" s="138">
        <f>IFERROR(__xludf.DUMMYFUNCTION("""COMPUTED_VALUE"""),810.0)</f>
        <v>810</v>
      </c>
      <c r="V243" s="82">
        <f>IFERROR(__xludf.DUMMYFUNCTION("""COMPUTED_VALUE"""),0.7131944444263354)</f>
        <v>0.7131944444</v>
      </c>
      <c r="W243" s="64">
        <f>IFERROR(__xludf.DUMMYFUNCTION("""COMPUTED_VALUE"""),47.32229795641093)</f>
        <v>47.32229796</v>
      </c>
      <c r="X243" s="64">
        <f>IFERROR(__xludf.DUMMYFUNCTION("""COMPUTED_VALUE"""),51.547365745520004)</f>
        <v>51.54736575</v>
      </c>
      <c r="Y243" s="114">
        <f>IFERROR(__xludf.DUMMYFUNCTION("""COMPUTED_VALUE"""),1.1692372262669015)</f>
        <v>1.169237226</v>
      </c>
      <c r="Z243" s="118">
        <f>IFERROR(__xludf.DUMMYFUNCTION("""COMPUTED_VALUE"""),3333.0)</f>
        <v>3333</v>
      </c>
      <c r="AA243" s="118">
        <f>IFERROR(__xludf.DUMMYFUNCTION("""COMPUTED_VALUE"""),3744.0)</f>
        <v>3744</v>
      </c>
      <c r="AB243" s="118">
        <f>IFERROR(__xludf.DUMMYFUNCTION("""COMPUTED_VALUE"""),7077.0)</f>
        <v>7077</v>
      </c>
    </row>
    <row r="244">
      <c r="A244" s="109">
        <f>IFERROR(__xludf.DUMMYFUNCTION("""COMPUTED_VALUE"""),45972.39550226852)</f>
        <v>45972.3955</v>
      </c>
      <c r="B244" s="81" t="str">
        <f>IFERROR(__xludf.DUMMYFUNCTION("""COMPUTED_VALUE"""),"Evan Morgan")</f>
        <v>Evan Morgan</v>
      </c>
      <c r="C244" s="74" t="b">
        <f>IFERROR(__xludf.DUMMYFUNCTION("""COMPUTED_VALUE"""),FALSE)</f>
        <v>0</v>
      </c>
      <c r="D244" s="137">
        <f>IFERROR(__xludf.DUMMYFUNCTION("""COMPUTED_VALUE"""),0.29166666666424135)</f>
        <v>0.2916666667</v>
      </c>
      <c r="E244" s="82">
        <f>IFERROR(__xludf.DUMMYFUNCTION("""COMPUTED_VALUE"""),0.1041666666715173)</f>
        <v>0.1041666667</v>
      </c>
      <c r="F244" s="137">
        <f>IFERROR(__xludf.DUMMYFUNCTION("""COMPUTED_VALUE"""),0.39583333333575865)</f>
        <v>0.3958333333</v>
      </c>
      <c r="G244" s="82">
        <f>IFERROR(__xludf.DUMMYFUNCTION("""COMPUTED_VALUE"""),0.1041666666715173)</f>
        <v>0.1041666667</v>
      </c>
      <c r="H244" s="115">
        <f>IFERROR(__xludf.DUMMYFUNCTION("""COMPUTED_VALUE"""),12.0)</f>
        <v>12</v>
      </c>
      <c r="I244" s="112">
        <f>IFERROR(__xludf.DUMMYFUNCTION("""COMPUTED_VALUE"""),4.799999999776483)</f>
        <v>4.8</v>
      </c>
      <c r="J244" s="74" t="str">
        <f>IFERROR(__xludf.DUMMYFUNCTION("""COMPUTED_VALUE"""),"Breakfast")</f>
        <v>Breakfast</v>
      </c>
      <c r="K244" s="113">
        <f>IFERROR(__xludf.DUMMYFUNCTION("""COMPUTED_VALUE"""),45972.0)</f>
        <v>45972</v>
      </c>
      <c r="L244" s="74" t="str">
        <f>IFERROR(__xludf.DUMMYFUNCTION("""COMPUTED_VALUE"""),"Tuesday")</f>
        <v>Tuesday</v>
      </c>
      <c r="M244" s="74" t="str">
        <f>IFERROR(__xludf.DUMMYFUNCTION("""COMPUTED_VALUE"""),"BF")</f>
        <v>BF</v>
      </c>
      <c r="N244" s="114">
        <f>IFERROR(__xludf.DUMMYFUNCTION("""COMPUTED_VALUE"""),0.20328563490868104)</f>
        <v>0.2032856349</v>
      </c>
      <c r="O244" s="74" t="str">
        <f>IFERROR(__xludf.DUMMYFUNCTION("""COMPUTED_VALUE"""),"")</f>
        <v/>
      </c>
      <c r="P244" s="74">
        <f>IFERROR(__xludf.DUMMYFUNCTION("""COMPUTED_VALUE"""),12.0)</f>
        <v>12</v>
      </c>
      <c r="Q244" s="82" t="str">
        <f>IFERROR(__xludf.DUMMYFUNCTION("""COMPUTED_VALUE"""),"")</f>
        <v/>
      </c>
      <c r="R244" s="82">
        <f>IFERROR(__xludf.DUMMYFUNCTION("""COMPUTED_VALUE"""),0.1041666666715173)</f>
        <v>0.1041666667</v>
      </c>
      <c r="S244" s="63" t="str">
        <f>IFERROR(__xludf.DUMMYFUNCTION("""COMPUTED_VALUE"""),"")</f>
        <v/>
      </c>
      <c r="T244" s="63">
        <f>IFERROR(__xludf.DUMMYFUNCTION("""COMPUTED_VALUE"""),4.799999999776483)</f>
        <v>4.8</v>
      </c>
      <c r="U244" s="138">
        <f>IFERROR(__xludf.DUMMYFUNCTION("""COMPUTED_VALUE"""),12.0)</f>
        <v>12</v>
      </c>
      <c r="V244" s="82">
        <f>IFERROR(__xludf.DUMMYFUNCTION("""COMPUTED_VALUE"""),0.1041666666715173)</f>
        <v>0.1041666667</v>
      </c>
      <c r="W244" s="64">
        <f>IFERROR(__xludf.DUMMYFUNCTION("""COMPUTED_VALUE"""),4.799999999776483)</f>
        <v>4.8</v>
      </c>
      <c r="X244" s="64">
        <f>IFERROR(__xludf.DUMMYFUNCTION("""COMPUTED_VALUE"""),4.799999999776483)</f>
        <v>4.8</v>
      </c>
      <c r="Y244" s="114">
        <f>IFERROR(__xludf.DUMMYFUNCTION("""COMPUTED_VALUE"""),0.20328563490868104)</f>
        <v>0.2032856349</v>
      </c>
      <c r="Z244" s="118">
        <f>IFERROR(__xludf.DUMMYFUNCTION("""COMPUTED_VALUE"""),2715.0)</f>
        <v>2715</v>
      </c>
      <c r="AA244" s="118">
        <f>IFERROR(__xludf.DUMMYFUNCTION("""COMPUTED_VALUE"""),2382.0)</f>
        <v>2382</v>
      </c>
      <c r="AB244" s="118">
        <f>IFERROR(__xludf.DUMMYFUNCTION("""COMPUTED_VALUE"""),5097.0)</f>
        <v>5097</v>
      </c>
    </row>
    <row r="245">
      <c r="A245" s="109">
        <f>IFERROR(__xludf.DUMMYFUNCTION("""COMPUTED_VALUE"""),45973.632249849536)</f>
        <v>45973.63225</v>
      </c>
      <c r="B245" s="81" t="str">
        <f>IFERROR(__xludf.DUMMYFUNCTION("""COMPUTED_VALUE"""),"Greta Traynor")</f>
        <v>Greta Traynor</v>
      </c>
      <c r="C245" s="74" t="b">
        <f>IFERROR(__xludf.DUMMYFUNCTION("""COMPUTED_VALUE"""),FALSE)</f>
        <v>0</v>
      </c>
      <c r="D245" s="137">
        <f>IFERROR(__xludf.DUMMYFUNCTION("""COMPUTED_VALUE"""),0.5652777777795563)</f>
        <v>0.5652777778</v>
      </c>
      <c r="E245" s="82">
        <f>IFERROR(__xludf.DUMMYFUNCTION("""COMPUTED_VALUE"""),0.06736111110512866)</f>
        <v>0.06736111111</v>
      </c>
      <c r="F245" s="137">
        <f>IFERROR(__xludf.DUMMYFUNCTION("""COMPUTED_VALUE"""),0.632638888884685)</f>
        <v>0.6326388889</v>
      </c>
      <c r="G245" s="82">
        <f>IFERROR(__xludf.DUMMYFUNCTION("""COMPUTED_VALUE"""),0.06736111110512866)</f>
        <v>0.06736111111</v>
      </c>
      <c r="H245" s="115">
        <f>IFERROR(__xludf.DUMMYFUNCTION("""COMPUTED_VALUE"""),84.0)</f>
        <v>84</v>
      </c>
      <c r="I245" s="112">
        <f>IFERROR(__xludf.DUMMYFUNCTION("""COMPUTED_VALUE"""),51.95876289121249)</f>
        <v>51.95876289</v>
      </c>
      <c r="J245" s="74" t="str">
        <f>IFERROR(__xludf.DUMMYFUNCTION("""COMPUTED_VALUE"""),"Lunch")</f>
        <v>Lunch</v>
      </c>
      <c r="K245" s="113">
        <f>IFERROR(__xludf.DUMMYFUNCTION("""COMPUTED_VALUE"""),45973.0)</f>
        <v>45973</v>
      </c>
      <c r="L245" s="74" t="str">
        <f>IFERROR(__xludf.DUMMYFUNCTION("""COMPUTED_VALUE"""),"Wednesday")</f>
        <v>Wednesday</v>
      </c>
      <c r="M245" s="74" t="str">
        <f>IFERROR(__xludf.DUMMYFUNCTION("""COMPUTED_VALUE"""),"MF")</f>
        <v>MF</v>
      </c>
      <c r="N245" s="114">
        <f>IFERROR(__xludf.DUMMYFUNCTION("""COMPUTED_VALUE"""),1.080474328830824)</f>
        <v>1.080474329</v>
      </c>
      <c r="O245" s="74" t="str">
        <f>IFERROR(__xludf.DUMMYFUNCTION("""COMPUTED_VALUE"""),"")</f>
        <v/>
      </c>
      <c r="P245" s="74" t="str">
        <f>IFERROR(__xludf.DUMMYFUNCTION("""COMPUTED_VALUE"""),"")</f>
        <v/>
      </c>
      <c r="Q245" s="82" t="str">
        <f>IFERROR(__xludf.DUMMYFUNCTION("""COMPUTED_VALUE"""),"")</f>
        <v/>
      </c>
      <c r="R245" s="82" t="str">
        <f>IFERROR(__xludf.DUMMYFUNCTION("""COMPUTED_VALUE"""),"")</f>
        <v/>
      </c>
      <c r="S245" s="63" t="str">
        <f>IFERROR(__xludf.DUMMYFUNCTION("""COMPUTED_VALUE"""),"")</f>
        <v/>
      </c>
      <c r="T245" s="63" t="str">
        <f>IFERROR(__xludf.DUMMYFUNCTION("""COMPUTED_VALUE"""),"")</f>
        <v/>
      </c>
      <c r="U245" s="138" t="str">
        <f>IFERROR(__xludf.DUMMYFUNCTION("""COMPUTED_VALUE"""),"")</f>
        <v/>
      </c>
      <c r="V245" s="82" t="str">
        <f>IFERROR(__xludf.DUMMYFUNCTION("""COMPUTED_VALUE"""),"")</f>
        <v/>
      </c>
      <c r="W245" s="64" t="str">
        <f>IFERROR(__xludf.DUMMYFUNCTION("""COMPUTED_VALUE"""),"")</f>
        <v/>
      </c>
      <c r="X245" s="64" t="str">
        <f>IFERROR(__xludf.DUMMYFUNCTION("""COMPUTED_VALUE"""),"")</f>
        <v/>
      </c>
      <c r="Y245" s="114" t="str">
        <f>IFERROR(__xludf.DUMMYFUNCTION("""COMPUTED_VALUE"""),"")</f>
        <v/>
      </c>
      <c r="Z245" s="118" t="str">
        <f>IFERROR(__xludf.DUMMYFUNCTION("""COMPUTED_VALUE"""),"")</f>
        <v/>
      </c>
      <c r="AA245" s="118" t="str">
        <f>IFERROR(__xludf.DUMMYFUNCTION("""COMPUTED_VALUE"""),"")</f>
        <v/>
      </c>
      <c r="AB245" s="74" t="str">
        <f>IFERROR(__xludf.DUMMYFUNCTION("""COMPUTED_VALUE"""),"")</f>
        <v/>
      </c>
    </row>
    <row r="246">
      <c r="A246" s="109">
        <f>IFERROR(__xludf.DUMMYFUNCTION("""COMPUTED_VALUE"""),45973.68696310185)</f>
        <v>45973.68696</v>
      </c>
      <c r="B246" s="81" t="str">
        <f>IFERROR(__xludf.DUMMYFUNCTION("""COMPUTED_VALUE"""),"Sarah Wilme")</f>
        <v>Sarah Wilme</v>
      </c>
      <c r="C246" s="74" t="b">
        <f>IFERROR(__xludf.DUMMYFUNCTION("""COMPUTED_VALUE"""),FALSE)</f>
        <v>0</v>
      </c>
      <c r="D246" s="137">
        <f>IFERROR(__xludf.DUMMYFUNCTION("""COMPUTED_VALUE"""),0.523611111115315)</f>
        <v>0.5236111111</v>
      </c>
      <c r="E246" s="82">
        <f>IFERROR(__xludf.DUMMYFUNCTION("""COMPUTED_VALUE"""),0.1381944444437977)</f>
        <v>0.1381944444</v>
      </c>
      <c r="F246" s="137">
        <f>IFERROR(__xludf.DUMMYFUNCTION("""COMPUTED_VALUE"""),0.6618055555591127)</f>
        <v>0.6618055556</v>
      </c>
      <c r="G246" s="82">
        <f>IFERROR(__xludf.DUMMYFUNCTION("""COMPUTED_VALUE"""),0.20138888889050577)</f>
        <v>0.2013888889</v>
      </c>
      <c r="H246" s="115">
        <f>IFERROR(__xludf.DUMMYFUNCTION("""COMPUTED_VALUE"""),124.0)</f>
        <v>124</v>
      </c>
      <c r="I246" s="112">
        <f>IFERROR(__xludf.DUMMYFUNCTION("""COMPUTED_VALUE"""),25.655172413587128)</f>
        <v>25.65517241</v>
      </c>
      <c r="J246" s="74" t="str">
        <f>IFERROR(__xludf.DUMMYFUNCTION("""COMPUTED_VALUE"""),"Lunch")</f>
        <v>Lunch</v>
      </c>
      <c r="K246" s="113">
        <f>IFERROR(__xludf.DUMMYFUNCTION("""COMPUTED_VALUE"""),45973.0)</f>
        <v>45973</v>
      </c>
      <c r="L246" s="74" t="str">
        <f>IFERROR(__xludf.DUMMYFUNCTION("""COMPUTED_VALUE"""),"Wednesday")</f>
        <v>Wednesday</v>
      </c>
      <c r="M246" s="74" t="str">
        <f>IFERROR(__xludf.DUMMYFUNCTION("""COMPUTED_VALUE"""),"BF")</f>
        <v>BF</v>
      </c>
      <c r="N246" s="114">
        <f>IFERROR(__xludf.DUMMYFUNCTION("""COMPUTED_VALUE"""),0.6606924655541977)</f>
        <v>0.6606924656</v>
      </c>
      <c r="O246" s="74" t="str">
        <f>IFERROR(__xludf.DUMMYFUNCTION("""COMPUTED_VALUE"""),"")</f>
        <v/>
      </c>
      <c r="P246" s="74" t="str">
        <f>IFERROR(__xludf.DUMMYFUNCTION("""COMPUTED_VALUE"""),"")</f>
        <v/>
      </c>
      <c r="Q246" s="82" t="str">
        <f>IFERROR(__xludf.DUMMYFUNCTION("""COMPUTED_VALUE"""),"")</f>
        <v/>
      </c>
      <c r="R246" s="82" t="str">
        <f>IFERROR(__xludf.DUMMYFUNCTION("""COMPUTED_VALUE"""),"")</f>
        <v/>
      </c>
      <c r="S246" s="63" t="str">
        <f>IFERROR(__xludf.DUMMYFUNCTION("""COMPUTED_VALUE"""),"")</f>
        <v/>
      </c>
      <c r="T246" s="63" t="str">
        <f>IFERROR(__xludf.DUMMYFUNCTION("""COMPUTED_VALUE"""),"")</f>
        <v/>
      </c>
      <c r="U246" s="138" t="str">
        <f>IFERROR(__xludf.DUMMYFUNCTION("""COMPUTED_VALUE"""),"")</f>
        <v/>
      </c>
      <c r="V246" s="82" t="str">
        <f>IFERROR(__xludf.DUMMYFUNCTION("""COMPUTED_VALUE"""),"")</f>
        <v/>
      </c>
      <c r="W246" s="64" t="str">
        <f>IFERROR(__xludf.DUMMYFUNCTION("""COMPUTED_VALUE"""),"")</f>
        <v/>
      </c>
      <c r="X246" s="64" t="str">
        <f>IFERROR(__xludf.DUMMYFUNCTION("""COMPUTED_VALUE"""),"")</f>
        <v/>
      </c>
      <c r="Y246" s="114" t="str">
        <f>IFERROR(__xludf.DUMMYFUNCTION("""COMPUTED_VALUE"""),"")</f>
        <v/>
      </c>
      <c r="Z246" s="118" t="str">
        <f>IFERROR(__xludf.DUMMYFUNCTION("""COMPUTED_VALUE"""),"")</f>
        <v/>
      </c>
      <c r="AA246" s="118" t="str">
        <f>IFERROR(__xludf.DUMMYFUNCTION("""COMPUTED_VALUE"""),"")</f>
        <v/>
      </c>
      <c r="AB246" s="74" t="str">
        <f>IFERROR(__xludf.DUMMYFUNCTION("""COMPUTED_VALUE"""),"")</f>
        <v/>
      </c>
    </row>
    <row r="247">
      <c r="A247" s="109">
        <f>IFERROR(__xludf.DUMMYFUNCTION("""COMPUTED_VALUE"""),45973.74741351852)</f>
        <v>45973.74741</v>
      </c>
      <c r="B247" s="81" t="str">
        <f>IFERROR(__xludf.DUMMYFUNCTION("""COMPUTED_VALUE"""),"Sarah Wilme")</f>
        <v>Sarah Wilme</v>
      </c>
      <c r="C247" s="74" t="b">
        <f>IFERROR(__xludf.DUMMYFUNCTION("""COMPUTED_VALUE"""),TRUE)</f>
        <v>1</v>
      </c>
      <c r="D247" s="137">
        <f>IFERROR(__xludf.DUMMYFUNCTION("""COMPUTED_VALUE"""),0.6819444444408873)</f>
        <v>0.6819444444</v>
      </c>
      <c r="E247" s="82">
        <f>IFERROR(__xludf.DUMMYFUNCTION("""COMPUTED_VALUE"""),0.06319444444670808)</f>
        <v>0.06319444445</v>
      </c>
      <c r="F247" s="137">
        <f>IFERROR(__xludf.DUMMYFUNCTION("""COMPUTED_VALUE"""),0.7451388888875954)</f>
        <v>0.7451388889</v>
      </c>
      <c r="G247" s="82" t="str">
        <f>IFERROR(__xludf.DUMMYFUNCTION("""COMPUTED_VALUE"""),"")</f>
        <v/>
      </c>
      <c r="H247" s="115">
        <f>IFERROR(__xludf.DUMMYFUNCTION("""COMPUTED_VALUE"""),43.0)</f>
        <v>43</v>
      </c>
      <c r="I247" s="112" t="str">
        <f>IFERROR(__xludf.DUMMYFUNCTION("""COMPUTED_VALUE"""),"")</f>
        <v/>
      </c>
      <c r="J247" s="74" t="str">
        <f>IFERROR(__xludf.DUMMYFUNCTION("""COMPUTED_VALUE"""),"Dinner")</f>
        <v>Dinner</v>
      </c>
      <c r="K247" s="113">
        <f>IFERROR(__xludf.DUMMYFUNCTION("""COMPUTED_VALUE"""),45973.0)</f>
        <v>45973</v>
      </c>
      <c r="L247" s="74" t="str">
        <f>IFERROR(__xludf.DUMMYFUNCTION("""COMPUTED_VALUE"""),"Wednesday")</f>
        <v>Wednesday</v>
      </c>
      <c r="M247" s="74" t="str">
        <f>IFERROR(__xludf.DUMMYFUNCTION("""COMPUTED_VALUE"""),"BF")</f>
        <v>BF</v>
      </c>
      <c r="N247" s="114" t="str">
        <f>IFERROR(__xludf.DUMMYFUNCTION("""COMPUTED_VALUE"""),"")</f>
        <v/>
      </c>
      <c r="O247" s="74" t="str">
        <f>IFERROR(__xludf.DUMMYFUNCTION("""COMPUTED_VALUE"""),"")</f>
        <v/>
      </c>
      <c r="P247" s="74" t="str">
        <f>IFERROR(__xludf.DUMMYFUNCTION("""COMPUTED_VALUE"""),"")</f>
        <v/>
      </c>
      <c r="Q247" s="82" t="str">
        <f>IFERROR(__xludf.DUMMYFUNCTION("""COMPUTED_VALUE"""),"")</f>
        <v/>
      </c>
      <c r="R247" s="82" t="str">
        <f>IFERROR(__xludf.DUMMYFUNCTION("""COMPUTED_VALUE"""),"")</f>
        <v/>
      </c>
      <c r="S247" s="63" t="str">
        <f>IFERROR(__xludf.DUMMYFUNCTION("""COMPUTED_VALUE"""),"")</f>
        <v/>
      </c>
      <c r="T247" s="63" t="str">
        <f>IFERROR(__xludf.DUMMYFUNCTION("""COMPUTED_VALUE"""),"")</f>
        <v/>
      </c>
      <c r="U247" s="138" t="str">
        <f>IFERROR(__xludf.DUMMYFUNCTION("""COMPUTED_VALUE"""),"")</f>
        <v/>
      </c>
      <c r="V247" s="82" t="str">
        <f>IFERROR(__xludf.DUMMYFUNCTION("""COMPUTED_VALUE"""),"")</f>
        <v/>
      </c>
      <c r="W247" s="64" t="str">
        <f>IFERROR(__xludf.DUMMYFUNCTION("""COMPUTED_VALUE"""),"")</f>
        <v/>
      </c>
      <c r="X247" s="64" t="str">
        <f>IFERROR(__xludf.DUMMYFUNCTION("""COMPUTED_VALUE"""),"")</f>
        <v/>
      </c>
      <c r="Y247" s="114" t="str">
        <f>IFERROR(__xludf.DUMMYFUNCTION("""COMPUTED_VALUE"""),"")</f>
        <v/>
      </c>
      <c r="Z247" s="118" t="str">
        <f>IFERROR(__xludf.DUMMYFUNCTION("""COMPUTED_VALUE"""),"")</f>
        <v/>
      </c>
      <c r="AA247" s="118" t="str">
        <f>IFERROR(__xludf.DUMMYFUNCTION("""COMPUTED_VALUE"""),"")</f>
        <v/>
      </c>
      <c r="AB247" s="74" t="str">
        <f>IFERROR(__xludf.DUMMYFUNCTION("""COMPUTED_VALUE"""),"")</f>
        <v/>
      </c>
    </row>
    <row r="248">
      <c r="A248" s="109">
        <f>IFERROR(__xludf.DUMMYFUNCTION("""COMPUTED_VALUE"""),45973.74806305555)</f>
        <v>45973.74806</v>
      </c>
      <c r="B248" s="81" t="str">
        <f>IFERROR(__xludf.DUMMYFUNCTION("""COMPUTED_VALUE"""),"Orpheus Wilson")</f>
        <v>Orpheus Wilson</v>
      </c>
      <c r="C248" s="74" t="b">
        <f>IFERROR(__xludf.DUMMYFUNCTION("""COMPUTED_VALUE"""),FALSE)</f>
        <v>0</v>
      </c>
      <c r="D248" s="137">
        <f>IFERROR(__xludf.DUMMYFUNCTION("""COMPUTED_VALUE"""),0.6937499999985448)</f>
        <v>0.69375</v>
      </c>
      <c r="E248" s="82">
        <f>IFERROR(__xludf.DUMMYFUNCTION("""COMPUTED_VALUE"""),0.053472222221898846)</f>
        <v>0.05347222222</v>
      </c>
      <c r="F248" s="137">
        <f>IFERROR(__xludf.DUMMYFUNCTION("""COMPUTED_VALUE"""),0.7472222222204437)</f>
        <v>0.7472222222</v>
      </c>
      <c r="G248" s="82">
        <f>IFERROR(__xludf.DUMMYFUNCTION("""COMPUTED_VALUE"""),0.053472222221898846)</f>
        <v>0.05347222222</v>
      </c>
      <c r="H248" s="115">
        <f>IFERROR(__xludf.DUMMYFUNCTION("""COMPUTED_VALUE"""),95.0)</f>
        <v>95</v>
      </c>
      <c r="I248" s="112">
        <f>IFERROR(__xludf.DUMMYFUNCTION("""COMPUTED_VALUE"""),74.02597402642171)</f>
        <v>74.02597403</v>
      </c>
      <c r="J248" s="74" t="str">
        <f>IFERROR(__xludf.DUMMYFUNCTION("""COMPUTED_VALUE"""),"Dinner")</f>
        <v>Dinner</v>
      </c>
      <c r="K248" s="113">
        <f>IFERROR(__xludf.DUMMYFUNCTION("""COMPUTED_VALUE"""),45973.0)</f>
        <v>45973</v>
      </c>
      <c r="L248" s="74" t="str">
        <f>IFERROR(__xludf.DUMMYFUNCTION("""COMPUTED_VALUE"""),"Wednesday")</f>
        <v>Wednesday</v>
      </c>
      <c r="M248" s="74" t="str">
        <f>IFERROR(__xludf.DUMMYFUNCTION("""COMPUTED_VALUE"""),"MF")</f>
        <v>MF</v>
      </c>
      <c r="N248" s="114">
        <f>IFERROR(__xludf.DUMMYFUNCTION("""COMPUTED_VALUE"""),1.4586807933226498)</f>
        <v>1.458680793</v>
      </c>
      <c r="O248" s="74" t="str">
        <f>IFERROR(__xludf.DUMMYFUNCTION("""COMPUTED_VALUE"""),"")</f>
        <v/>
      </c>
      <c r="P248" s="74" t="str">
        <f>IFERROR(__xludf.DUMMYFUNCTION("""COMPUTED_VALUE"""),"")</f>
        <v/>
      </c>
      <c r="Q248" s="82" t="str">
        <f>IFERROR(__xludf.DUMMYFUNCTION("""COMPUTED_VALUE"""),"")</f>
        <v/>
      </c>
      <c r="R248" s="82" t="str">
        <f>IFERROR(__xludf.DUMMYFUNCTION("""COMPUTED_VALUE"""),"")</f>
        <v/>
      </c>
      <c r="S248" s="63" t="str">
        <f>IFERROR(__xludf.DUMMYFUNCTION("""COMPUTED_VALUE"""),"")</f>
        <v/>
      </c>
      <c r="T248" s="63" t="str">
        <f>IFERROR(__xludf.DUMMYFUNCTION("""COMPUTED_VALUE"""),"")</f>
        <v/>
      </c>
      <c r="U248" s="138" t="str">
        <f>IFERROR(__xludf.DUMMYFUNCTION("""COMPUTED_VALUE"""),"")</f>
        <v/>
      </c>
      <c r="V248" s="82" t="str">
        <f>IFERROR(__xludf.DUMMYFUNCTION("""COMPUTED_VALUE"""),"")</f>
        <v/>
      </c>
      <c r="W248" s="64" t="str">
        <f>IFERROR(__xludf.DUMMYFUNCTION("""COMPUTED_VALUE"""),"")</f>
        <v/>
      </c>
      <c r="X248" s="64" t="str">
        <f>IFERROR(__xludf.DUMMYFUNCTION("""COMPUTED_VALUE"""),"")</f>
        <v/>
      </c>
      <c r="Y248" s="114" t="str">
        <f>IFERROR(__xludf.DUMMYFUNCTION("""COMPUTED_VALUE"""),"")</f>
        <v/>
      </c>
      <c r="Z248" s="118" t="str">
        <f>IFERROR(__xludf.DUMMYFUNCTION("""COMPUTED_VALUE"""),"")</f>
        <v/>
      </c>
      <c r="AA248" s="118" t="str">
        <f>IFERROR(__xludf.DUMMYFUNCTION("""COMPUTED_VALUE"""),"")</f>
        <v/>
      </c>
      <c r="AB248" s="74" t="str">
        <f>IFERROR(__xludf.DUMMYFUNCTION("""COMPUTED_VALUE"""),"")</f>
        <v/>
      </c>
    </row>
    <row r="249">
      <c r="A249" s="109">
        <f>IFERROR(__xludf.DUMMYFUNCTION("""COMPUTED_VALUE"""),45973.87150219908)</f>
        <v>45973.8715</v>
      </c>
      <c r="B249" s="81" t="str">
        <f>IFERROR(__xludf.DUMMYFUNCTION("""COMPUTED_VALUE"""),"Kaylie Forgue")</f>
        <v>Kaylie Forgue</v>
      </c>
      <c r="C249" s="74" t="b">
        <f>IFERROR(__xludf.DUMMYFUNCTION("""COMPUTED_VALUE"""),FALSE)</f>
        <v>0</v>
      </c>
      <c r="D249" s="137">
        <f>IFERROR(__xludf.DUMMYFUNCTION("""COMPUTED_VALUE"""),0.7472222222204437)</f>
        <v>0.7472222222</v>
      </c>
      <c r="E249" s="82">
        <f>IFERROR(__xludf.DUMMYFUNCTION("""COMPUTED_VALUE"""),0.11875000000145519)</f>
        <v>0.11875</v>
      </c>
      <c r="F249" s="137">
        <f>IFERROR(__xludf.DUMMYFUNCTION("""COMPUTED_VALUE"""),0.8659722222218988)</f>
        <v>0.8659722222</v>
      </c>
      <c r="G249" s="82">
        <f>IFERROR(__xludf.DUMMYFUNCTION("""COMPUTED_VALUE"""),0.23750000000291038)</f>
        <v>0.2375</v>
      </c>
      <c r="H249" s="115">
        <f>IFERROR(__xludf.DUMMYFUNCTION("""COMPUTED_VALUE"""),166.0)</f>
        <v>166</v>
      </c>
      <c r="I249" s="112">
        <f>IFERROR(__xludf.DUMMYFUNCTION("""COMPUTED_VALUE"""),29.122807017186982)</f>
        <v>29.12280702</v>
      </c>
      <c r="J249" s="74" t="str">
        <f>IFERROR(__xludf.DUMMYFUNCTION("""COMPUTED_VALUE"""),"Dinner")</f>
        <v>Dinner</v>
      </c>
      <c r="K249" s="113">
        <f>IFERROR(__xludf.DUMMYFUNCTION("""COMPUTED_VALUE"""),45973.0)</f>
        <v>45973</v>
      </c>
      <c r="L249" s="74" t="str">
        <f>IFERROR(__xludf.DUMMYFUNCTION("""COMPUTED_VALUE"""),"Wednesday")</f>
        <v>Wednesday</v>
      </c>
      <c r="M249" s="74" t="str">
        <f>IFERROR(__xludf.DUMMYFUNCTION("""COMPUTED_VALUE"""),"MF")</f>
        <v>MF</v>
      </c>
      <c r="N249" s="114">
        <f>IFERROR(__xludf.DUMMYFUNCTION("""COMPUTED_VALUE"""),0.5738645090769121)</f>
        <v>0.5738645091</v>
      </c>
      <c r="O249" s="74" t="str">
        <f>IFERROR(__xludf.DUMMYFUNCTION("""COMPUTED_VALUE"""),"")</f>
        <v/>
      </c>
      <c r="P249" s="74" t="str">
        <f>IFERROR(__xludf.DUMMYFUNCTION("""COMPUTED_VALUE"""),"")</f>
        <v/>
      </c>
      <c r="Q249" s="92" t="str">
        <f>IFERROR(__xludf.DUMMYFUNCTION("""COMPUTED_VALUE"""),"")</f>
        <v/>
      </c>
      <c r="R249" s="92" t="str">
        <f>IFERROR(__xludf.DUMMYFUNCTION("""COMPUTED_VALUE"""),"")</f>
        <v/>
      </c>
      <c r="S249" s="63" t="str">
        <f>IFERROR(__xludf.DUMMYFUNCTION("""COMPUTED_VALUE"""),"")</f>
        <v/>
      </c>
      <c r="T249" s="63" t="str">
        <f>IFERROR(__xludf.DUMMYFUNCTION("""COMPUTED_VALUE"""),"")</f>
        <v/>
      </c>
      <c r="U249" s="116" t="str">
        <f>IFERROR(__xludf.DUMMYFUNCTION("""COMPUTED_VALUE"""),"")</f>
        <v/>
      </c>
      <c r="V249" s="92" t="str">
        <f>IFERROR(__xludf.DUMMYFUNCTION("""COMPUTED_VALUE"""),"")</f>
        <v/>
      </c>
      <c r="W249" s="64" t="str">
        <f>IFERROR(__xludf.DUMMYFUNCTION("""COMPUTED_VALUE"""),"")</f>
        <v/>
      </c>
      <c r="X249" s="64" t="str">
        <f>IFERROR(__xludf.DUMMYFUNCTION("""COMPUTED_VALUE"""),"")</f>
        <v/>
      </c>
      <c r="Y249" s="114" t="str">
        <f>IFERROR(__xludf.DUMMYFUNCTION("""COMPUTED_VALUE"""),"")</f>
        <v/>
      </c>
      <c r="Z249" s="118" t="str">
        <f>IFERROR(__xludf.DUMMYFUNCTION("""COMPUTED_VALUE"""),"")</f>
        <v/>
      </c>
      <c r="AA249" s="118" t="str">
        <f>IFERROR(__xludf.DUMMYFUNCTION("""COMPUTED_VALUE"""),"")</f>
        <v/>
      </c>
      <c r="AB249" s="74" t="str">
        <f>IFERROR(__xludf.DUMMYFUNCTION("""COMPUTED_VALUE"""),"")</f>
        <v/>
      </c>
    </row>
    <row r="250">
      <c r="A250" s="109">
        <f>IFERROR(__xludf.DUMMYFUNCTION("""COMPUTED_VALUE"""),45973.87310570602)</f>
        <v>45973.87311</v>
      </c>
      <c r="B250" s="81" t="str">
        <f>IFERROR(__xludf.DUMMYFUNCTION("""COMPUTED_VALUE"""),"Kaylie Forgue")</f>
        <v>Kaylie Forgue</v>
      </c>
      <c r="C250" s="74" t="b">
        <f>IFERROR(__xludf.DUMMYFUNCTION("""COMPUTED_VALUE"""),TRUE)</f>
        <v>1</v>
      </c>
      <c r="D250" s="137">
        <f>IFERROR(__xludf.DUMMYFUNCTION("""COMPUTED_VALUE"""),0.7472222222204437)</f>
        <v>0.7472222222</v>
      </c>
      <c r="E250" s="82">
        <f>IFERROR(__xludf.DUMMYFUNCTION("""COMPUTED_VALUE"""),0.11875000000145519)</f>
        <v>0.11875</v>
      </c>
      <c r="F250" s="137">
        <f>IFERROR(__xludf.DUMMYFUNCTION("""COMPUTED_VALUE"""),0.8659722222218988)</f>
        <v>0.8659722222</v>
      </c>
      <c r="G250" s="82" t="str">
        <f>IFERROR(__xludf.DUMMYFUNCTION("""COMPUTED_VALUE"""),"")</f>
        <v/>
      </c>
      <c r="H250" s="115">
        <f>IFERROR(__xludf.DUMMYFUNCTION("""COMPUTED_VALUE"""),166.0)</f>
        <v>166</v>
      </c>
      <c r="I250" s="112" t="str">
        <f>IFERROR(__xludf.DUMMYFUNCTION("""COMPUTED_VALUE"""),"")</f>
        <v/>
      </c>
      <c r="J250" s="74" t="str">
        <f>IFERROR(__xludf.DUMMYFUNCTION("""COMPUTED_VALUE"""),"Dinner")</f>
        <v>Dinner</v>
      </c>
      <c r="K250" s="113">
        <f>IFERROR(__xludf.DUMMYFUNCTION("""COMPUTED_VALUE"""),45973.0)</f>
        <v>45973</v>
      </c>
      <c r="L250" s="74" t="str">
        <f>IFERROR(__xludf.DUMMYFUNCTION("""COMPUTED_VALUE"""),"Wednesday")</f>
        <v>Wednesday</v>
      </c>
      <c r="M250" s="74" t="str">
        <f>IFERROR(__xludf.DUMMYFUNCTION("""COMPUTED_VALUE"""),"MF")</f>
        <v>MF</v>
      </c>
      <c r="N250" s="114" t="str">
        <f>IFERROR(__xludf.DUMMYFUNCTION("""COMPUTED_VALUE"""),"")</f>
        <v/>
      </c>
      <c r="O250" s="74">
        <f>IFERROR(__xludf.DUMMYFUNCTION("""COMPUTED_VALUE"""),511.0)</f>
        <v>511</v>
      </c>
      <c r="P250" s="74">
        <f>IFERROR(__xludf.DUMMYFUNCTION("""COMPUTED_VALUE"""),167.0)</f>
        <v>167</v>
      </c>
      <c r="Q250" s="82">
        <f>IFERROR(__xludf.DUMMYFUNCTION("""COMPUTED_VALUE"""),0.3583333333299379)</f>
        <v>0.3583333333</v>
      </c>
      <c r="R250" s="82">
        <f>IFERROR(__xludf.DUMMYFUNCTION("""COMPUTED_VALUE"""),0.20138888889050577)</f>
        <v>0.2013888889</v>
      </c>
      <c r="S250" s="63">
        <f>IFERROR(__xludf.DUMMYFUNCTION("""COMPUTED_VALUE"""),51.702514644940386)</f>
        <v>51.70251464</v>
      </c>
      <c r="T250" s="63">
        <f>IFERROR(__xludf.DUMMYFUNCTION("""COMPUTED_VALUE"""),25.655172413587128)</f>
        <v>25.65517241</v>
      </c>
      <c r="U250" s="138">
        <f>IFERROR(__xludf.DUMMYFUNCTION("""COMPUTED_VALUE"""),678.0)</f>
        <v>678</v>
      </c>
      <c r="V250" s="82">
        <f>IFERROR(__xludf.DUMMYFUNCTION("""COMPUTED_VALUE"""),0.5597222222204437)</f>
        <v>0.5597222222</v>
      </c>
      <c r="W250" s="64">
        <f>IFERROR(__xludf.DUMMYFUNCTION("""COMPUTED_VALUE"""),50.471464020011496)</f>
        <v>50.47146402</v>
      </c>
      <c r="X250" s="64">
        <f>IFERROR(__xludf.DUMMYFUNCTION("""COMPUTED_VALUE"""),45.19067908710207)</f>
        <v>45.19067909</v>
      </c>
      <c r="Y250" s="114">
        <f>IFERROR(__xludf.DUMMYFUNCTION("""COMPUTED_VALUE"""),0.6541869780090536)</f>
        <v>0.654186978</v>
      </c>
      <c r="Z250" s="118">
        <f>IFERROR(__xludf.DUMMYFUNCTION("""COMPUTED_VALUE"""),3914.0)</f>
        <v>3914</v>
      </c>
      <c r="AA250" s="118">
        <f>IFERROR(__xludf.DUMMYFUNCTION("""COMPUTED_VALUE"""),3675.0)</f>
        <v>3675</v>
      </c>
      <c r="AB250" s="118">
        <f>IFERROR(__xludf.DUMMYFUNCTION("""COMPUTED_VALUE"""),7589.0)</f>
        <v>7589</v>
      </c>
    </row>
    <row r="251">
      <c r="A251" s="109">
        <f>IFERROR(__xludf.DUMMYFUNCTION("""COMPUTED_VALUE"""),45974.43631740741)</f>
        <v>45974.43632</v>
      </c>
      <c r="B251" s="81" t="str">
        <f>IFERROR(__xludf.DUMMYFUNCTION("""COMPUTED_VALUE"""),"Evan Morgan")</f>
        <v>Evan Morgan</v>
      </c>
      <c r="C251" s="74" t="b">
        <f>IFERROR(__xludf.DUMMYFUNCTION("""COMPUTED_VALUE"""),FALSE)</f>
        <v>0</v>
      </c>
      <c r="D251" s="137">
        <f>IFERROR(__xludf.DUMMYFUNCTION("""COMPUTED_VALUE"""),0.29166666666424135)</f>
        <v>0.2916666667</v>
      </c>
      <c r="E251" s="82">
        <f>IFERROR(__xludf.DUMMYFUNCTION("""COMPUTED_VALUE"""),0.1423611111167702)</f>
        <v>0.1423611111</v>
      </c>
      <c r="F251" s="137">
        <f>IFERROR(__xludf.DUMMYFUNCTION("""COMPUTED_VALUE"""),0.43402777778101154)</f>
        <v>0.4340277778</v>
      </c>
      <c r="G251" s="82">
        <f>IFERROR(__xludf.DUMMYFUNCTION("""COMPUTED_VALUE"""),0.1423611111167702)</f>
        <v>0.1423611111</v>
      </c>
      <c r="H251" s="115">
        <f>IFERROR(__xludf.DUMMYFUNCTION("""COMPUTED_VALUE"""),95.0)</f>
        <v>95</v>
      </c>
      <c r="I251" s="112">
        <f>IFERROR(__xludf.DUMMYFUNCTION("""COMPUTED_VALUE"""),27.8048780476752)</f>
        <v>27.80487805</v>
      </c>
      <c r="J251" s="74" t="str">
        <f>IFERROR(__xludf.DUMMYFUNCTION("""COMPUTED_VALUE"""),"Breakfast")</f>
        <v>Breakfast</v>
      </c>
      <c r="K251" s="113">
        <f>IFERROR(__xludf.DUMMYFUNCTION("""COMPUTED_VALUE"""),45974.0)</f>
        <v>45974</v>
      </c>
      <c r="L251" s="74" t="str">
        <f>IFERROR(__xludf.DUMMYFUNCTION("""COMPUTED_VALUE"""),"Thursday")</f>
        <v>Thursday</v>
      </c>
      <c r="M251" s="74" t="str">
        <f>IFERROR(__xludf.DUMMYFUNCTION("""COMPUTED_VALUE"""),"BF")</f>
        <v>BF</v>
      </c>
      <c r="N251" s="114">
        <f>IFERROR(__xludf.DUMMYFUNCTION("""COMPUTED_VALUE"""),1.1775692266131892)</f>
        <v>1.177569227</v>
      </c>
      <c r="O251" s="74" t="str">
        <f>IFERROR(__xludf.DUMMYFUNCTION("""COMPUTED_VALUE"""),"")</f>
        <v/>
      </c>
      <c r="P251" s="74" t="str">
        <f>IFERROR(__xludf.DUMMYFUNCTION("""COMPUTED_VALUE"""),"")</f>
        <v/>
      </c>
      <c r="Q251" s="82" t="str">
        <f>IFERROR(__xludf.DUMMYFUNCTION("""COMPUTED_VALUE"""),"")</f>
        <v/>
      </c>
      <c r="R251" s="82" t="str">
        <f>IFERROR(__xludf.DUMMYFUNCTION("""COMPUTED_VALUE"""),"")</f>
        <v/>
      </c>
      <c r="S251" s="63" t="str">
        <f>IFERROR(__xludf.DUMMYFUNCTION("""COMPUTED_VALUE"""),"")</f>
        <v/>
      </c>
      <c r="T251" s="63" t="str">
        <f>IFERROR(__xludf.DUMMYFUNCTION("""COMPUTED_VALUE"""),"")</f>
        <v/>
      </c>
      <c r="U251" s="138" t="str">
        <f>IFERROR(__xludf.DUMMYFUNCTION("""COMPUTED_VALUE"""),"")</f>
        <v/>
      </c>
      <c r="V251" s="82" t="str">
        <f>IFERROR(__xludf.DUMMYFUNCTION("""COMPUTED_VALUE"""),"")</f>
        <v/>
      </c>
      <c r="W251" s="64" t="str">
        <f>IFERROR(__xludf.DUMMYFUNCTION("""COMPUTED_VALUE"""),"")</f>
        <v/>
      </c>
      <c r="X251" s="64" t="str">
        <f>IFERROR(__xludf.DUMMYFUNCTION("""COMPUTED_VALUE"""),"")</f>
        <v/>
      </c>
      <c r="Y251" s="114" t="str">
        <f>IFERROR(__xludf.DUMMYFUNCTION("""COMPUTED_VALUE"""),"")</f>
        <v/>
      </c>
      <c r="Z251" s="118" t="str">
        <f>IFERROR(__xludf.DUMMYFUNCTION("""COMPUTED_VALUE"""),"")</f>
        <v/>
      </c>
      <c r="AA251" s="118" t="str">
        <f>IFERROR(__xludf.DUMMYFUNCTION("""COMPUTED_VALUE"""),"")</f>
        <v/>
      </c>
      <c r="AB251" s="74" t="str">
        <f>IFERROR(__xludf.DUMMYFUNCTION("""COMPUTED_VALUE"""),"")</f>
        <v/>
      </c>
    </row>
    <row r="252">
      <c r="A252" s="109">
        <f>IFERROR(__xludf.DUMMYFUNCTION("""COMPUTED_VALUE"""),45974.561210381944)</f>
        <v>45974.56121</v>
      </c>
      <c r="B252" s="81" t="str">
        <f>IFERROR(__xludf.DUMMYFUNCTION("""COMPUTED_VALUE"""),"Maureen Surgot")</f>
        <v>Maureen Surgot</v>
      </c>
      <c r="C252" s="74" t="b">
        <f>IFERROR(__xludf.DUMMYFUNCTION("""COMPUTED_VALUE"""),FALSE)</f>
        <v>0</v>
      </c>
      <c r="D252" s="137">
        <f>IFERROR(__xludf.DUMMYFUNCTION("""COMPUTED_VALUE"""),0.47916666666424135)</f>
        <v>0.4791666667</v>
      </c>
      <c r="E252" s="82">
        <f>IFERROR(__xludf.DUMMYFUNCTION("""COMPUTED_VALUE"""),0.08333333333575865)</f>
        <v>0.08333333334</v>
      </c>
      <c r="F252" s="137">
        <f>IFERROR(__xludf.DUMMYFUNCTION("""COMPUTED_VALUE"""),0.5625)</f>
        <v>0.5625</v>
      </c>
      <c r="G252" s="82">
        <f>IFERROR(__xludf.DUMMYFUNCTION("""COMPUTED_VALUE"""),0.08333333333575865)</f>
        <v>0.08333333334</v>
      </c>
      <c r="H252" s="115">
        <f>IFERROR(__xludf.DUMMYFUNCTION("""COMPUTED_VALUE"""),84.0)</f>
        <v>84</v>
      </c>
      <c r="I252" s="112">
        <f>IFERROR(__xludf.DUMMYFUNCTION("""COMPUTED_VALUE"""),41.99999999877764)</f>
        <v>42</v>
      </c>
      <c r="J252" s="74" t="str">
        <f>IFERROR(__xludf.DUMMYFUNCTION("""COMPUTED_VALUE"""),"Lunch")</f>
        <v>Lunch</v>
      </c>
      <c r="K252" s="113">
        <f>IFERROR(__xludf.DUMMYFUNCTION("""COMPUTED_VALUE"""),45974.0)</f>
        <v>45974</v>
      </c>
      <c r="L252" s="74" t="str">
        <f>IFERROR(__xludf.DUMMYFUNCTION("""COMPUTED_VALUE"""),"Thursday")</f>
        <v>Thursday</v>
      </c>
      <c r="M252" s="74" t="str">
        <f>IFERROR(__xludf.DUMMYFUNCTION("""COMPUTED_VALUE"""),"MF")</f>
        <v>MF</v>
      </c>
      <c r="N252" s="114">
        <f>IFERROR(__xludf.DUMMYFUNCTION("""COMPUTED_VALUE"""),0.8733834157019306)</f>
        <v>0.8733834157</v>
      </c>
      <c r="O252" s="74" t="str">
        <f>IFERROR(__xludf.DUMMYFUNCTION("""COMPUTED_VALUE"""),"")</f>
        <v/>
      </c>
      <c r="P252" s="74" t="str">
        <f>IFERROR(__xludf.DUMMYFUNCTION("""COMPUTED_VALUE"""),"")</f>
        <v/>
      </c>
      <c r="Q252" s="92" t="str">
        <f>IFERROR(__xludf.DUMMYFUNCTION("""COMPUTED_VALUE"""),"")</f>
        <v/>
      </c>
      <c r="R252" s="92" t="str">
        <f>IFERROR(__xludf.DUMMYFUNCTION("""COMPUTED_VALUE"""),"")</f>
        <v/>
      </c>
      <c r="S252" s="63" t="str">
        <f>IFERROR(__xludf.DUMMYFUNCTION("""COMPUTED_VALUE"""),"")</f>
        <v/>
      </c>
      <c r="T252" s="63" t="str">
        <f>IFERROR(__xludf.DUMMYFUNCTION("""COMPUTED_VALUE"""),"")</f>
        <v/>
      </c>
      <c r="U252" s="116" t="str">
        <f>IFERROR(__xludf.DUMMYFUNCTION("""COMPUTED_VALUE"""),"")</f>
        <v/>
      </c>
      <c r="V252" s="92" t="str">
        <f>IFERROR(__xludf.DUMMYFUNCTION("""COMPUTED_VALUE"""),"")</f>
        <v/>
      </c>
      <c r="W252" s="64" t="str">
        <f>IFERROR(__xludf.DUMMYFUNCTION("""COMPUTED_VALUE"""),"")</f>
        <v/>
      </c>
      <c r="X252" s="64" t="str">
        <f>IFERROR(__xludf.DUMMYFUNCTION("""COMPUTED_VALUE"""),"")</f>
        <v/>
      </c>
      <c r="Y252" s="114" t="str">
        <f>IFERROR(__xludf.DUMMYFUNCTION("""COMPUTED_VALUE"""),"")</f>
        <v/>
      </c>
      <c r="Z252" s="118" t="str">
        <f>IFERROR(__xludf.DUMMYFUNCTION("""COMPUTED_VALUE"""),"")</f>
        <v/>
      </c>
      <c r="AA252" s="118" t="str">
        <f>IFERROR(__xludf.DUMMYFUNCTION("""COMPUTED_VALUE"""),"")</f>
        <v/>
      </c>
      <c r="AB252" s="74" t="str">
        <f>IFERROR(__xludf.DUMMYFUNCTION("""COMPUTED_VALUE"""),"")</f>
        <v/>
      </c>
    </row>
    <row r="253">
      <c r="A253" s="109">
        <f>IFERROR(__xludf.DUMMYFUNCTION("""COMPUTED_VALUE"""),45974.571731296295)</f>
        <v>45974.57173</v>
      </c>
      <c r="B253" s="81" t="str">
        <f>IFERROR(__xludf.DUMMYFUNCTION("""COMPUTED_VALUE"""),"Greta Traynor")</f>
        <v>Greta Traynor</v>
      </c>
      <c r="C253" s="74" t="b">
        <f>IFERROR(__xludf.DUMMYFUNCTION("""COMPUTED_VALUE"""),FALSE)</f>
        <v>0</v>
      </c>
      <c r="D253" s="137">
        <f>IFERROR(__xludf.DUMMYFUNCTION("""COMPUTED_VALUE"""),0.5215277777751908)</f>
        <v>0.5215277778</v>
      </c>
      <c r="E253" s="82">
        <f>IFERROR(__xludf.DUMMYFUNCTION("""COMPUTED_VALUE"""),0.04930555555620231)</f>
        <v>0.04930555556</v>
      </c>
      <c r="F253" s="137">
        <f>IFERROR(__xludf.DUMMYFUNCTION("""COMPUTED_VALUE"""),0.5708333333313931)</f>
        <v>0.5708333333</v>
      </c>
      <c r="G253" s="82">
        <f>IFERROR(__xludf.DUMMYFUNCTION("""COMPUTED_VALUE"""),0.04930555555620231)</f>
        <v>0.04930555556</v>
      </c>
      <c r="H253" s="115">
        <f>IFERROR(__xludf.DUMMYFUNCTION("""COMPUTED_VALUE"""),58.0)</f>
        <v>58</v>
      </c>
      <c r="I253" s="112">
        <f>IFERROR(__xludf.DUMMYFUNCTION("""COMPUTED_VALUE"""),49.01408450639933)</f>
        <v>49.01408451</v>
      </c>
      <c r="J253" s="74" t="str">
        <f>IFERROR(__xludf.DUMMYFUNCTION("""COMPUTED_VALUE"""),"Lunch")</f>
        <v>Lunch</v>
      </c>
      <c r="K253" s="113">
        <f>IFERROR(__xludf.DUMMYFUNCTION("""COMPUTED_VALUE"""),45974.0)</f>
        <v>45974</v>
      </c>
      <c r="L253" s="74" t="str">
        <f>IFERROR(__xludf.DUMMYFUNCTION("""COMPUTED_VALUE"""),"Thursday")</f>
        <v>Thursday</v>
      </c>
      <c r="M253" s="74" t="str">
        <f>IFERROR(__xludf.DUMMYFUNCTION("""COMPUTED_VALUE"""),"BF")</f>
        <v>BF</v>
      </c>
      <c r="N253" s="114">
        <f>IFERROR(__xludf.DUMMYFUNCTION("""COMPUTED_VALUE"""),1.2622498035625915)</f>
        <v>1.262249804</v>
      </c>
      <c r="O253" s="74" t="str">
        <f>IFERROR(__xludf.DUMMYFUNCTION("""COMPUTED_VALUE"""),"")</f>
        <v/>
      </c>
      <c r="P253" s="74" t="str">
        <f>IFERROR(__xludf.DUMMYFUNCTION("""COMPUTED_VALUE"""),"")</f>
        <v/>
      </c>
      <c r="Q253" s="82" t="str">
        <f>IFERROR(__xludf.DUMMYFUNCTION("""COMPUTED_VALUE"""),"")</f>
        <v/>
      </c>
      <c r="R253" s="82" t="str">
        <f>IFERROR(__xludf.DUMMYFUNCTION("""COMPUTED_VALUE"""),"")</f>
        <v/>
      </c>
      <c r="S253" s="63" t="str">
        <f>IFERROR(__xludf.DUMMYFUNCTION("""COMPUTED_VALUE"""),"")</f>
        <v/>
      </c>
      <c r="T253" s="63" t="str">
        <f>IFERROR(__xludf.DUMMYFUNCTION("""COMPUTED_VALUE"""),"")</f>
        <v/>
      </c>
      <c r="U253" s="138" t="str">
        <f>IFERROR(__xludf.DUMMYFUNCTION("""COMPUTED_VALUE"""),"")</f>
        <v/>
      </c>
      <c r="V253" s="82" t="str">
        <f>IFERROR(__xludf.DUMMYFUNCTION("""COMPUTED_VALUE"""),"")</f>
        <v/>
      </c>
      <c r="W253" s="64" t="str">
        <f>IFERROR(__xludf.DUMMYFUNCTION("""COMPUTED_VALUE"""),"")</f>
        <v/>
      </c>
      <c r="X253" s="64" t="str">
        <f>IFERROR(__xludf.DUMMYFUNCTION("""COMPUTED_VALUE"""),"")</f>
        <v/>
      </c>
      <c r="Y253" s="114" t="str">
        <f>IFERROR(__xludf.DUMMYFUNCTION("""COMPUTED_VALUE"""),"")</f>
        <v/>
      </c>
      <c r="Z253" s="118" t="str">
        <f>IFERROR(__xludf.DUMMYFUNCTION("""COMPUTED_VALUE"""),"")</f>
        <v/>
      </c>
      <c r="AA253" s="118" t="str">
        <f>IFERROR(__xludf.DUMMYFUNCTION("""COMPUTED_VALUE"""),"")</f>
        <v/>
      </c>
      <c r="AB253" s="74" t="str">
        <f>IFERROR(__xludf.DUMMYFUNCTION("""COMPUTED_VALUE"""),"")</f>
        <v/>
      </c>
    </row>
    <row r="254">
      <c r="A254" s="109">
        <f>IFERROR(__xludf.DUMMYFUNCTION("""COMPUTED_VALUE"""),45974.632200775464)</f>
        <v>45974.6322</v>
      </c>
      <c r="B254" s="81" t="str">
        <f>IFERROR(__xludf.DUMMYFUNCTION("""COMPUTED_VALUE"""),"Brynn Hornig")</f>
        <v>Brynn Hornig</v>
      </c>
      <c r="C254" s="74" t="b">
        <f>IFERROR(__xludf.DUMMYFUNCTION("""COMPUTED_VALUE"""),FALSE)</f>
        <v>0</v>
      </c>
      <c r="D254" s="137">
        <f>IFERROR(__xludf.DUMMYFUNCTION("""COMPUTED_VALUE"""),0.5625)</f>
        <v>0.5625</v>
      </c>
      <c r="E254" s="82">
        <f>IFERROR(__xludf.DUMMYFUNCTION("""COMPUTED_VALUE"""),0.07291666666424135)</f>
        <v>0.07291666666</v>
      </c>
      <c r="F254" s="137">
        <f>IFERROR(__xludf.DUMMYFUNCTION("""COMPUTED_VALUE"""),0.6354166666642413)</f>
        <v>0.6354166667</v>
      </c>
      <c r="G254" s="82">
        <f>IFERROR(__xludf.DUMMYFUNCTION("""COMPUTED_VALUE"""),0.07291666666424135)</f>
        <v>0.07291666666</v>
      </c>
      <c r="H254" s="115">
        <f>IFERROR(__xludf.DUMMYFUNCTION("""COMPUTED_VALUE"""),64.0)</f>
        <v>64</v>
      </c>
      <c r="I254" s="112">
        <f>IFERROR(__xludf.DUMMYFUNCTION("""COMPUTED_VALUE"""),36.57142857264499)</f>
        <v>36.57142857</v>
      </c>
      <c r="J254" s="74" t="str">
        <f>IFERROR(__xludf.DUMMYFUNCTION("""COMPUTED_VALUE"""),"Lunch")</f>
        <v>Lunch</v>
      </c>
      <c r="K254" s="113">
        <f>IFERROR(__xludf.DUMMYFUNCTION("""COMPUTED_VALUE"""),45974.0)</f>
        <v>45974</v>
      </c>
      <c r="L254" s="74" t="str">
        <f>IFERROR(__xludf.DUMMYFUNCTION("""COMPUTED_VALUE"""),"Thursday")</f>
        <v>Thursday</v>
      </c>
      <c r="M254" s="74" t="str">
        <f>IFERROR(__xludf.DUMMYFUNCTION("""COMPUTED_VALUE"""),"MF")</f>
        <v>MF</v>
      </c>
      <c r="N254" s="114">
        <f>IFERROR(__xludf.DUMMYFUNCTION("""COMPUTED_VALUE"""),0.7604971239239395)</f>
        <v>0.7604971239</v>
      </c>
      <c r="O254" s="74" t="str">
        <f>IFERROR(__xludf.DUMMYFUNCTION("""COMPUTED_VALUE"""),"")</f>
        <v/>
      </c>
      <c r="P254" s="74" t="str">
        <f>IFERROR(__xludf.DUMMYFUNCTION("""COMPUTED_VALUE"""),"")</f>
        <v/>
      </c>
      <c r="Q254" s="82" t="str">
        <f>IFERROR(__xludf.DUMMYFUNCTION("""COMPUTED_VALUE"""),"")</f>
        <v/>
      </c>
      <c r="R254" s="82" t="str">
        <f>IFERROR(__xludf.DUMMYFUNCTION("""COMPUTED_VALUE"""),"")</f>
        <v/>
      </c>
      <c r="S254" s="63" t="str">
        <f>IFERROR(__xludf.DUMMYFUNCTION("""COMPUTED_VALUE"""),"")</f>
        <v/>
      </c>
      <c r="T254" s="63" t="str">
        <f>IFERROR(__xludf.DUMMYFUNCTION("""COMPUTED_VALUE"""),"")</f>
        <v/>
      </c>
      <c r="U254" s="138" t="str">
        <f>IFERROR(__xludf.DUMMYFUNCTION("""COMPUTED_VALUE"""),"")</f>
        <v/>
      </c>
      <c r="V254" s="82" t="str">
        <f>IFERROR(__xludf.DUMMYFUNCTION("""COMPUTED_VALUE"""),"")</f>
        <v/>
      </c>
      <c r="W254" s="64" t="str">
        <f>IFERROR(__xludf.DUMMYFUNCTION("""COMPUTED_VALUE"""),"")</f>
        <v/>
      </c>
      <c r="X254" s="64" t="str">
        <f>IFERROR(__xludf.DUMMYFUNCTION("""COMPUTED_VALUE"""),"")</f>
        <v/>
      </c>
      <c r="Y254" s="114" t="str">
        <f>IFERROR(__xludf.DUMMYFUNCTION("""COMPUTED_VALUE"""),"")</f>
        <v/>
      </c>
      <c r="Z254" s="118" t="str">
        <f>IFERROR(__xludf.DUMMYFUNCTION("""COMPUTED_VALUE"""),"")</f>
        <v/>
      </c>
      <c r="AA254" s="118" t="str">
        <f>IFERROR(__xludf.DUMMYFUNCTION("""COMPUTED_VALUE"""),"")</f>
        <v/>
      </c>
      <c r="AB254" s="74" t="str">
        <f>IFERROR(__xludf.DUMMYFUNCTION("""COMPUTED_VALUE"""),"")</f>
        <v/>
      </c>
    </row>
    <row r="255">
      <c r="A255" s="109">
        <f>IFERROR(__xludf.DUMMYFUNCTION("""COMPUTED_VALUE"""),45974.65386791667)</f>
        <v>45974.65387</v>
      </c>
      <c r="B255" s="81" t="str">
        <f>IFERROR(__xludf.DUMMYFUNCTION("""COMPUTED_VALUE"""),"Emmett Khan")</f>
        <v>Emmett Khan</v>
      </c>
      <c r="C255" s="74" t="b">
        <f>IFERROR(__xludf.DUMMYFUNCTION("""COMPUTED_VALUE"""),FALSE)</f>
        <v>0</v>
      </c>
      <c r="D255" s="137">
        <f>IFERROR(__xludf.DUMMYFUNCTION("""COMPUTED_VALUE"""),0.5833333333357587)</f>
        <v>0.5833333333</v>
      </c>
      <c r="E255" s="82">
        <f>IFERROR(__xludf.DUMMYFUNCTION("""COMPUTED_VALUE"""),0.07291666666424135)</f>
        <v>0.07291666666</v>
      </c>
      <c r="F255" s="137">
        <f>IFERROR(__xludf.DUMMYFUNCTION("""COMPUTED_VALUE"""),0.65625)</f>
        <v>0.65625</v>
      </c>
      <c r="G255" s="82">
        <f>IFERROR(__xludf.DUMMYFUNCTION("""COMPUTED_VALUE"""),0.07291666666424135)</f>
        <v>0.07291666666</v>
      </c>
      <c r="H255" s="115">
        <f>IFERROR(__xludf.DUMMYFUNCTION("""COMPUTED_VALUE"""),78.0)</f>
        <v>78</v>
      </c>
      <c r="I255" s="112">
        <f>IFERROR(__xludf.DUMMYFUNCTION("""COMPUTED_VALUE"""),44.57142857291109)</f>
        <v>44.57142857</v>
      </c>
      <c r="J255" s="74" t="str">
        <f>IFERROR(__xludf.DUMMYFUNCTION("""COMPUTED_VALUE"""),"Lunch")</f>
        <v>Lunch</v>
      </c>
      <c r="K255" s="113">
        <f>IFERROR(__xludf.DUMMYFUNCTION("""COMPUTED_VALUE"""),45974.0)</f>
        <v>45974</v>
      </c>
      <c r="L255" s="74" t="str">
        <f>IFERROR(__xludf.DUMMYFUNCTION("""COMPUTED_VALUE"""),"Thursday")</f>
        <v>Thursday</v>
      </c>
      <c r="M255" s="74" t="str">
        <f>IFERROR(__xludf.DUMMYFUNCTION("""COMPUTED_VALUE"""),"BF")</f>
        <v>BF</v>
      </c>
      <c r="N255" s="114">
        <f>IFERROR(__xludf.DUMMYFUNCTION("""COMPUTED_VALUE"""),1.1478389839825673)</f>
        <v>1.147838984</v>
      </c>
      <c r="O255" s="74" t="str">
        <f>IFERROR(__xludf.DUMMYFUNCTION("""COMPUTED_VALUE"""),"")</f>
        <v/>
      </c>
      <c r="P255" s="74" t="str">
        <f>IFERROR(__xludf.DUMMYFUNCTION("""COMPUTED_VALUE"""),"")</f>
        <v/>
      </c>
      <c r="Q255" s="82" t="str">
        <f>IFERROR(__xludf.DUMMYFUNCTION("""COMPUTED_VALUE"""),"")</f>
        <v/>
      </c>
      <c r="R255" s="82" t="str">
        <f>IFERROR(__xludf.DUMMYFUNCTION("""COMPUTED_VALUE"""),"")</f>
        <v/>
      </c>
      <c r="S255" s="63" t="str">
        <f>IFERROR(__xludf.DUMMYFUNCTION("""COMPUTED_VALUE"""),"")</f>
        <v/>
      </c>
      <c r="T255" s="63" t="str">
        <f>IFERROR(__xludf.DUMMYFUNCTION("""COMPUTED_VALUE"""),"")</f>
        <v/>
      </c>
      <c r="U255" s="138" t="str">
        <f>IFERROR(__xludf.DUMMYFUNCTION("""COMPUTED_VALUE"""),"")</f>
        <v/>
      </c>
      <c r="V255" s="82" t="str">
        <f>IFERROR(__xludf.DUMMYFUNCTION("""COMPUTED_VALUE"""),"")</f>
        <v/>
      </c>
      <c r="W255" s="64" t="str">
        <f>IFERROR(__xludf.DUMMYFUNCTION("""COMPUTED_VALUE"""),"")</f>
        <v/>
      </c>
      <c r="X255" s="64" t="str">
        <f>IFERROR(__xludf.DUMMYFUNCTION("""COMPUTED_VALUE"""),"")</f>
        <v/>
      </c>
      <c r="Y255" s="114" t="str">
        <f>IFERROR(__xludf.DUMMYFUNCTION("""COMPUTED_VALUE"""),"")</f>
        <v/>
      </c>
      <c r="Z255" s="118" t="str">
        <f>IFERROR(__xludf.DUMMYFUNCTION("""COMPUTED_VALUE"""),"")</f>
        <v/>
      </c>
      <c r="AA255" s="118" t="str">
        <f>IFERROR(__xludf.DUMMYFUNCTION("""COMPUTED_VALUE"""),"")</f>
        <v/>
      </c>
      <c r="AB255" s="74" t="str">
        <f>IFERROR(__xludf.DUMMYFUNCTION("""COMPUTED_VALUE"""),"")</f>
        <v/>
      </c>
    </row>
    <row r="256">
      <c r="A256" s="109">
        <f>IFERROR(__xludf.DUMMYFUNCTION("""COMPUTED_VALUE"""),45974.82500539352)</f>
        <v>45974.82501</v>
      </c>
      <c r="B256" s="81" t="str">
        <f>IFERROR(__xludf.DUMMYFUNCTION("""COMPUTED_VALUE"""),"Elliott Haber")</f>
        <v>Elliott Haber</v>
      </c>
      <c r="C256" s="74" t="b">
        <f>IFERROR(__xludf.DUMMYFUNCTION("""COMPUTED_VALUE"""),FALSE)</f>
        <v>0</v>
      </c>
      <c r="D256" s="137">
        <f>IFERROR(__xludf.DUMMYFUNCTION("""COMPUTED_VALUE"""),0.6701388888905058)</f>
        <v>0.6701388889</v>
      </c>
      <c r="E256" s="82">
        <f>IFERROR(__xludf.DUMMYFUNCTION("""COMPUTED_VALUE"""),0.10069444444525288)</f>
        <v>0.1006944444</v>
      </c>
      <c r="F256" s="137">
        <f>IFERROR(__xludf.DUMMYFUNCTION("""COMPUTED_VALUE"""),0.7708333333357587)</f>
        <v>0.7708333333</v>
      </c>
      <c r="G256" s="82">
        <f>IFERROR(__xludf.DUMMYFUNCTION("""COMPUTED_VALUE"""),0.15833333334012423)</f>
        <v>0.1583333333</v>
      </c>
      <c r="H256" s="115">
        <f>IFERROR(__xludf.DUMMYFUNCTION("""COMPUTED_VALUE"""),120.0)</f>
        <v>120</v>
      </c>
      <c r="I256" s="112">
        <f>IFERROR(__xludf.DUMMYFUNCTION("""COMPUTED_VALUE"""),31.578947367066636)</f>
        <v>31.57894737</v>
      </c>
      <c r="J256" s="74" t="str">
        <f>IFERROR(__xludf.DUMMYFUNCTION("""COMPUTED_VALUE"""),"Dinner")</f>
        <v>Dinner</v>
      </c>
      <c r="K256" s="113">
        <f>IFERROR(__xludf.DUMMYFUNCTION("""COMPUTED_VALUE"""),45974.0)</f>
        <v>45974</v>
      </c>
      <c r="L256" s="74" t="str">
        <f>IFERROR(__xludf.DUMMYFUNCTION("""COMPUTED_VALUE"""),"Thursday")</f>
        <v>Thursday</v>
      </c>
      <c r="M256" s="74" t="str">
        <f>IFERROR(__xludf.DUMMYFUNCTION("""COMPUTED_VALUE"""),"MF")</f>
        <v>MF</v>
      </c>
      <c r="N256" s="114">
        <f>IFERROR(__xludf.DUMMYFUNCTION("""COMPUTED_VALUE"""),0.6222627206667449)</f>
        <v>0.6222627207</v>
      </c>
      <c r="O256" s="74" t="str">
        <f>IFERROR(__xludf.DUMMYFUNCTION("""COMPUTED_VALUE"""),"")</f>
        <v/>
      </c>
      <c r="P256" s="74" t="str">
        <f>IFERROR(__xludf.DUMMYFUNCTION("""COMPUTED_VALUE"""),"")</f>
        <v/>
      </c>
      <c r="Q256" s="82" t="str">
        <f>IFERROR(__xludf.DUMMYFUNCTION("""COMPUTED_VALUE"""),"")</f>
        <v/>
      </c>
      <c r="R256" s="82" t="str">
        <f>IFERROR(__xludf.DUMMYFUNCTION("""COMPUTED_VALUE"""),"")</f>
        <v/>
      </c>
      <c r="S256" s="63" t="str">
        <f>IFERROR(__xludf.DUMMYFUNCTION("""COMPUTED_VALUE"""),"")</f>
        <v/>
      </c>
      <c r="T256" s="63" t="str">
        <f>IFERROR(__xludf.DUMMYFUNCTION("""COMPUTED_VALUE"""),"")</f>
        <v/>
      </c>
      <c r="U256" s="138" t="str">
        <f>IFERROR(__xludf.DUMMYFUNCTION("""COMPUTED_VALUE"""),"")</f>
        <v/>
      </c>
      <c r="V256" s="82" t="str">
        <f>IFERROR(__xludf.DUMMYFUNCTION("""COMPUTED_VALUE"""),"")</f>
        <v/>
      </c>
      <c r="W256" s="64" t="str">
        <f>IFERROR(__xludf.DUMMYFUNCTION("""COMPUTED_VALUE"""),"")</f>
        <v/>
      </c>
      <c r="X256" s="64" t="str">
        <f>IFERROR(__xludf.DUMMYFUNCTION("""COMPUTED_VALUE"""),"")</f>
        <v/>
      </c>
      <c r="Y256" s="114" t="str">
        <f>IFERROR(__xludf.DUMMYFUNCTION("""COMPUTED_VALUE"""),"")</f>
        <v/>
      </c>
      <c r="Z256" s="118" t="str">
        <f>IFERROR(__xludf.DUMMYFUNCTION("""COMPUTED_VALUE"""),"")</f>
        <v/>
      </c>
      <c r="AA256" s="118" t="str">
        <f>IFERROR(__xludf.DUMMYFUNCTION("""COMPUTED_VALUE"""),"")</f>
        <v/>
      </c>
      <c r="AB256" s="74" t="str">
        <f>IFERROR(__xludf.DUMMYFUNCTION("""COMPUTED_VALUE"""),"")</f>
        <v/>
      </c>
    </row>
    <row r="257">
      <c r="A257" s="109">
        <f>IFERROR(__xludf.DUMMYFUNCTION("""COMPUTED_VALUE"""),45974.837980578704)</f>
        <v>45974.83798</v>
      </c>
      <c r="B257" s="81" t="str">
        <f>IFERROR(__xludf.DUMMYFUNCTION("""COMPUTED_VALUE"""),"Elliott Haber")</f>
        <v>Elliott Haber</v>
      </c>
      <c r="C257" s="74" t="b">
        <f>IFERROR(__xludf.DUMMYFUNCTION("""COMPUTED_VALUE"""),TRUE)</f>
        <v>1</v>
      </c>
      <c r="D257" s="137">
        <f>IFERROR(__xludf.DUMMYFUNCTION("""COMPUTED_VALUE"""),0.7756944444408873)</f>
        <v>0.7756944444</v>
      </c>
      <c r="E257" s="82">
        <f>IFERROR(__xludf.DUMMYFUNCTION("""COMPUTED_VALUE"""),0.05763888889487134)</f>
        <v>0.05763888889</v>
      </c>
      <c r="F257" s="137">
        <f>IFERROR(__xludf.DUMMYFUNCTION("""COMPUTED_VALUE"""),0.8333333333357587)</f>
        <v>0.8333333333</v>
      </c>
      <c r="G257" s="82" t="str">
        <f>IFERROR(__xludf.DUMMYFUNCTION("""COMPUTED_VALUE"""),"")</f>
        <v/>
      </c>
      <c r="H257" s="115">
        <f>IFERROR(__xludf.DUMMYFUNCTION("""COMPUTED_VALUE"""),105.0)</f>
        <v>105</v>
      </c>
      <c r="I257" s="112" t="str">
        <f>IFERROR(__xludf.DUMMYFUNCTION("""COMPUTED_VALUE"""),"")</f>
        <v/>
      </c>
      <c r="J257" s="74" t="str">
        <f>IFERROR(__xludf.DUMMYFUNCTION("""COMPUTED_VALUE"""),"Dinner")</f>
        <v>Dinner</v>
      </c>
      <c r="K257" s="113">
        <f>IFERROR(__xludf.DUMMYFUNCTION("""COMPUTED_VALUE"""),45974.0)</f>
        <v>45974</v>
      </c>
      <c r="L257" s="74" t="str">
        <f>IFERROR(__xludf.DUMMYFUNCTION("""COMPUTED_VALUE"""),"Thursday")</f>
        <v>Thursday</v>
      </c>
      <c r="M257" s="74" t="str">
        <f>IFERROR(__xludf.DUMMYFUNCTION("""COMPUTED_VALUE"""),"MF")</f>
        <v>MF</v>
      </c>
      <c r="N257" s="114" t="str">
        <f>IFERROR(__xludf.DUMMYFUNCTION("""COMPUTED_VALUE"""),"")</f>
        <v/>
      </c>
      <c r="O257" s="74" t="str">
        <f>IFERROR(__xludf.DUMMYFUNCTION("""COMPUTED_VALUE"""),"")</f>
        <v/>
      </c>
      <c r="P257" s="74" t="str">
        <f>IFERROR(__xludf.DUMMYFUNCTION("""COMPUTED_VALUE"""),"")</f>
        <v/>
      </c>
      <c r="Q257" s="82" t="str">
        <f>IFERROR(__xludf.DUMMYFUNCTION("""COMPUTED_VALUE"""),"")</f>
        <v/>
      </c>
      <c r="R257" s="82" t="str">
        <f>IFERROR(__xludf.DUMMYFUNCTION("""COMPUTED_VALUE"""),"")</f>
        <v/>
      </c>
      <c r="S257" s="63" t="str">
        <f>IFERROR(__xludf.DUMMYFUNCTION("""COMPUTED_VALUE"""),"")</f>
        <v/>
      </c>
      <c r="T257" s="63" t="str">
        <f>IFERROR(__xludf.DUMMYFUNCTION("""COMPUTED_VALUE"""),"")</f>
        <v/>
      </c>
      <c r="U257" s="138" t="str">
        <f>IFERROR(__xludf.DUMMYFUNCTION("""COMPUTED_VALUE"""),"")</f>
        <v/>
      </c>
      <c r="V257" s="82" t="str">
        <f>IFERROR(__xludf.DUMMYFUNCTION("""COMPUTED_VALUE"""),"")</f>
        <v/>
      </c>
      <c r="W257" s="64" t="str">
        <f>IFERROR(__xludf.DUMMYFUNCTION("""COMPUTED_VALUE"""),"")</f>
        <v/>
      </c>
      <c r="X257" s="64" t="str">
        <f>IFERROR(__xludf.DUMMYFUNCTION("""COMPUTED_VALUE"""),"")</f>
        <v/>
      </c>
      <c r="Y257" s="114" t="str">
        <f>IFERROR(__xludf.DUMMYFUNCTION("""COMPUTED_VALUE"""),"")</f>
        <v/>
      </c>
      <c r="Z257" s="118" t="str">
        <f>IFERROR(__xludf.DUMMYFUNCTION("""COMPUTED_VALUE"""),"")</f>
        <v/>
      </c>
      <c r="AA257" s="118" t="str">
        <f>IFERROR(__xludf.DUMMYFUNCTION("""COMPUTED_VALUE"""),"")</f>
        <v/>
      </c>
      <c r="AB257" s="74" t="str">
        <f>IFERROR(__xludf.DUMMYFUNCTION("""COMPUTED_VALUE"""),"")</f>
        <v/>
      </c>
    </row>
    <row r="258">
      <c r="A258" s="109">
        <f>IFERROR(__xludf.DUMMYFUNCTION("""COMPUTED_VALUE"""),45974.87807975695)</f>
        <v>45974.87808</v>
      </c>
      <c r="B258" s="81" t="str">
        <f>IFERROR(__xludf.DUMMYFUNCTION("""COMPUTED_VALUE"""),"Elliott Haber")</f>
        <v>Elliott Haber</v>
      </c>
      <c r="C258" s="74" t="b">
        <f>IFERROR(__xludf.DUMMYFUNCTION("""COMPUTED_VALUE"""),TRUE)</f>
        <v>1</v>
      </c>
      <c r="D258" s="137">
        <f>IFERROR(__xludf.DUMMYFUNCTION("""COMPUTED_VALUE"""),0.84375)</f>
        <v>0.84375</v>
      </c>
      <c r="E258" s="82">
        <f>IFERROR(__xludf.DUMMYFUNCTION("""COMPUTED_VALUE"""),0.03125)</f>
        <v>0.03125</v>
      </c>
      <c r="F258" s="137">
        <f>IFERROR(__xludf.DUMMYFUNCTION("""COMPUTED_VALUE"""),0.875)</f>
        <v>0.875</v>
      </c>
      <c r="G258" s="82" t="str">
        <f>IFERROR(__xludf.DUMMYFUNCTION("""COMPUTED_VALUE"""),"")</f>
        <v/>
      </c>
      <c r="H258" s="115">
        <f>IFERROR(__xludf.DUMMYFUNCTION("""COMPUTED_VALUE"""),27.0)</f>
        <v>27</v>
      </c>
      <c r="I258" s="112" t="str">
        <f>IFERROR(__xludf.DUMMYFUNCTION("""COMPUTED_VALUE"""),"")</f>
        <v/>
      </c>
      <c r="J258" s="74" t="str">
        <f>IFERROR(__xludf.DUMMYFUNCTION("""COMPUTED_VALUE"""),"Dinner")</f>
        <v>Dinner</v>
      </c>
      <c r="K258" s="113">
        <f>IFERROR(__xludf.DUMMYFUNCTION("""COMPUTED_VALUE"""),45974.0)</f>
        <v>45974</v>
      </c>
      <c r="L258" s="74" t="str">
        <f>IFERROR(__xludf.DUMMYFUNCTION("""COMPUTED_VALUE"""),"Thursday")</f>
        <v>Thursday</v>
      </c>
      <c r="M258" s="74" t="str">
        <f>IFERROR(__xludf.DUMMYFUNCTION("""COMPUTED_VALUE"""),"MF")</f>
        <v>MF</v>
      </c>
      <c r="N258" s="114" t="str">
        <f>IFERROR(__xludf.DUMMYFUNCTION("""COMPUTED_VALUE"""),"")</f>
        <v/>
      </c>
      <c r="O258" s="74">
        <f>IFERROR(__xludf.DUMMYFUNCTION("""COMPUTED_VALUE"""),400.0)</f>
        <v>400</v>
      </c>
      <c r="P258" s="74">
        <f>IFERROR(__xludf.DUMMYFUNCTION("""COMPUTED_VALUE"""),231.0)</f>
        <v>231</v>
      </c>
      <c r="Q258" s="82">
        <f>IFERROR(__xludf.DUMMYFUNCTION("""COMPUTED_VALUE"""),0.3458333333401242)</f>
        <v>0.3458333333</v>
      </c>
      <c r="R258" s="82">
        <f>IFERROR(__xludf.DUMMYFUNCTION("""COMPUTED_VALUE"""),0.26458333333721384)</f>
        <v>0.2645833333</v>
      </c>
      <c r="S258" s="63">
        <f>IFERROR(__xludf.DUMMYFUNCTION("""COMPUTED_VALUE"""),36.71679197949642)</f>
        <v>36.71679198</v>
      </c>
      <c r="T258" s="63">
        <f>IFERROR(__xludf.DUMMYFUNCTION("""COMPUTED_VALUE"""),40.46346370899521)</f>
        <v>40.46346371</v>
      </c>
      <c r="U258" s="138">
        <f>IFERROR(__xludf.DUMMYFUNCTION("""COMPUTED_VALUE"""),631.0)</f>
        <v>631</v>
      </c>
      <c r="V258" s="82">
        <f>IFERROR(__xludf.DUMMYFUNCTION("""COMPUTED_VALUE"""),0.6104166666773381)</f>
        <v>0.6104166667</v>
      </c>
      <c r="W258" s="64">
        <f>IFERROR(__xludf.DUMMYFUNCTION("""COMPUTED_VALUE"""),43.07167235419582)</f>
        <v>43.07167235</v>
      </c>
      <c r="X258" s="64">
        <f>IFERROR(__xludf.DUMMYFUNCTION("""COMPUTED_VALUE"""),38.59012784424581)</f>
        <v>38.59012784</v>
      </c>
      <c r="Y258" s="114">
        <f>IFERROR(__xludf.DUMMYFUNCTION("""COMPUTED_VALUE"""),0.715179311415502)</f>
        <v>0.7151793114</v>
      </c>
      <c r="Z258" s="118">
        <f>IFERROR(__xludf.DUMMYFUNCTION("""COMPUTED_VALUE"""),3682.0)</f>
        <v>3682</v>
      </c>
      <c r="AA258" s="118">
        <f>IFERROR(__xludf.DUMMYFUNCTION("""COMPUTED_VALUE"""),3651.0)</f>
        <v>3651</v>
      </c>
      <c r="AB258" s="118">
        <f>IFERROR(__xludf.DUMMYFUNCTION("""COMPUTED_VALUE"""),7333.0)</f>
        <v>7333</v>
      </c>
    </row>
    <row r="259">
      <c r="A259" s="109">
        <f>IFERROR(__xludf.DUMMYFUNCTION("""COMPUTED_VALUE"""),45975.59140770833)</f>
        <v>45975.59141</v>
      </c>
      <c r="B259" s="81" t="str">
        <f>IFERROR(__xludf.DUMMYFUNCTION("""COMPUTED_VALUE"""),"Greta Traynor")</f>
        <v>Greta Traynor</v>
      </c>
      <c r="C259" s="74" t="b">
        <f>IFERROR(__xludf.DUMMYFUNCTION("""COMPUTED_VALUE"""),FALSE)</f>
        <v>0</v>
      </c>
      <c r="D259" s="137">
        <f>IFERROR(__xludf.DUMMYFUNCTION("""COMPUTED_VALUE"""),0.5430555555576575)</f>
        <v>0.5430555556</v>
      </c>
      <c r="E259" s="82">
        <f>IFERROR(__xludf.DUMMYFUNCTION("""COMPUTED_VALUE"""),0.04791666666456473)</f>
        <v>0.04791666666</v>
      </c>
      <c r="F259" s="137">
        <f>IFERROR(__xludf.DUMMYFUNCTION("""COMPUTED_VALUE"""),0.5909722222222222)</f>
        <v>0.5909722222</v>
      </c>
      <c r="G259" s="82">
        <f>IFERROR(__xludf.DUMMYFUNCTION("""COMPUTED_VALUE"""),0.04791666666456473)</f>
        <v>0.04791666666</v>
      </c>
      <c r="H259" s="115">
        <f>IFERROR(__xludf.DUMMYFUNCTION("""COMPUTED_VALUE"""),53.0)</f>
        <v>53</v>
      </c>
      <c r="I259" s="112">
        <f>IFERROR(__xludf.DUMMYFUNCTION("""COMPUTED_VALUE"""),46.086956523760804)</f>
        <v>46.08695652</v>
      </c>
      <c r="J259" s="74" t="str">
        <f>IFERROR(__xludf.DUMMYFUNCTION("""COMPUTED_VALUE"""),"Lunch")</f>
        <v>Lunch</v>
      </c>
      <c r="K259" s="113">
        <f>IFERROR(__xludf.DUMMYFUNCTION("""COMPUTED_VALUE"""),45975.0)</f>
        <v>45975</v>
      </c>
      <c r="L259" s="74" t="str">
        <f>IFERROR(__xludf.DUMMYFUNCTION("""COMPUTED_VALUE"""),"Friday")</f>
        <v>Friday</v>
      </c>
      <c r="M259" s="74" t="str">
        <f>IFERROR(__xludf.DUMMYFUNCTION("""COMPUTED_VALUE"""),"BF")</f>
        <v>BF</v>
      </c>
      <c r="N259" s="114">
        <f>IFERROR(__xludf.DUMMYFUNCTION("""COMPUTED_VALUE"""),1.1868680687348065)</f>
        <v>1.186868069</v>
      </c>
      <c r="O259" s="74" t="str">
        <f>IFERROR(__xludf.DUMMYFUNCTION("""COMPUTED_VALUE"""),"")</f>
        <v/>
      </c>
      <c r="P259" s="74" t="str">
        <f>IFERROR(__xludf.DUMMYFUNCTION("""COMPUTED_VALUE"""),"")</f>
        <v/>
      </c>
      <c r="Q259" s="82" t="str">
        <f>IFERROR(__xludf.DUMMYFUNCTION("""COMPUTED_VALUE"""),"")</f>
        <v/>
      </c>
      <c r="R259" s="82" t="str">
        <f>IFERROR(__xludf.DUMMYFUNCTION("""COMPUTED_VALUE"""),"")</f>
        <v/>
      </c>
      <c r="S259" s="63" t="str">
        <f>IFERROR(__xludf.DUMMYFUNCTION("""COMPUTED_VALUE"""),"")</f>
        <v/>
      </c>
      <c r="T259" s="63" t="str">
        <f>IFERROR(__xludf.DUMMYFUNCTION("""COMPUTED_VALUE"""),"")</f>
        <v/>
      </c>
      <c r="U259" s="138" t="str">
        <f>IFERROR(__xludf.DUMMYFUNCTION("""COMPUTED_VALUE"""),"")</f>
        <v/>
      </c>
      <c r="V259" s="82" t="str">
        <f>IFERROR(__xludf.DUMMYFUNCTION("""COMPUTED_VALUE"""),"")</f>
        <v/>
      </c>
      <c r="W259" s="64" t="str">
        <f>IFERROR(__xludf.DUMMYFUNCTION("""COMPUTED_VALUE"""),"")</f>
        <v/>
      </c>
      <c r="X259" s="64" t="str">
        <f>IFERROR(__xludf.DUMMYFUNCTION("""COMPUTED_VALUE"""),"")</f>
        <v/>
      </c>
      <c r="Y259" s="114" t="str">
        <f>IFERROR(__xludf.DUMMYFUNCTION("""COMPUTED_VALUE"""),"")</f>
        <v/>
      </c>
      <c r="Z259" s="118" t="str">
        <f>IFERROR(__xludf.DUMMYFUNCTION("""COMPUTED_VALUE"""),"")</f>
        <v/>
      </c>
      <c r="AA259" s="118" t="str">
        <f>IFERROR(__xludf.DUMMYFUNCTION("""COMPUTED_VALUE"""),"")</f>
        <v/>
      </c>
      <c r="AB259" s="74"/>
    </row>
    <row r="260">
      <c r="A260" s="109">
        <f>IFERROR(__xludf.DUMMYFUNCTION("""COMPUTED_VALUE"""),45975.63173871528)</f>
        <v>45975.63174</v>
      </c>
      <c r="B260" s="81" t="str">
        <f>IFERROR(__xludf.DUMMYFUNCTION("""COMPUTED_VALUE"""),"Brynn Hornig")</f>
        <v>Brynn Hornig</v>
      </c>
      <c r="C260" s="74" t="b">
        <f>IFERROR(__xludf.DUMMYFUNCTION("""COMPUTED_VALUE"""),FALSE)</f>
        <v>0</v>
      </c>
      <c r="D260" s="137">
        <f>IFERROR(__xludf.DUMMYFUNCTION("""COMPUTED_VALUE"""),0.5520833333357587)</f>
        <v>0.5520833333</v>
      </c>
      <c r="E260" s="82">
        <f>IFERROR(__xludf.DUMMYFUNCTION("""COMPUTED_VALUE"""),0.0833333333284827)</f>
        <v>0.08333333333</v>
      </c>
      <c r="F260" s="137">
        <f>IFERROR(__xludf.DUMMYFUNCTION("""COMPUTED_VALUE"""),0.6354166666642413)</f>
        <v>0.6354166667</v>
      </c>
      <c r="G260" s="82">
        <f>IFERROR(__xludf.DUMMYFUNCTION("""COMPUTED_VALUE"""),0.0833333333284827)</f>
        <v>0.08333333333</v>
      </c>
      <c r="H260" s="115">
        <f>IFERROR(__xludf.DUMMYFUNCTION("""COMPUTED_VALUE"""),93.0)</f>
        <v>93</v>
      </c>
      <c r="I260" s="112">
        <f>IFERROR(__xludf.DUMMYFUNCTION("""COMPUTED_VALUE"""),46.500000002706656)</f>
        <v>46.5</v>
      </c>
      <c r="J260" s="74" t="str">
        <f>IFERROR(__xludf.DUMMYFUNCTION("""COMPUTED_VALUE"""),"Lunch")</f>
        <v>Lunch</v>
      </c>
      <c r="K260" s="113">
        <f>IFERROR(__xludf.DUMMYFUNCTION("""COMPUTED_VALUE"""),45975.0)</f>
        <v>45975</v>
      </c>
      <c r="L260" s="74" t="str">
        <f>IFERROR(__xludf.DUMMYFUNCTION("""COMPUTED_VALUE"""),"Friday")</f>
        <v>Friday</v>
      </c>
      <c r="M260" s="74" t="str">
        <f>IFERROR(__xludf.DUMMYFUNCTION("""COMPUTED_VALUE"""),"MF")</f>
        <v>MF</v>
      </c>
      <c r="N260" s="114">
        <f>IFERROR(__xludf.DUMMYFUNCTION("""COMPUTED_VALUE"""),0.9669602103258499)</f>
        <v>0.9669602103</v>
      </c>
      <c r="O260" s="74" t="str">
        <f>IFERROR(__xludf.DUMMYFUNCTION("""COMPUTED_VALUE"""),"")</f>
        <v/>
      </c>
      <c r="P260" s="74" t="str">
        <f>IFERROR(__xludf.DUMMYFUNCTION("""COMPUTED_VALUE"""),"")</f>
        <v/>
      </c>
      <c r="Q260" s="82" t="str">
        <f>IFERROR(__xludf.DUMMYFUNCTION("""COMPUTED_VALUE"""),"")</f>
        <v/>
      </c>
      <c r="R260" s="82" t="str">
        <f>IFERROR(__xludf.DUMMYFUNCTION("""COMPUTED_VALUE"""),"")</f>
        <v/>
      </c>
      <c r="S260" s="63" t="str">
        <f>IFERROR(__xludf.DUMMYFUNCTION("""COMPUTED_VALUE"""),"")</f>
        <v/>
      </c>
      <c r="T260" s="63" t="str">
        <f>IFERROR(__xludf.DUMMYFUNCTION("""COMPUTED_VALUE"""),"")</f>
        <v/>
      </c>
      <c r="U260" s="138" t="str">
        <f>IFERROR(__xludf.DUMMYFUNCTION("""COMPUTED_VALUE"""),"")</f>
        <v/>
      </c>
      <c r="V260" s="82" t="str">
        <f>IFERROR(__xludf.DUMMYFUNCTION("""COMPUTED_VALUE"""),"")</f>
        <v/>
      </c>
      <c r="W260" s="64" t="str">
        <f>IFERROR(__xludf.DUMMYFUNCTION("""COMPUTED_VALUE"""),"")</f>
        <v/>
      </c>
      <c r="X260" s="64" t="str">
        <f>IFERROR(__xludf.DUMMYFUNCTION("""COMPUTED_VALUE"""),"")</f>
        <v/>
      </c>
      <c r="Y260" s="114" t="str">
        <f>IFERROR(__xludf.DUMMYFUNCTION("""COMPUTED_VALUE"""),"")</f>
        <v/>
      </c>
      <c r="Z260" s="118" t="str">
        <f>IFERROR(__xludf.DUMMYFUNCTION("""COMPUTED_VALUE"""),"")</f>
        <v/>
      </c>
      <c r="AA260" s="118" t="str">
        <f>IFERROR(__xludf.DUMMYFUNCTION("""COMPUTED_VALUE"""),"")</f>
        <v/>
      </c>
      <c r="AB260" s="74"/>
    </row>
    <row r="261">
      <c r="A261" s="109">
        <f>IFERROR(__xludf.DUMMYFUNCTION("""COMPUTED_VALUE"""),45975.759074733796)</f>
        <v>45975.75907</v>
      </c>
      <c r="B261" s="81" t="str">
        <f>IFERROR(__xludf.DUMMYFUNCTION("""COMPUTED_VALUE"""),"Emmett Khan")</f>
        <v>Emmett Khan</v>
      </c>
      <c r="C261" s="74" t="b">
        <f>IFERROR(__xludf.DUMMYFUNCTION("""COMPUTED_VALUE"""),FALSE)</f>
        <v>0</v>
      </c>
      <c r="D261" s="137">
        <f>IFERROR(__xludf.DUMMYFUNCTION("""COMPUTED_VALUE"""),0.6666666666642413)</f>
        <v>0.6666666667</v>
      </c>
      <c r="E261" s="82">
        <f>IFERROR(__xludf.DUMMYFUNCTION("""COMPUTED_VALUE"""),0.09375)</f>
        <v>0.09375</v>
      </c>
      <c r="F261" s="137">
        <f>IFERROR(__xludf.DUMMYFUNCTION("""COMPUTED_VALUE"""),0.7604166666642413)</f>
        <v>0.7604166667</v>
      </c>
      <c r="G261" s="82">
        <f>IFERROR(__xludf.DUMMYFUNCTION("""COMPUTED_VALUE"""),0.09375)</f>
        <v>0.09375</v>
      </c>
      <c r="H261" s="115">
        <f>IFERROR(__xludf.DUMMYFUNCTION("""COMPUTED_VALUE"""),191.0)</f>
        <v>191</v>
      </c>
      <c r="I261" s="112">
        <f>IFERROR(__xludf.DUMMYFUNCTION("""COMPUTED_VALUE"""),84.88888888888889)</f>
        <v>84.88888889</v>
      </c>
      <c r="J261" s="74" t="str">
        <f>IFERROR(__xludf.DUMMYFUNCTION("""COMPUTED_VALUE"""),"Dinner")</f>
        <v>Dinner</v>
      </c>
      <c r="K261" s="113">
        <f>IFERROR(__xludf.DUMMYFUNCTION("""COMPUTED_VALUE"""),45975.0)</f>
        <v>45975</v>
      </c>
      <c r="L261" s="74" t="str">
        <f>IFERROR(__xludf.DUMMYFUNCTION("""COMPUTED_VALUE"""),"Friday")</f>
        <v>Friday</v>
      </c>
      <c r="M261" s="74" t="str">
        <f>IFERROR(__xludf.DUMMYFUNCTION("""COMPUTED_VALUE"""),"MF")</f>
        <v>MF</v>
      </c>
      <c r="N261" s="114">
        <f>IFERROR(__xludf.DUMMYFUNCTION("""COMPUTED_VALUE"""),1.672734380293682)</f>
        <v>1.67273438</v>
      </c>
      <c r="O261" s="74">
        <f>IFERROR(__xludf.DUMMYFUNCTION("""COMPUTED_VALUE"""),284.0)</f>
        <v>284</v>
      </c>
      <c r="P261" s="74">
        <f>IFERROR(__xludf.DUMMYFUNCTION("""COMPUTED_VALUE"""),53.0)</f>
        <v>53</v>
      </c>
      <c r="Q261" s="82">
        <f>IFERROR(__xludf.DUMMYFUNCTION("""COMPUTED_VALUE"""),0.1770833333284827)</f>
        <v>0.1770833333</v>
      </c>
      <c r="R261" s="82">
        <f>IFERROR(__xludf.DUMMYFUNCTION("""COMPUTED_VALUE"""),0.04791666666456473)</f>
        <v>0.04791666666</v>
      </c>
      <c r="S261" s="63">
        <f>IFERROR(__xludf.DUMMYFUNCTION("""COMPUTED_VALUE"""),65.69444444579777)</f>
        <v>65.69444445</v>
      </c>
      <c r="T261" s="63">
        <f>IFERROR(__xludf.DUMMYFUNCTION("""COMPUTED_VALUE"""),46.086956523760804)</f>
        <v>46.08695652</v>
      </c>
      <c r="U261" s="138">
        <f>IFERROR(__xludf.DUMMYFUNCTION("""COMPUTED_VALUE"""),337.0)</f>
        <v>337</v>
      </c>
      <c r="V261" s="82">
        <f>IFERROR(__xludf.DUMMYFUNCTION("""COMPUTED_VALUE"""),0.22499999999304743)</f>
        <v>0.225</v>
      </c>
      <c r="W261" s="64">
        <f>IFERROR(__xludf.DUMMYFUNCTION("""COMPUTED_VALUE"""),62.40740740933582)</f>
        <v>62.40740741</v>
      </c>
      <c r="X261" s="64">
        <f>IFERROR(__xludf.DUMMYFUNCTION("""COMPUTED_VALUE"""),59.15861513845211)</f>
        <v>59.15861514</v>
      </c>
      <c r="Y261" s="114">
        <f>IFERROR(__xludf.DUMMYFUNCTION("""COMPUTED_VALUE"""),1.292316298649823)</f>
        <v>1.292316299</v>
      </c>
      <c r="Z261" s="118">
        <f>IFERROR(__xludf.DUMMYFUNCTION("""COMPUTED_VALUE"""),3821.0)</f>
        <v>3821</v>
      </c>
      <c r="AA261" s="118">
        <f>IFERROR(__xludf.DUMMYFUNCTION("""COMPUTED_VALUE"""),2217.0)</f>
        <v>2217</v>
      </c>
      <c r="AB261" s="74"/>
    </row>
    <row r="262">
      <c r="A262" s="109">
        <f>IFERROR(__xludf.DUMMYFUNCTION("""COMPUTED_VALUE"""),45978.435646990736)</f>
        <v>45978.43565</v>
      </c>
      <c r="B262" s="81" t="str">
        <f>IFERROR(__xludf.DUMMYFUNCTION("""COMPUTED_VALUE"""),"Sarah Wilme")</f>
        <v>Sarah Wilme</v>
      </c>
      <c r="C262" s="74" t="b">
        <f>IFERROR(__xludf.DUMMYFUNCTION("""COMPUTED_VALUE"""),FALSE)</f>
        <v>0</v>
      </c>
      <c r="D262" s="137">
        <f>IFERROR(__xludf.DUMMYFUNCTION("""COMPUTED_VALUE"""),0.2923611111109494)</f>
        <v>0.2923611111</v>
      </c>
      <c r="E262" s="82">
        <f>IFERROR(__xludf.DUMMYFUNCTION("""COMPUTED_VALUE"""),0.1416666666700621)</f>
        <v>0.1416666667</v>
      </c>
      <c r="F262" s="137">
        <f>IFERROR(__xludf.DUMMYFUNCTION("""COMPUTED_VALUE"""),0.43402777778101154)</f>
        <v>0.4340277778</v>
      </c>
      <c r="G262" s="82">
        <f>IFERROR(__xludf.DUMMYFUNCTION("""COMPUTED_VALUE"""),0.1416666666700621)</f>
        <v>0.1416666667</v>
      </c>
      <c r="H262" s="115">
        <f>IFERROR(__xludf.DUMMYFUNCTION("""COMPUTED_VALUE"""),110.0)</f>
        <v>110</v>
      </c>
      <c r="I262" s="112">
        <f>IFERROR(__xludf.DUMMYFUNCTION("""COMPUTED_VALUE"""),32.35294117569516)</f>
        <v>32.35294118</v>
      </c>
      <c r="J262" s="74" t="str">
        <f>IFERROR(__xludf.DUMMYFUNCTION("""COMPUTED_VALUE"""),"Breakfast")</f>
        <v>Breakfast</v>
      </c>
      <c r="K262" s="113">
        <f>IFERROR(__xludf.DUMMYFUNCTION("""COMPUTED_VALUE"""),45978.0)</f>
        <v>45978</v>
      </c>
      <c r="L262" s="74" t="str">
        <f>IFERROR(__xludf.DUMMYFUNCTION("""COMPUTED_VALUE"""),"Monday")</f>
        <v>Monday</v>
      </c>
      <c r="M262" s="74" t="str">
        <f>IFERROR(__xludf.DUMMYFUNCTION("""COMPUTED_VALUE"""),"BF")</f>
        <v>BF</v>
      </c>
      <c r="N262" s="114">
        <f>IFERROR(__xludf.DUMMYFUNCTION("""COMPUTED_VALUE"""),1.3701850392438875)</f>
        <v>1.370185039</v>
      </c>
      <c r="O262" s="74" t="str">
        <f>IFERROR(__xludf.DUMMYFUNCTION("""COMPUTED_VALUE"""),"")</f>
        <v/>
      </c>
      <c r="P262" s="74" t="str">
        <f>IFERROR(__xludf.DUMMYFUNCTION("""COMPUTED_VALUE"""),"")</f>
        <v/>
      </c>
      <c r="Q262" s="82" t="str">
        <f>IFERROR(__xludf.DUMMYFUNCTION("""COMPUTED_VALUE"""),"")</f>
        <v/>
      </c>
      <c r="R262" s="82" t="str">
        <f>IFERROR(__xludf.DUMMYFUNCTION("""COMPUTED_VALUE"""),"")</f>
        <v/>
      </c>
      <c r="S262" s="63" t="str">
        <f>IFERROR(__xludf.DUMMYFUNCTION("""COMPUTED_VALUE"""),"")</f>
        <v/>
      </c>
      <c r="T262" s="63" t="str">
        <f>IFERROR(__xludf.DUMMYFUNCTION("""COMPUTED_VALUE"""),"")</f>
        <v/>
      </c>
      <c r="U262" s="138" t="str">
        <f>IFERROR(__xludf.DUMMYFUNCTION("""COMPUTED_VALUE"""),"")</f>
        <v/>
      </c>
      <c r="V262" s="82" t="str">
        <f>IFERROR(__xludf.DUMMYFUNCTION("""COMPUTED_VALUE"""),"")</f>
        <v/>
      </c>
      <c r="W262" s="64" t="str">
        <f>IFERROR(__xludf.DUMMYFUNCTION("""COMPUTED_VALUE"""),"")</f>
        <v/>
      </c>
      <c r="X262" s="64" t="str">
        <f>IFERROR(__xludf.DUMMYFUNCTION("""COMPUTED_VALUE"""),"")</f>
        <v/>
      </c>
      <c r="Y262" s="114" t="str">
        <f>IFERROR(__xludf.DUMMYFUNCTION("""COMPUTED_VALUE"""),"")</f>
        <v/>
      </c>
      <c r="Z262" s="118" t="str">
        <f>IFERROR(__xludf.DUMMYFUNCTION("""COMPUTED_VALUE"""),"")</f>
        <v/>
      </c>
      <c r="AA262" s="118" t="str">
        <f>IFERROR(__xludf.DUMMYFUNCTION("""COMPUTED_VALUE"""),"")</f>
        <v/>
      </c>
      <c r="AB262" s="74"/>
    </row>
    <row r="263">
      <c r="A263" s="109">
        <f>IFERROR(__xludf.DUMMYFUNCTION("""COMPUTED_VALUE"""),45978.49990913195)</f>
        <v>45978.49991</v>
      </c>
      <c r="B263" s="81" t="str">
        <f>IFERROR(__xludf.DUMMYFUNCTION("""COMPUTED_VALUE"""),"Oluwatimilehin Shodipe")</f>
        <v>Oluwatimilehin Shodipe</v>
      </c>
      <c r="C263" s="74" t="b">
        <f>IFERROR(__xludf.DUMMYFUNCTION("""COMPUTED_VALUE"""),FALSE)</f>
        <v>0</v>
      </c>
      <c r="D263" s="137">
        <f>IFERROR(__xludf.DUMMYFUNCTION("""COMPUTED_VALUE"""),0.44166666666569654)</f>
        <v>0.4416666667</v>
      </c>
      <c r="E263" s="82">
        <f>IFERROR(__xludf.DUMMYFUNCTION("""COMPUTED_VALUE"""),0.05833333333430346)</f>
        <v>0.05833333333</v>
      </c>
      <c r="F263" s="137">
        <f>IFERROR(__xludf.DUMMYFUNCTION("""COMPUTED_VALUE"""),0.5)</f>
        <v>0.5</v>
      </c>
      <c r="G263" s="82">
        <f>IFERROR(__xludf.DUMMYFUNCTION("""COMPUTED_VALUE"""),0.05833333333430346)</f>
        <v>0.05833333333</v>
      </c>
      <c r="H263" s="115">
        <f>IFERROR(__xludf.DUMMYFUNCTION("""COMPUTED_VALUE"""),80.0)</f>
        <v>80</v>
      </c>
      <c r="I263" s="112">
        <f>IFERROR(__xludf.DUMMYFUNCTION("""COMPUTED_VALUE"""),57.142857141906816)</f>
        <v>57.14285714</v>
      </c>
      <c r="J263" s="74" t="str">
        <f>IFERROR(__xludf.DUMMYFUNCTION("""COMPUTED_VALUE"""),"Breakfast/Lunch")</f>
        <v>Breakfast/Lunch</v>
      </c>
      <c r="K263" s="113">
        <f>IFERROR(__xludf.DUMMYFUNCTION("""COMPUTED_VALUE"""),45978.0)</f>
        <v>45978</v>
      </c>
      <c r="L263" s="74" t="str">
        <f>IFERROR(__xludf.DUMMYFUNCTION("""COMPUTED_VALUE"""),"Monday")</f>
        <v>Monday</v>
      </c>
      <c r="M263" s="74" t="str">
        <f>IFERROR(__xludf.DUMMYFUNCTION("""COMPUTED_VALUE"""),"BF")</f>
        <v>BF</v>
      </c>
      <c r="N263" s="114">
        <f>IFERROR(__xludf.DUMMYFUNCTION("""COMPUTED_VALUE"""),1.0035130145014513)</f>
        <v>1.003513015</v>
      </c>
      <c r="O263" s="74" t="str">
        <f>IFERROR(__xludf.DUMMYFUNCTION("""COMPUTED_VALUE"""),"")</f>
        <v/>
      </c>
      <c r="P263" s="74" t="str">
        <f>IFERROR(__xludf.DUMMYFUNCTION("""COMPUTED_VALUE"""),"")</f>
        <v/>
      </c>
      <c r="Q263" s="82" t="str">
        <f>IFERROR(__xludf.DUMMYFUNCTION("""COMPUTED_VALUE"""),"")</f>
        <v/>
      </c>
      <c r="R263" s="82" t="str">
        <f>IFERROR(__xludf.DUMMYFUNCTION("""COMPUTED_VALUE"""),"")</f>
        <v/>
      </c>
      <c r="S263" s="63" t="str">
        <f>IFERROR(__xludf.DUMMYFUNCTION("""COMPUTED_VALUE"""),"")</f>
        <v/>
      </c>
      <c r="T263" s="63" t="str">
        <f>IFERROR(__xludf.DUMMYFUNCTION("""COMPUTED_VALUE"""),"")</f>
        <v/>
      </c>
      <c r="U263" s="138" t="str">
        <f>IFERROR(__xludf.DUMMYFUNCTION("""COMPUTED_VALUE"""),"")</f>
        <v/>
      </c>
      <c r="V263" s="82" t="str">
        <f>IFERROR(__xludf.DUMMYFUNCTION("""COMPUTED_VALUE"""),"")</f>
        <v/>
      </c>
      <c r="W263" s="64" t="str">
        <f>IFERROR(__xludf.DUMMYFUNCTION("""COMPUTED_VALUE"""),"")</f>
        <v/>
      </c>
      <c r="X263" s="64" t="str">
        <f>IFERROR(__xludf.DUMMYFUNCTION("""COMPUTED_VALUE"""),"")</f>
        <v/>
      </c>
      <c r="Y263" s="114" t="str">
        <f>IFERROR(__xludf.DUMMYFUNCTION("""COMPUTED_VALUE"""),"")</f>
        <v/>
      </c>
      <c r="Z263" s="118" t="str">
        <f>IFERROR(__xludf.DUMMYFUNCTION("""COMPUTED_VALUE"""),"")</f>
        <v/>
      </c>
      <c r="AA263" s="118" t="str">
        <f>IFERROR(__xludf.DUMMYFUNCTION("""COMPUTED_VALUE"""),"")</f>
        <v/>
      </c>
      <c r="AB263" s="74"/>
    </row>
    <row r="264">
      <c r="A264" s="109">
        <f>IFERROR(__xludf.DUMMYFUNCTION("""COMPUTED_VALUE"""),45978.5752328588)</f>
        <v>45978.57523</v>
      </c>
      <c r="B264" s="81" t="str">
        <f>IFERROR(__xludf.DUMMYFUNCTION("""COMPUTED_VALUE"""),"Orpheus Wilson")</f>
        <v>Orpheus Wilson</v>
      </c>
      <c r="C264" s="74" t="b">
        <f>IFERROR(__xludf.DUMMYFUNCTION("""COMPUTED_VALUE"""),FALSE)</f>
        <v>0</v>
      </c>
      <c r="D264" s="137">
        <f>IFERROR(__xludf.DUMMYFUNCTION("""COMPUTED_VALUE"""),0.48263888889050577)</f>
        <v>0.4826388889</v>
      </c>
      <c r="E264" s="82">
        <f>IFERROR(__xludf.DUMMYFUNCTION("""COMPUTED_VALUE"""),0.07847222221607808)</f>
        <v>0.07847222222</v>
      </c>
      <c r="F264" s="137">
        <f>IFERROR(__xludf.DUMMYFUNCTION("""COMPUTED_VALUE"""),0.5611111111065838)</f>
        <v>0.5611111111</v>
      </c>
      <c r="G264" s="82">
        <f>IFERROR(__xludf.DUMMYFUNCTION("""COMPUTED_VALUE"""),0.07847222221607808)</f>
        <v>0.07847222222</v>
      </c>
      <c r="H264" s="115">
        <f>IFERROR(__xludf.DUMMYFUNCTION("""COMPUTED_VALUE"""),148.0)</f>
        <v>148</v>
      </c>
      <c r="I264" s="112">
        <f>IFERROR(__xludf.DUMMYFUNCTION("""COMPUTED_VALUE"""),78.58407080261307)</f>
        <v>78.5840708</v>
      </c>
      <c r="J264" s="74" t="str">
        <f>IFERROR(__xludf.DUMMYFUNCTION("""COMPUTED_VALUE"""),"Lunch")</f>
        <v>Lunch</v>
      </c>
      <c r="K264" s="113">
        <f>IFERROR(__xludf.DUMMYFUNCTION("""COMPUTED_VALUE"""),45978.0)</f>
        <v>45978</v>
      </c>
      <c r="L264" s="74" t="str">
        <f>IFERROR(__xludf.DUMMYFUNCTION("""COMPUTED_VALUE"""),"Monday")</f>
        <v>Monday</v>
      </c>
      <c r="M264" s="74" t="str">
        <f>IFERROR(__xludf.DUMMYFUNCTION("""COMPUTED_VALUE"""),"MF")</f>
        <v>MF</v>
      </c>
      <c r="N264" s="114">
        <f>IFERROR(__xludf.DUMMYFUNCTION("""COMPUTED_VALUE"""),1.634143432841573)</f>
        <v>1.634143433</v>
      </c>
      <c r="O264" s="74" t="str">
        <f>IFERROR(__xludf.DUMMYFUNCTION("""COMPUTED_VALUE"""),"")</f>
        <v/>
      </c>
      <c r="P264" s="74" t="str">
        <f>IFERROR(__xludf.DUMMYFUNCTION("""COMPUTED_VALUE"""),"")</f>
        <v/>
      </c>
      <c r="Q264" s="82" t="str">
        <f>IFERROR(__xludf.DUMMYFUNCTION("""COMPUTED_VALUE"""),"")</f>
        <v/>
      </c>
      <c r="R264" s="82" t="str">
        <f>IFERROR(__xludf.DUMMYFUNCTION("""COMPUTED_VALUE"""),"")</f>
        <v/>
      </c>
      <c r="S264" s="63" t="str">
        <f>IFERROR(__xludf.DUMMYFUNCTION("""COMPUTED_VALUE"""),"")</f>
        <v/>
      </c>
      <c r="T264" s="63" t="str">
        <f>IFERROR(__xludf.DUMMYFUNCTION("""COMPUTED_VALUE"""),"")</f>
        <v/>
      </c>
      <c r="U264" s="138" t="str">
        <f>IFERROR(__xludf.DUMMYFUNCTION("""COMPUTED_VALUE"""),"")</f>
        <v/>
      </c>
      <c r="V264" s="82" t="str">
        <f>IFERROR(__xludf.DUMMYFUNCTION("""COMPUTED_VALUE"""),"")</f>
        <v/>
      </c>
      <c r="W264" s="64" t="str">
        <f>IFERROR(__xludf.DUMMYFUNCTION("""COMPUTED_VALUE"""),"")</f>
        <v/>
      </c>
      <c r="X264" s="64" t="str">
        <f>IFERROR(__xludf.DUMMYFUNCTION("""COMPUTED_VALUE"""),"")</f>
        <v/>
      </c>
      <c r="Y264" s="114" t="str">
        <f>IFERROR(__xludf.DUMMYFUNCTION("""COMPUTED_VALUE"""),"")</f>
        <v/>
      </c>
      <c r="Z264" s="118" t="str">
        <f>IFERROR(__xludf.DUMMYFUNCTION("""COMPUTED_VALUE"""),"")</f>
        <v/>
      </c>
      <c r="AA264" s="118" t="str">
        <f>IFERROR(__xludf.DUMMYFUNCTION("""COMPUTED_VALUE"""),"")</f>
        <v/>
      </c>
      <c r="AB264" s="74"/>
    </row>
    <row r="265">
      <c r="A265" s="109">
        <f>IFERROR(__xludf.DUMMYFUNCTION("""COMPUTED_VALUE"""),45978.63615226852)</f>
        <v>45978.63615</v>
      </c>
      <c r="B265" s="81" t="str">
        <f>IFERROR(__xludf.DUMMYFUNCTION("""COMPUTED_VALUE"""),"Oluwatimilehin Shodipe")</f>
        <v>Oluwatimilehin Shodipe</v>
      </c>
      <c r="C265" s="74" t="b">
        <f>IFERROR(__xludf.DUMMYFUNCTION("""COMPUTED_VALUE"""),FALSE)</f>
        <v>0</v>
      </c>
      <c r="D265" s="137">
        <f>IFERROR(__xludf.DUMMYFUNCTION("""COMPUTED_VALUE"""),0.5625)</f>
        <v>0.5625</v>
      </c>
      <c r="E265" s="82">
        <f>IFERROR(__xludf.DUMMYFUNCTION("""COMPUTED_VALUE"""),0.07291666666666663)</f>
        <v>0.07291666667</v>
      </c>
      <c r="F265" s="137">
        <f>IFERROR(__xludf.DUMMYFUNCTION("""COMPUTED_VALUE"""),0.6354166666666666)</f>
        <v>0.6354166667</v>
      </c>
      <c r="G265" s="82">
        <f>IFERROR(__xludf.DUMMYFUNCTION("""COMPUTED_VALUE"""),0.07291666666666663)</f>
        <v>0.07291666667</v>
      </c>
      <c r="H265" s="115">
        <f>IFERROR(__xludf.DUMMYFUNCTION("""COMPUTED_VALUE"""),83.0)</f>
        <v>83</v>
      </c>
      <c r="I265" s="112">
        <f>IFERROR(__xludf.DUMMYFUNCTION("""COMPUTED_VALUE"""),47.42857142857145)</f>
        <v>47.42857143</v>
      </c>
      <c r="J265" s="74" t="str">
        <f>IFERROR(__xludf.DUMMYFUNCTION("""COMPUTED_VALUE"""),"Lunch")</f>
        <v>Lunch</v>
      </c>
      <c r="K265" s="113">
        <f>IFERROR(__xludf.DUMMYFUNCTION("""COMPUTED_VALUE"""),45978.0)</f>
        <v>45978</v>
      </c>
      <c r="L265" s="74" t="str">
        <f>IFERROR(__xludf.DUMMYFUNCTION("""COMPUTED_VALUE"""),"Monday")</f>
        <v>Monday</v>
      </c>
      <c r="M265" s="74" t="str">
        <f>IFERROR(__xludf.DUMMYFUNCTION("""COMPUTED_VALUE"""),"MF")</f>
        <v>MF</v>
      </c>
      <c r="N265" s="114">
        <f>IFERROR(__xludf.DUMMYFUNCTION("""COMPUTED_VALUE"""),0.9862697075560548)</f>
        <v>0.9862697076</v>
      </c>
      <c r="O265" s="74" t="str">
        <f>IFERROR(__xludf.DUMMYFUNCTION("""COMPUTED_VALUE"""),"")</f>
        <v/>
      </c>
      <c r="P265" s="74" t="str">
        <f>IFERROR(__xludf.DUMMYFUNCTION("""COMPUTED_VALUE"""),"")</f>
        <v/>
      </c>
      <c r="Q265" s="82" t="str">
        <f>IFERROR(__xludf.DUMMYFUNCTION("""COMPUTED_VALUE"""),"")</f>
        <v/>
      </c>
      <c r="R265" s="82" t="str">
        <f>IFERROR(__xludf.DUMMYFUNCTION("""COMPUTED_VALUE"""),"")</f>
        <v/>
      </c>
      <c r="S265" s="63" t="str">
        <f>IFERROR(__xludf.DUMMYFUNCTION("""COMPUTED_VALUE"""),"")</f>
        <v/>
      </c>
      <c r="T265" s="63" t="str">
        <f>IFERROR(__xludf.DUMMYFUNCTION("""COMPUTED_VALUE"""),"")</f>
        <v/>
      </c>
      <c r="U265" s="138" t="str">
        <f>IFERROR(__xludf.DUMMYFUNCTION("""COMPUTED_VALUE"""),"")</f>
        <v/>
      </c>
      <c r="V265" s="82" t="str">
        <f>IFERROR(__xludf.DUMMYFUNCTION("""COMPUTED_VALUE"""),"")</f>
        <v/>
      </c>
      <c r="W265" s="64" t="str">
        <f>IFERROR(__xludf.DUMMYFUNCTION("""COMPUTED_VALUE"""),"")</f>
        <v/>
      </c>
      <c r="X265" s="64" t="str">
        <f>IFERROR(__xludf.DUMMYFUNCTION("""COMPUTED_VALUE"""),"")</f>
        <v/>
      </c>
      <c r="Y265" s="114" t="str">
        <f>IFERROR(__xludf.DUMMYFUNCTION("""COMPUTED_VALUE"""),"")</f>
        <v/>
      </c>
      <c r="Z265" s="118" t="str">
        <f>IFERROR(__xludf.DUMMYFUNCTION("""COMPUTED_VALUE"""),"")</f>
        <v/>
      </c>
      <c r="AA265" s="118" t="str">
        <f>IFERROR(__xludf.DUMMYFUNCTION("""COMPUTED_VALUE"""),"")</f>
        <v/>
      </c>
      <c r="AB265" s="74"/>
    </row>
    <row r="266">
      <c r="A266" s="109">
        <f>IFERROR(__xludf.DUMMYFUNCTION("""COMPUTED_VALUE"""),45978.769177395836)</f>
        <v>45978.76918</v>
      </c>
      <c r="B266" s="81" t="str">
        <f>IFERROR(__xludf.DUMMYFUNCTION("""COMPUTED_VALUE"""),"Maureen Surgot")</f>
        <v>Maureen Surgot</v>
      </c>
      <c r="C266" s="74" t="b">
        <f>IFERROR(__xludf.DUMMYFUNCTION("""COMPUTED_VALUE"""),FALSE)</f>
        <v>0</v>
      </c>
      <c r="D266" s="137">
        <f>IFERROR(__xludf.DUMMYFUNCTION("""COMPUTED_VALUE"""),0.6666666666642413)</f>
        <v>0.6666666667</v>
      </c>
      <c r="E266" s="82">
        <f>IFERROR(__xludf.DUMMYFUNCTION("""COMPUTED_VALUE"""),0.1041666666715173)</f>
        <v>0.1041666667</v>
      </c>
      <c r="F266" s="137">
        <f>IFERROR(__xludf.DUMMYFUNCTION("""COMPUTED_VALUE"""),0.7708333333357587)</f>
        <v>0.7708333333</v>
      </c>
      <c r="G266" s="82">
        <f>IFERROR(__xludf.DUMMYFUNCTION("""COMPUTED_VALUE"""),0.1041666666715173)</f>
        <v>0.1041666667</v>
      </c>
      <c r="H266" s="115">
        <f>IFERROR(__xludf.DUMMYFUNCTION("""COMPUTED_VALUE"""),101.0)</f>
        <v>101</v>
      </c>
      <c r="I266" s="112">
        <f>IFERROR(__xludf.DUMMYFUNCTION("""COMPUTED_VALUE"""),40.39999999811873)</f>
        <v>40.4</v>
      </c>
      <c r="J266" s="74" t="str">
        <f>IFERROR(__xludf.DUMMYFUNCTION("""COMPUTED_VALUE"""),"Dinner")</f>
        <v>Dinner</v>
      </c>
      <c r="K266" s="113">
        <f>IFERROR(__xludf.DUMMYFUNCTION("""COMPUTED_VALUE"""),45978.0)</f>
        <v>45978</v>
      </c>
      <c r="L266" s="74" t="str">
        <f>IFERROR(__xludf.DUMMYFUNCTION("""COMPUTED_VALUE"""),"Monday")</f>
        <v>Monday</v>
      </c>
      <c r="M266" s="74" t="str">
        <f>IFERROR(__xludf.DUMMYFUNCTION("""COMPUTED_VALUE"""),"MF")</f>
        <v>MF</v>
      </c>
      <c r="N266" s="114">
        <f>IFERROR(__xludf.DUMMYFUNCTION("""COMPUTED_VALUE"""),0.7960814406367291)</f>
        <v>0.7960814406</v>
      </c>
      <c r="O266" s="74" t="str">
        <f>IFERROR(__xludf.DUMMYFUNCTION("""COMPUTED_VALUE"""),"")</f>
        <v/>
      </c>
      <c r="P266" s="74" t="str">
        <f>IFERROR(__xludf.DUMMYFUNCTION("""COMPUTED_VALUE"""),"")</f>
        <v/>
      </c>
      <c r="Q266" s="82" t="str">
        <f>IFERROR(__xludf.DUMMYFUNCTION("""COMPUTED_VALUE"""),"")</f>
        <v/>
      </c>
      <c r="R266" s="82" t="str">
        <f>IFERROR(__xludf.DUMMYFUNCTION("""COMPUTED_VALUE"""),"")</f>
        <v/>
      </c>
      <c r="S266" s="63" t="str">
        <f>IFERROR(__xludf.DUMMYFUNCTION("""COMPUTED_VALUE"""),"")</f>
        <v/>
      </c>
      <c r="T266" s="63" t="str">
        <f>IFERROR(__xludf.DUMMYFUNCTION("""COMPUTED_VALUE"""),"")</f>
        <v/>
      </c>
      <c r="U266" s="138" t="str">
        <f>IFERROR(__xludf.DUMMYFUNCTION("""COMPUTED_VALUE"""),"")</f>
        <v/>
      </c>
      <c r="V266" s="82" t="str">
        <f>IFERROR(__xludf.DUMMYFUNCTION("""COMPUTED_VALUE"""),"")</f>
        <v/>
      </c>
      <c r="W266" s="64" t="str">
        <f>IFERROR(__xludf.DUMMYFUNCTION("""COMPUTED_VALUE"""),"")</f>
        <v/>
      </c>
      <c r="X266" s="64" t="str">
        <f>IFERROR(__xludf.DUMMYFUNCTION("""COMPUTED_VALUE"""),"")</f>
        <v/>
      </c>
      <c r="Y266" s="114" t="str">
        <f>IFERROR(__xludf.DUMMYFUNCTION("""COMPUTED_VALUE"""),"")</f>
        <v/>
      </c>
      <c r="Z266" s="118" t="str">
        <f>IFERROR(__xludf.DUMMYFUNCTION("""COMPUTED_VALUE"""),"")</f>
        <v/>
      </c>
      <c r="AA266" s="118" t="str">
        <f>IFERROR(__xludf.DUMMYFUNCTION("""COMPUTED_VALUE"""),"")</f>
        <v/>
      </c>
      <c r="AB266" s="74"/>
    </row>
    <row r="267">
      <c r="A267" s="109">
        <f>IFERROR(__xludf.DUMMYFUNCTION("""COMPUTED_VALUE"""),45978.87134006944)</f>
        <v>45978.87134</v>
      </c>
      <c r="B267" s="81" t="str">
        <f>IFERROR(__xludf.DUMMYFUNCTION("""COMPUTED_VALUE"""),"Laila Maisuria")</f>
        <v>Laila Maisuria</v>
      </c>
      <c r="C267" s="74" t="b">
        <f>IFERROR(__xludf.DUMMYFUNCTION("""COMPUTED_VALUE"""),FALSE)</f>
        <v>0</v>
      </c>
      <c r="D267" s="137">
        <f>IFERROR(__xludf.DUMMYFUNCTION("""COMPUTED_VALUE"""),0.7694444444423425)</f>
        <v>0.7694444444</v>
      </c>
      <c r="E267" s="82">
        <f>IFERROR(__xludf.DUMMYFUNCTION("""COMPUTED_VALUE"""),0.0354166666729725)</f>
        <v>0.03541666667</v>
      </c>
      <c r="F267" s="137">
        <f>IFERROR(__xludf.DUMMYFUNCTION("""COMPUTED_VALUE"""),0.804861111115315)</f>
        <v>0.8048611111</v>
      </c>
      <c r="G267" s="82">
        <f>IFERROR(__xludf.DUMMYFUNCTION("""COMPUTED_VALUE"""),0.09722222222626442)</f>
        <v>0.09722222223</v>
      </c>
      <c r="H267" s="115">
        <f>IFERROR(__xludf.DUMMYFUNCTION("""COMPUTED_VALUE"""),49.0)</f>
        <v>49</v>
      </c>
      <c r="I267" s="112">
        <f>IFERROR(__xludf.DUMMYFUNCTION("""COMPUTED_VALUE"""),20.999999999126885)</f>
        <v>21</v>
      </c>
      <c r="J267" s="74" t="str">
        <f>IFERROR(__xludf.DUMMYFUNCTION("""COMPUTED_VALUE"""),"Dinner")</f>
        <v>Dinner</v>
      </c>
      <c r="K267" s="113">
        <f>IFERROR(__xludf.DUMMYFUNCTION("""COMPUTED_VALUE"""),45978.0)</f>
        <v>45978</v>
      </c>
      <c r="L267" s="74" t="str">
        <f>IFERROR(__xludf.DUMMYFUNCTION("""COMPUTED_VALUE"""),"Monday")</f>
        <v>Monday</v>
      </c>
      <c r="M267" s="74" t="str">
        <f>IFERROR(__xludf.DUMMYFUNCTION("""COMPUTED_VALUE"""),"BF")</f>
        <v>BF</v>
      </c>
      <c r="N267" s="114">
        <f>IFERROR(__xludf.DUMMYFUNCTION("""COMPUTED_VALUE"""),0.49559296296650085)</f>
        <v>0.495592963</v>
      </c>
      <c r="O267" s="74" t="str">
        <f>IFERROR(__xludf.DUMMYFUNCTION("""COMPUTED_VALUE"""),"")</f>
        <v/>
      </c>
      <c r="P267" s="74" t="str">
        <f>IFERROR(__xludf.DUMMYFUNCTION("""COMPUTED_VALUE"""),"")</f>
        <v/>
      </c>
      <c r="Q267" s="82" t="str">
        <f>IFERROR(__xludf.DUMMYFUNCTION("""COMPUTED_VALUE"""),"")</f>
        <v/>
      </c>
      <c r="R267" s="82" t="str">
        <f>IFERROR(__xludf.DUMMYFUNCTION("""COMPUTED_VALUE"""),"")</f>
        <v/>
      </c>
      <c r="S267" s="63" t="str">
        <f>IFERROR(__xludf.DUMMYFUNCTION("""COMPUTED_VALUE"""),"")</f>
        <v/>
      </c>
      <c r="T267" s="63" t="str">
        <f>IFERROR(__xludf.DUMMYFUNCTION("""COMPUTED_VALUE"""),"")</f>
        <v/>
      </c>
      <c r="U267" s="138" t="str">
        <f>IFERROR(__xludf.DUMMYFUNCTION("""COMPUTED_VALUE"""),"")</f>
        <v/>
      </c>
      <c r="V267" s="82" t="str">
        <f>IFERROR(__xludf.DUMMYFUNCTION("""COMPUTED_VALUE"""),"")</f>
        <v/>
      </c>
      <c r="W267" s="64" t="str">
        <f>IFERROR(__xludf.DUMMYFUNCTION("""COMPUTED_VALUE"""),"")</f>
        <v/>
      </c>
      <c r="X267" s="64" t="str">
        <f>IFERROR(__xludf.DUMMYFUNCTION("""COMPUTED_VALUE"""),"")</f>
        <v/>
      </c>
      <c r="Y267" s="114" t="str">
        <f>IFERROR(__xludf.DUMMYFUNCTION("""COMPUTED_VALUE"""),"")</f>
        <v/>
      </c>
      <c r="Z267" s="118" t="str">
        <f>IFERROR(__xludf.DUMMYFUNCTION("""COMPUTED_VALUE"""),"")</f>
        <v/>
      </c>
      <c r="AA267" s="118" t="str">
        <f>IFERROR(__xludf.DUMMYFUNCTION("""COMPUTED_VALUE"""),"")</f>
        <v/>
      </c>
      <c r="AB267" s="74"/>
    </row>
    <row r="268">
      <c r="A268" s="109">
        <f>IFERROR(__xludf.DUMMYFUNCTION("""COMPUTED_VALUE"""),45978.87205515047)</f>
        <v>45978.87206</v>
      </c>
      <c r="B268" s="81" t="str">
        <f>IFERROR(__xludf.DUMMYFUNCTION("""COMPUTED_VALUE"""),"Laila Maisuria")</f>
        <v>Laila Maisuria</v>
      </c>
      <c r="C268" s="74" t="b">
        <f>IFERROR(__xludf.DUMMYFUNCTION("""COMPUTED_VALUE"""),TRUE)</f>
        <v>1</v>
      </c>
      <c r="D268" s="137">
        <f>IFERROR(__xludf.DUMMYFUNCTION("""COMPUTED_VALUE"""),0.8083333333343035)</f>
        <v>0.8083333333</v>
      </c>
      <c r="E268" s="82">
        <f>IFERROR(__xludf.DUMMYFUNCTION("""COMPUTED_VALUE"""),0.061805555553291924)</f>
        <v>0.06180555555</v>
      </c>
      <c r="F268" s="137">
        <f>IFERROR(__xludf.DUMMYFUNCTION("""COMPUTED_VALUE"""),0.8701388888875954)</f>
        <v>0.8701388889</v>
      </c>
      <c r="G268" s="82" t="str">
        <f>IFERROR(__xludf.DUMMYFUNCTION("""COMPUTED_VALUE"""),"")</f>
        <v/>
      </c>
      <c r="H268" s="115">
        <f>IFERROR(__xludf.DUMMYFUNCTION("""COMPUTED_VALUE"""),48.0)</f>
        <v>48</v>
      </c>
      <c r="I268" s="112" t="str">
        <f>IFERROR(__xludf.DUMMYFUNCTION("""COMPUTED_VALUE"""),"")</f>
        <v/>
      </c>
      <c r="J268" s="74" t="str">
        <f>IFERROR(__xludf.DUMMYFUNCTION("""COMPUTED_VALUE"""),"Dinner")</f>
        <v>Dinner</v>
      </c>
      <c r="K268" s="113">
        <f>IFERROR(__xludf.DUMMYFUNCTION("""COMPUTED_VALUE"""),45978.0)</f>
        <v>45978</v>
      </c>
      <c r="L268" s="74" t="str">
        <f>IFERROR(__xludf.DUMMYFUNCTION("""COMPUTED_VALUE"""),"Monday")</f>
        <v>Monday</v>
      </c>
      <c r="M268" s="74" t="str">
        <f>IFERROR(__xludf.DUMMYFUNCTION("""COMPUTED_VALUE"""),"MF")</f>
        <v>MF</v>
      </c>
      <c r="N268" s="114" t="str">
        <f>IFERROR(__xludf.DUMMYFUNCTION("""COMPUTED_VALUE"""),"")</f>
        <v/>
      </c>
      <c r="O268" s="74" t="str">
        <f>IFERROR(__xludf.DUMMYFUNCTION("""COMPUTED_VALUE"""),"")</f>
        <v/>
      </c>
      <c r="P268" s="74" t="str">
        <f>IFERROR(__xludf.DUMMYFUNCTION("""COMPUTED_VALUE"""),"")</f>
        <v/>
      </c>
      <c r="Q268" s="82" t="str">
        <f>IFERROR(__xludf.DUMMYFUNCTION("""COMPUTED_VALUE"""),"")</f>
        <v/>
      </c>
      <c r="R268" s="82" t="str">
        <f>IFERROR(__xludf.DUMMYFUNCTION("""COMPUTED_VALUE"""),"")</f>
        <v/>
      </c>
      <c r="S268" s="63" t="str">
        <f>IFERROR(__xludf.DUMMYFUNCTION("""COMPUTED_VALUE"""),"")</f>
        <v/>
      </c>
      <c r="T268" s="63" t="str">
        <f>IFERROR(__xludf.DUMMYFUNCTION("""COMPUTED_VALUE"""),"")</f>
        <v/>
      </c>
      <c r="U268" s="138" t="str">
        <f>IFERROR(__xludf.DUMMYFUNCTION("""COMPUTED_VALUE"""),"")</f>
        <v/>
      </c>
      <c r="V268" s="82" t="str">
        <f>IFERROR(__xludf.DUMMYFUNCTION("""COMPUTED_VALUE"""),"")</f>
        <v/>
      </c>
      <c r="W268" s="64" t="str">
        <f>IFERROR(__xludf.DUMMYFUNCTION("""COMPUTED_VALUE"""),"")</f>
        <v/>
      </c>
      <c r="X268" s="64" t="str">
        <f>IFERROR(__xludf.DUMMYFUNCTION("""COMPUTED_VALUE"""),"")</f>
        <v/>
      </c>
      <c r="Y268" s="114" t="str">
        <f>IFERROR(__xludf.DUMMYFUNCTION("""COMPUTED_VALUE"""),"")</f>
        <v/>
      </c>
      <c r="Z268" s="118" t="str">
        <f>IFERROR(__xludf.DUMMYFUNCTION("""COMPUTED_VALUE"""),"")</f>
        <v/>
      </c>
      <c r="AA268" s="118" t="str">
        <f>IFERROR(__xludf.DUMMYFUNCTION("""COMPUTED_VALUE"""),"")</f>
        <v/>
      </c>
      <c r="AB268" s="74"/>
    </row>
    <row r="269">
      <c r="A269" s="109">
        <f>IFERROR(__xludf.DUMMYFUNCTION("""COMPUTED_VALUE"""),45978.873767627316)</f>
        <v>45978.87377</v>
      </c>
      <c r="B269" s="81" t="str">
        <f>IFERROR(__xludf.DUMMYFUNCTION("""COMPUTED_VALUE"""),"Kaylie Forgue")</f>
        <v>Kaylie Forgue</v>
      </c>
      <c r="C269" s="74" t="b">
        <f>IFERROR(__xludf.DUMMYFUNCTION("""COMPUTED_VALUE"""),FALSE)</f>
        <v>0</v>
      </c>
      <c r="D269" s="137">
        <f>IFERROR(__xludf.DUMMYFUNCTION("""COMPUTED_VALUE"""),0.6868055555532919)</f>
        <v>0.6868055556</v>
      </c>
      <c r="E269" s="82">
        <f>IFERROR(__xludf.DUMMYFUNCTION("""COMPUTED_VALUE"""),0.17569444444961846)</f>
        <v>0.1756944444</v>
      </c>
      <c r="F269" s="137">
        <f>IFERROR(__xludf.DUMMYFUNCTION("""COMPUTED_VALUE"""),0.8625000000029104)</f>
        <v>0.8625</v>
      </c>
      <c r="G269" s="82">
        <f>IFERROR(__xludf.DUMMYFUNCTION("""COMPUTED_VALUE"""),0.17569444444961846)</f>
        <v>0.1756944444</v>
      </c>
      <c r="H269" s="115">
        <f>IFERROR(__xludf.DUMMYFUNCTION("""COMPUTED_VALUE"""),180.0)</f>
        <v>180</v>
      </c>
      <c r="I269" s="112">
        <f>IFERROR(__xludf.DUMMYFUNCTION("""COMPUTED_VALUE"""),42.68774703431601)</f>
        <v>42.68774703</v>
      </c>
      <c r="J269" s="74" t="str">
        <f>IFERROR(__xludf.DUMMYFUNCTION("""COMPUTED_VALUE"""),"Dinner")</f>
        <v>Dinner</v>
      </c>
      <c r="K269" s="113">
        <f>IFERROR(__xludf.DUMMYFUNCTION("""COMPUTED_VALUE"""),45978.0)</f>
        <v>45978</v>
      </c>
      <c r="L269" s="74" t="str">
        <f>IFERROR(__xludf.DUMMYFUNCTION("""COMPUTED_VALUE"""),"Monday")</f>
        <v>Monday</v>
      </c>
      <c r="M269" s="74" t="str">
        <f>IFERROR(__xludf.DUMMYFUNCTION("""COMPUTED_VALUE"""),"BF")</f>
        <v>BF</v>
      </c>
      <c r="N269" s="114">
        <f>IFERROR(__xludf.DUMMYFUNCTION("""COMPUTED_VALUE"""),1.0074165255228915)</f>
        <v>1.007416526</v>
      </c>
      <c r="O269" s="74">
        <f>IFERROR(__xludf.DUMMYFUNCTION("""COMPUTED_VALUE"""),380.0)</f>
        <v>380</v>
      </c>
      <c r="P269" s="74">
        <f>IFERROR(__xludf.DUMMYFUNCTION("""COMPUTED_VALUE"""),419.0)</f>
        <v>419</v>
      </c>
      <c r="Q269" s="82">
        <f>IFERROR(__xludf.DUMMYFUNCTION("""COMPUTED_VALUE"""),0.31736111110755394)</f>
        <v>0.3173611111</v>
      </c>
      <c r="R269" s="82">
        <f>IFERROR(__xludf.DUMMYFUNCTION("""COMPUTED_VALUE"""),0.41111111112695653)</f>
        <v>0.4111111111</v>
      </c>
      <c r="S269" s="63">
        <f>IFERROR(__xludf.DUMMYFUNCTION("""COMPUTED_VALUE"""),55.47088074310108)</f>
        <v>55.47088074</v>
      </c>
      <c r="T269" s="63">
        <f>IFERROR(__xludf.DUMMYFUNCTION("""COMPUTED_VALUE"""),38.29588633776122)</f>
        <v>38.29588634</v>
      </c>
      <c r="U269" s="138">
        <f>IFERROR(__xludf.DUMMYFUNCTION("""COMPUTED_VALUE"""),799.0)</f>
        <v>799</v>
      </c>
      <c r="V269" s="82">
        <f>IFERROR(__xludf.DUMMYFUNCTION("""COMPUTED_VALUE"""),0.7284722222345105)</f>
        <v>0.7284722222</v>
      </c>
      <c r="W269" s="64">
        <f>IFERROR(__xludf.DUMMYFUNCTION("""COMPUTED_VALUE"""),45.70066730142166)</f>
        <v>45.7006673</v>
      </c>
      <c r="X269" s="64">
        <f>IFERROR(__xludf.DUMMYFUNCTION("""COMPUTED_VALUE"""),45.65659822576402)</f>
        <v>45.65659823</v>
      </c>
      <c r="Y269" s="114">
        <f>IFERROR(__xludf.DUMMYFUNCTION("""COMPUTED_VALUE"""),0.9260853625906751)</f>
        <v>0.9260853626</v>
      </c>
      <c r="Z269" s="118" t="str">
        <f>IFERROR(__xludf.DUMMYFUNCTION("""COMPUTED_VALUE"""),"")</f>
        <v/>
      </c>
      <c r="AA269" s="118" t="str">
        <f>IFERROR(__xludf.DUMMYFUNCTION("""COMPUTED_VALUE"""),"")</f>
        <v/>
      </c>
      <c r="AB269" s="74"/>
    </row>
    <row r="270">
      <c r="A270" s="109">
        <f>IFERROR(__xludf.DUMMYFUNCTION("""COMPUTED_VALUE"""),45979.394294513884)</f>
        <v>45979.39429</v>
      </c>
      <c r="B270" s="81" t="str">
        <f>IFERROR(__xludf.DUMMYFUNCTION("""COMPUTED_VALUE"""),"Evan Morgan")</f>
        <v>Evan Morgan</v>
      </c>
      <c r="C270" s="74" t="b">
        <f>IFERROR(__xludf.DUMMYFUNCTION("""COMPUTED_VALUE"""),FALSE)</f>
        <v>0</v>
      </c>
      <c r="D270" s="137">
        <f>IFERROR(__xludf.DUMMYFUNCTION("""COMPUTED_VALUE"""),0.29166666666424135)</f>
        <v>0.2916666667</v>
      </c>
      <c r="E270" s="82">
        <f>IFERROR(__xludf.DUMMYFUNCTION("""COMPUTED_VALUE"""),0.10069444444525288)</f>
        <v>0.1006944444</v>
      </c>
      <c r="F270" s="137">
        <f>IFERROR(__xludf.DUMMYFUNCTION("""COMPUTED_VALUE"""),0.39236111110949423)</f>
        <v>0.3923611111</v>
      </c>
      <c r="G270" s="82">
        <f>IFERROR(__xludf.DUMMYFUNCTION("""COMPUTED_VALUE"""),0.10069444444525288)</f>
        <v>0.1006944444</v>
      </c>
      <c r="H270" s="115">
        <f>IFERROR(__xludf.DUMMYFUNCTION("""COMPUTED_VALUE"""),69.0)</f>
        <v>69</v>
      </c>
      <c r="I270" s="112">
        <f>IFERROR(__xludf.DUMMYFUNCTION("""COMPUTED_VALUE"""),28.551724137701804)</f>
        <v>28.55172414</v>
      </c>
      <c r="J270" s="74" t="str">
        <f>IFERROR(__xludf.DUMMYFUNCTION("""COMPUTED_VALUE"""),"Breakfast")</f>
        <v>Breakfast</v>
      </c>
      <c r="K270" s="113">
        <f>IFERROR(__xludf.DUMMYFUNCTION("""COMPUTED_VALUE"""),45979.0)</f>
        <v>45979</v>
      </c>
      <c r="L270" s="74" t="str">
        <f>IFERROR(__xludf.DUMMYFUNCTION("""COMPUTED_VALUE"""),"Tuesday")</f>
        <v>Tuesday</v>
      </c>
      <c r="M270" s="74" t="str">
        <f>IFERROR(__xludf.DUMMYFUNCTION("""COMPUTED_VALUE"""),"BF")</f>
        <v>BF</v>
      </c>
      <c r="N270" s="114">
        <f>IFERROR(__xludf.DUMMYFUNCTION("""COMPUTED_VALUE"""),1.2091990352792712)</f>
        <v>1.209199035</v>
      </c>
      <c r="O270" s="74" t="str">
        <f>IFERROR(__xludf.DUMMYFUNCTION("""COMPUTED_VALUE"""),"")</f>
        <v/>
      </c>
      <c r="P270" s="74" t="str">
        <f>IFERROR(__xludf.DUMMYFUNCTION("""COMPUTED_VALUE"""),"")</f>
        <v/>
      </c>
      <c r="Q270" s="82" t="str">
        <f>IFERROR(__xludf.DUMMYFUNCTION("""COMPUTED_VALUE"""),"")</f>
        <v/>
      </c>
      <c r="R270" s="82" t="str">
        <f>IFERROR(__xludf.DUMMYFUNCTION("""COMPUTED_VALUE"""),"")</f>
        <v/>
      </c>
      <c r="S270" s="63" t="str">
        <f>IFERROR(__xludf.DUMMYFUNCTION("""COMPUTED_VALUE"""),"")</f>
        <v/>
      </c>
      <c r="T270" s="63" t="str">
        <f>IFERROR(__xludf.DUMMYFUNCTION("""COMPUTED_VALUE"""),"")</f>
        <v/>
      </c>
      <c r="U270" s="138" t="str">
        <f>IFERROR(__xludf.DUMMYFUNCTION("""COMPUTED_VALUE"""),"")</f>
        <v/>
      </c>
      <c r="V270" s="82" t="str">
        <f>IFERROR(__xludf.DUMMYFUNCTION("""COMPUTED_VALUE"""),"")</f>
        <v/>
      </c>
      <c r="W270" s="64" t="str">
        <f>IFERROR(__xludf.DUMMYFUNCTION("""COMPUTED_VALUE"""),"")</f>
        <v/>
      </c>
      <c r="X270" s="64" t="str">
        <f>IFERROR(__xludf.DUMMYFUNCTION("""COMPUTED_VALUE"""),"")</f>
        <v/>
      </c>
      <c r="Y270" s="114" t="str">
        <f>IFERROR(__xludf.DUMMYFUNCTION("""COMPUTED_VALUE"""),"")</f>
        <v/>
      </c>
      <c r="Z270" s="118" t="str">
        <f>IFERROR(__xludf.DUMMYFUNCTION("""COMPUTED_VALUE"""),"")</f>
        <v/>
      </c>
      <c r="AA270" s="118" t="str">
        <f>IFERROR(__xludf.DUMMYFUNCTION("""COMPUTED_VALUE"""),"")</f>
        <v/>
      </c>
      <c r="AB270" s="74"/>
    </row>
    <row r="271">
      <c r="A271" s="109">
        <f>IFERROR(__xludf.DUMMYFUNCTION("""COMPUTED_VALUE"""),45979.47521820602)</f>
        <v>45979.47522</v>
      </c>
      <c r="B271" s="81" t="str">
        <f>IFERROR(__xludf.DUMMYFUNCTION("""COMPUTED_VALUE"""),"Emmett Khan")</f>
        <v>Emmett Khan</v>
      </c>
      <c r="C271" s="74" t="b">
        <f>IFERROR(__xludf.DUMMYFUNCTION("""COMPUTED_VALUE"""),FALSE)</f>
        <v>0</v>
      </c>
      <c r="D271" s="137">
        <f>IFERROR(__xludf.DUMMYFUNCTION("""COMPUTED_VALUE"""),0.39583333333575865)</f>
        <v>0.3958333333</v>
      </c>
      <c r="E271" s="82">
        <f>IFERROR(__xludf.DUMMYFUNCTION("""COMPUTED_VALUE"""),0.0833333333284827)</f>
        <v>0.08333333333</v>
      </c>
      <c r="F271" s="137">
        <f>IFERROR(__xludf.DUMMYFUNCTION("""COMPUTED_VALUE"""),0.47916666666424135)</f>
        <v>0.4791666667</v>
      </c>
      <c r="G271" s="82">
        <f>IFERROR(__xludf.DUMMYFUNCTION("""COMPUTED_VALUE"""),0.0833333333284827)</f>
        <v>0.08333333333</v>
      </c>
      <c r="H271" s="115">
        <f>IFERROR(__xludf.DUMMYFUNCTION("""COMPUTED_VALUE"""),108.0)</f>
        <v>108</v>
      </c>
      <c r="I271" s="112">
        <f>IFERROR(__xludf.DUMMYFUNCTION("""COMPUTED_VALUE"""),54.000000003143214)</f>
        <v>54</v>
      </c>
      <c r="J271" s="74" t="str">
        <f>IFERROR(__xludf.DUMMYFUNCTION("""COMPUTED_VALUE"""),"Breakfast/Lunch")</f>
        <v>Breakfast/Lunch</v>
      </c>
      <c r="K271" s="113">
        <f>IFERROR(__xludf.DUMMYFUNCTION("""COMPUTED_VALUE"""),45979.0)</f>
        <v>45979</v>
      </c>
      <c r="L271" s="74" t="str">
        <f>IFERROR(__xludf.DUMMYFUNCTION("""COMPUTED_VALUE"""),"Tuesday")</f>
        <v>Tuesday</v>
      </c>
      <c r="M271" s="74" t="str">
        <f>IFERROR(__xludf.DUMMYFUNCTION("""COMPUTED_VALUE"""),"BF")</f>
        <v>BF</v>
      </c>
      <c r="N271" s="114">
        <f>IFERROR(__xludf.DUMMYFUNCTION("""COMPUTED_VALUE"""),0.9483197987748422)</f>
        <v>0.9483197988</v>
      </c>
      <c r="O271" s="74" t="str">
        <f>IFERROR(__xludf.DUMMYFUNCTION("""COMPUTED_VALUE"""),"")</f>
        <v/>
      </c>
      <c r="P271" s="74" t="str">
        <f>IFERROR(__xludf.DUMMYFUNCTION("""COMPUTED_VALUE"""),"")</f>
        <v/>
      </c>
      <c r="Q271" s="82" t="str">
        <f>IFERROR(__xludf.DUMMYFUNCTION("""COMPUTED_VALUE"""),"")</f>
        <v/>
      </c>
      <c r="R271" s="82" t="str">
        <f>IFERROR(__xludf.DUMMYFUNCTION("""COMPUTED_VALUE"""),"")</f>
        <v/>
      </c>
      <c r="S271" s="63" t="str">
        <f>IFERROR(__xludf.DUMMYFUNCTION("""COMPUTED_VALUE"""),"")</f>
        <v/>
      </c>
      <c r="T271" s="63" t="str">
        <f>IFERROR(__xludf.DUMMYFUNCTION("""COMPUTED_VALUE"""),"")</f>
        <v/>
      </c>
      <c r="U271" s="138" t="str">
        <f>IFERROR(__xludf.DUMMYFUNCTION("""COMPUTED_VALUE"""),"")</f>
        <v/>
      </c>
      <c r="V271" s="82" t="str">
        <f>IFERROR(__xludf.DUMMYFUNCTION("""COMPUTED_VALUE"""),"")</f>
        <v/>
      </c>
      <c r="W271" s="64" t="str">
        <f>IFERROR(__xludf.DUMMYFUNCTION("""COMPUTED_VALUE"""),"")</f>
        <v/>
      </c>
      <c r="X271" s="64" t="str">
        <f>IFERROR(__xludf.DUMMYFUNCTION("""COMPUTED_VALUE"""),"")</f>
        <v/>
      </c>
      <c r="Y271" s="114" t="str">
        <f>IFERROR(__xludf.DUMMYFUNCTION("""COMPUTED_VALUE"""),"")</f>
        <v/>
      </c>
      <c r="Z271" s="118" t="str">
        <f>IFERROR(__xludf.DUMMYFUNCTION("""COMPUTED_VALUE"""),"")</f>
        <v/>
      </c>
      <c r="AA271" s="118" t="str">
        <f>IFERROR(__xludf.DUMMYFUNCTION("""COMPUTED_VALUE"""),"")</f>
        <v/>
      </c>
      <c r="AB271" s="74"/>
    </row>
    <row r="272">
      <c r="A272" s="109">
        <f>IFERROR(__xludf.DUMMYFUNCTION("""COMPUTED_VALUE"""),45979.59900386574)</f>
        <v>45979.599</v>
      </c>
      <c r="B272" s="81" t="str">
        <f>IFERROR(__xludf.DUMMYFUNCTION("""COMPUTED_VALUE"""),"Maureen Surgot")</f>
        <v>Maureen Surgot</v>
      </c>
      <c r="C272" s="74" t="b">
        <f>IFERROR(__xludf.DUMMYFUNCTION("""COMPUTED_VALUE"""),FALSE)</f>
        <v>0</v>
      </c>
      <c r="D272" s="137">
        <f>IFERROR(__xludf.DUMMYFUNCTION("""COMPUTED_VALUE"""),0.47916666666424135)</f>
        <v>0.4791666667</v>
      </c>
      <c r="E272" s="82">
        <f>IFERROR(__xludf.DUMMYFUNCTION("""COMPUTED_VALUE"""),0.11805555555474712)</f>
        <v>0.1180555556</v>
      </c>
      <c r="F272" s="137">
        <f>IFERROR(__xludf.DUMMYFUNCTION("""COMPUTED_VALUE"""),0.5972222222189885)</f>
        <v>0.5972222222</v>
      </c>
      <c r="G272" s="82">
        <f>IFERROR(__xludf.DUMMYFUNCTION("""COMPUTED_VALUE"""),0.11805555555474712)</f>
        <v>0.1180555556</v>
      </c>
      <c r="H272" s="115">
        <f>IFERROR(__xludf.DUMMYFUNCTION("""COMPUTED_VALUE"""),150.0)</f>
        <v>150</v>
      </c>
      <c r="I272" s="112">
        <f>IFERROR(__xludf.DUMMYFUNCTION("""COMPUTED_VALUE"""),52.94117647095077)</f>
        <v>52.94117647</v>
      </c>
      <c r="J272" s="74" t="str">
        <f>IFERROR(__xludf.DUMMYFUNCTION("""COMPUTED_VALUE"""),"Lunch")</f>
        <v>Lunch</v>
      </c>
      <c r="K272" s="113">
        <f>IFERROR(__xludf.DUMMYFUNCTION("""COMPUTED_VALUE"""),45979.0)</f>
        <v>45979</v>
      </c>
      <c r="L272" s="74" t="str">
        <f>IFERROR(__xludf.DUMMYFUNCTION("""COMPUTED_VALUE"""),"Tuesday")</f>
        <v>Tuesday</v>
      </c>
      <c r="M272" s="74" t="str">
        <f>IFERROR(__xludf.DUMMYFUNCTION("""COMPUTED_VALUE"""),"MF")</f>
        <v>MF</v>
      </c>
      <c r="N272" s="114">
        <f>IFERROR(__xludf.DUMMYFUNCTION("""COMPUTED_VALUE"""),1.1009034652100802)</f>
        <v>1.100903465</v>
      </c>
      <c r="O272" s="74" t="str">
        <f>IFERROR(__xludf.DUMMYFUNCTION("""COMPUTED_VALUE"""),"")</f>
        <v/>
      </c>
      <c r="P272" s="74" t="str">
        <f>IFERROR(__xludf.DUMMYFUNCTION("""COMPUTED_VALUE"""),"")</f>
        <v/>
      </c>
      <c r="Q272" s="82" t="str">
        <f>IFERROR(__xludf.DUMMYFUNCTION("""COMPUTED_VALUE"""),"")</f>
        <v/>
      </c>
      <c r="R272" s="82" t="str">
        <f>IFERROR(__xludf.DUMMYFUNCTION("""COMPUTED_VALUE"""),"")</f>
        <v/>
      </c>
      <c r="S272" s="63" t="str">
        <f>IFERROR(__xludf.DUMMYFUNCTION("""COMPUTED_VALUE"""),"")</f>
        <v/>
      </c>
      <c r="T272" s="63" t="str">
        <f>IFERROR(__xludf.DUMMYFUNCTION("""COMPUTED_VALUE"""),"")</f>
        <v/>
      </c>
      <c r="U272" s="138" t="str">
        <f>IFERROR(__xludf.DUMMYFUNCTION("""COMPUTED_VALUE"""),"")</f>
        <v/>
      </c>
      <c r="V272" s="82" t="str">
        <f>IFERROR(__xludf.DUMMYFUNCTION("""COMPUTED_VALUE"""),"")</f>
        <v/>
      </c>
      <c r="W272" s="64" t="str">
        <f>IFERROR(__xludf.DUMMYFUNCTION("""COMPUTED_VALUE"""),"")</f>
        <v/>
      </c>
      <c r="X272" s="64" t="str">
        <f>IFERROR(__xludf.DUMMYFUNCTION("""COMPUTED_VALUE"""),"")</f>
        <v/>
      </c>
      <c r="Y272" s="114" t="str">
        <f>IFERROR(__xludf.DUMMYFUNCTION("""COMPUTED_VALUE"""),"")</f>
        <v/>
      </c>
      <c r="Z272" s="118" t="str">
        <f>IFERROR(__xludf.DUMMYFUNCTION("""COMPUTED_VALUE"""),"")</f>
        <v/>
      </c>
      <c r="AA272" s="118" t="str">
        <f>IFERROR(__xludf.DUMMYFUNCTION("""COMPUTED_VALUE"""),"")</f>
        <v/>
      </c>
      <c r="AB272" s="74"/>
    </row>
    <row r="273">
      <c r="A273" s="109">
        <f>IFERROR(__xludf.DUMMYFUNCTION("""COMPUTED_VALUE"""),45979.65409070602)</f>
        <v>45979.65409</v>
      </c>
      <c r="B273" s="81" t="str">
        <f>IFERROR(__xludf.DUMMYFUNCTION("""COMPUTED_VALUE"""),"Brynn Hornig")</f>
        <v>Brynn Hornig</v>
      </c>
      <c r="C273" s="74" t="b">
        <f>IFERROR(__xludf.DUMMYFUNCTION("""COMPUTED_VALUE"""),FALSE)</f>
        <v>0</v>
      </c>
      <c r="D273" s="137">
        <f>IFERROR(__xludf.DUMMYFUNCTION("""COMPUTED_VALUE"""),0.5208333333357587)</f>
        <v>0.5208333333</v>
      </c>
      <c r="E273" s="82">
        <f>IFERROR(__xludf.DUMMYFUNCTION("""COMPUTED_VALUE"""),0.13541666666424135)</f>
        <v>0.1354166667</v>
      </c>
      <c r="F273" s="137">
        <f>IFERROR(__xludf.DUMMYFUNCTION("""COMPUTED_VALUE"""),0.65625)</f>
        <v>0.65625</v>
      </c>
      <c r="G273" s="82">
        <f>IFERROR(__xludf.DUMMYFUNCTION("""COMPUTED_VALUE"""),0.13541666666424135)</f>
        <v>0.1354166667</v>
      </c>
      <c r="H273" s="115">
        <f>IFERROR(__xludf.DUMMYFUNCTION("""COMPUTED_VALUE"""),105.0)</f>
        <v>105</v>
      </c>
      <c r="I273" s="112">
        <f>IFERROR(__xludf.DUMMYFUNCTION("""COMPUTED_VALUE"""),32.30769230827094)</f>
        <v>32.30769231</v>
      </c>
      <c r="J273" s="74" t="str">
        <f>IFERROR(__xludf.DUMMYFUNCTION("""COMPUTED_VALUE"""),"Lunch")</f>
        <v>Lunch</v>
      </c>
      <c r="K273" s="113">
        <f>IFERROR(__xludf.DUMMYFUNCTION("""COMPUTED_VALUE"""),45979.0)</f>
        <v>45979</v>
      </c>
      <c r="L273" s="74" t="str">
        <f>IFERROR(__xludf.DUMMYFUNCTION("""COMPUTED_VALUE"""),"Tuesday")</f>
        <v>Tuesday</v>
      </c>
      <c r="M273" s="74" t="str">
        <f>IFERROR(__xludf.DUMMYFUNCTION("""COMPUTED_VALUE"""),"BF")</f>
        <v>BF</v>
      </c>
      <c r="N273" s="114">
        <f>IFERROR(__xludf.DUMMYFUNCTION("""COMPUTED_VALUE"""),0.832013464708319)</f>
        <v>0.8320134647</v>
      </c>
      <c r="O273" s="74" t="str">
        <f>IFERROR(__xludf.DUMMYFUNCTION("""COMPUTED_VALUE"""),"")</f>
        <v/>
      </c>
      <c r="P273" s="74" t="str">
        <f>IFERROR(__xludf.DUMMYFUNCTION("""COMPUTED_VALUE"""),"")</f>
        <v/>
      </c>
      <c r="Q273" s="82" t="str">
        <f>IFERROR(__xludf.DUMMYFUNCTION("""COMPUTED_VALUE"""),"")</f>
        <v/>
      </c>
      <c r="R273" s="82" t="str">
        <f>IFERROR(__xludf.DUMMYFUNCTION("""COMPUTED_VALUE"""),"")</f>
        <v/>
      </c>
      <c r="S273" s="63" t="str">
        <f>IFERROR(__xludf.DUMMYFUNCTION("""COMPUTED_VALUE"""),"")</f>
        <v/>
      </c>
      <c r="T273" s="63" t="str">
        <f>IFERROR(__xludf.DUMMYFUNCTION("""COMPUTED_VALUE"""),"")</f>
        <v/>
      </c>
      <c r="U273" s="138" t="str">
        <f>IFERROR(__xludf.DUMMYFUNCTION("""COMPUTED_VALUE"""),"")</f>
        <v/>
      </c>
      <c r="V273" s="82" t="str">
        <f>IFERROR(__xludf.DUMMYFUNCTION("""COMPUTED_VALUE"""),"")</f>
        <v/>
      </c>
      <c r="W273" s="64" t="str">
        <f>IFERROR(__xludf.DUMMYFUNCTION("""COMPUTED_VALUE"""),"")</f>
        <v/>
      </c>
      <c r="X273" s="64" t="str">
        <f>IFERROR(__xludf.DUMMYFUNCTION("""COMPUTED_VALUE"""),"")</f>
        <v/>
      </c>
      <c r="Y273" s="114" t="str">
        <f>IFERROR(__xludf.DUMMYFUNCTION("""COMPUTED_VALUE"""),"")</f>
        <v/>
      </c>
      <c r="Z273" s="118" t="str">
        <f>IFERROR(__xludf.DUMMYFUNCTION("""COMPUTED_VALUE"""),"")</f>
        <v/>
      </c>
      <c r="AA273" s="118" t="str">
        <f>IFERROR(__xludf.DUMMYFUNCTION("""COMPUTED_VALUE"""),"")</f>
        <v/>
      </c>
      <c r="AB273" s="74"/>
    </row>
    <row r="274">
      <c r="A274" s="109">
        <f>IFERROR(__xludf.DUMMYFUNCTION("""COMPUTED_VALUE"""),45979.74853539352)</f>
        <v>45979.74854</v>
      </c>
      <c r="B274" s="81" t="str">
        <f>IFERROR(__xludf.DUMMYFUNCTION("""COMPUTED_VALUE"""),"Kyra Turner")</f>
        <v>Kyra Turner</v>
      </c>
      <c r="C274" s="74" t="b">
        <f>IFERROR(__xludf.DUMMYFUNCTION("""COMPUTED_VALUE"""),FALSE)</f>
        <v>0</v>
      </c>
      <c r="D274" s="137">
        <f>IFERROR(__xludf.DUMMYFUNCTION("""COMPUTED_VALUE"""),0.6875)</f>
        <v>0.6875</v>
      </c>
      <c r="E274" s="82">
        <f>IFERROR(__xludf.DUMMYFUNCTION("""COMPUTED_VALUE"""),0.06041666666715173)</f>
        <v>0.06041666667</v>
      </c>
      <c r="F274" s="137">
        <f>IFERROR(__xludf.DUMMYFUNCTION("""COMPUTED_VALUE"""),0.7479166666671517)</f>
        <v>0.7479166667</v>
      </c>
      <c r="G274" s="82">
        <f>IFERROR(__xludf.DUMMYFUNCTION("""COMPUTED_VALUE"""),0.10138888889196096)</f>
        <v>0.1013888889</v>
      </c>
      <c r="H274" s="115">
        <f>IFERROR(__xludf.DUMMYFUNCTION("""COMPUTED_VALUE"""),67.0)</f>
        <v>67</v>
      </c>
      <c r="I274" s="112">
        <f>IFERROR(__xludf.DUMMYFUNCTION("""COMPUTED_VALUE"""),27.53424657450818)</f>
        <v>27.53424657</v>
      </c>
      <c r="J274" s="74" t="str">
        <f>IFERROR(__xludf.DUMMYFUNCTION("""COMPUTED_VALUE"""),"Dinner")</f>
        <v>Dinner</v>
      </c>
      <c r="K274" s="113">
        <f>IFERROR(__xludf.DUMMYFUNCTION("""COMPUTED_VALUE"""),45979.0)</f>
        <v>45979</v>
      </c>
      <c r="L274" s="74" t="str">
        <f>IFERROR(__xludf.DUMMYFUNCTION("""COMPUTED_VALUE"""),"Tuesday")</f>
        <v>Tuesday</v>
      </c>
      <c r="M274" s="74" t="str">
        <f>IFERROR(__xludf.DUMMYFUNCTION("""COMPUTED_VALUE"""),"BF")</f>
        <v>BF</v>
      </c>
      <c r="N274" s="114">
        <f>IFERROR(__xludf.DUMMYFUNCTION("""COMPUTED_VALUE"""),0.6497989925465755)</f>
        <v>0.6497989925</v>
      </c>
      <c r="O274" s="74" t="str">
        <f>IFERROR(__xludf.DUMMYFUNCTION("""COMPUTED_VALUE"""),"")</f>
        <v/>
      </c>
      <c r="P274" s="74" t="str">
        <f>IFERROR(__xludf.DUMMYFUNCTION("""COMPUTED_VALUE"""),"")</f>
        <v/>
      </c>
      <c r="Q274" s="82" t="str">
        <f>IFERROR(__xludf.DUMMYFUNCTION("""COMPUTED_VALUE"""),"")</f>
        <v/>
      </c>
      <c r="R274" s="82" t="str">
        <f>IFERROR(__xludf.DUMMYFUNCTION("""COMPUTED_VALUE"""),"")</f>
        <v/>
      </c>
      <c r="S274" s="63" t="str">
        <f>IFERROR(__xludf.DUMMYFUNCTION("""COMPUTED_VALUE"""),"")</f>
        <v/>
      </c>
      <c r="T274" s="63" t="str">
        <f>IFERROR(__xludf.DUMMYFUNCTION("""COMPUTED_VALUE"""),"")</f>
        <v/>
      </c>
      <c r="U274" s="138" t="str">
        <f>IFERROR(__xludf.DUMMYFUNCTION("""COMPUTED_VALUE"""),"")</f>
        <v/>
      </c>
      <c r="V274" s="82" t="str">
        <f>IFERROR(__xludf.DUMMYFUNCTION("""COMPUTED_VALUE"""),"")</f>
        <v/>
      </c>
      <c r="W274" s="64" t="str">
        <f>IFERROR(__xludf.DUMMYFUNCTION("""COMPUTED_VALUE"""),"")</f>
        <v/>
      </c>
      <c r="X274" s="64" t="str">
        <f>IFERROR(__xludf.DUMMYFUNCTION("""COMPUTED_VALUE"""),"")</f>
        <v/>
      </c>
      <c r="Y274" s="114" t="str">
        <f>IFERROR(__xludf.DUMMYFUNCTION("""COMPUTED_VALUE"""),"")</f>
        <v/>
      </c>
      <c r="Z274" s="118" t="str">
        <f>IFERROR(__xludf.DUMMYFUNCTION("""COMPUTED_VALUE"""),"")</f>
        <v/>
      </c>
      <c r="AA274" s="118" t="str">
        <f>IFERROR(__xludf.DUMMYFUNCTION("""COMPUTED_VALUE"""),"")</f>
        <v/>
      </c>
      <c r="AB274" s="74"/>
    </row>
    <row r="275">
      <c r="A275" s="109">
        <f>IFERROR(__xludf.DUMMYFUNCTION("""COMPUTED_VALUE"""),45979.79073059028)</f>
        <v>45979.79073</v>
      </c>
      <c r="B275" s="81" t="str">
        <f>IFERROR(__xludf.DUMMYFUNCTION("""COMPUTED_VALUE"""),"Kyra Turner")</f>
        <v>Kyra Turner</v>
      </c>
      <c r="C275" s="74" t="b">
        <f>IFERROR(__xludf.DUMMYFUNCTION("""COMPUTED_VALUE"""),TRUE)</f>
        <v>1</v>
      </c>
      <c r="D275" s="137">
        <f>IFERROR(__xludf.DUMMYFUNCTION("""COMPUTED_VALUE"""),0.7493055555532919)</f>
        <v>0.7493055556</v>
      </c>
      <c r="E275" s="82">
        <f>IFERROR(__xludf.DUMMYFUNCTION("""COMPUTED_VALUE"""),0.04097222222480923)</f>
        <v>0.04097222222</v>
      </c>
      <c r="F275" s="137">
        <f>IFERROR(__xludf.DUMMYFUNCTION("""COMPUTED_VALUE"""),0.7902777777781012)</f>
        <v>0.7902777778</v>
      </c>
      <c r="G275" s="82" t="str">
        <f>IFERROR(__xludf.DUMMYFUNCTION("""COMPUTED_VALUE"""),"")</f>
        <v/>
      </c>
      <c r="H275" s="115">
        <f>IFERROR(__xludf.DUMMYFUNCTION("""COMPUTED_VALUE"""),75.0)</f>
        <v>75</v>
      </c>
      <c r="I275" s="112" t="str">
        <f>IFERROR(__xludf.DUMMYFUNCTION("""COMPUTED_VALUE"""),"")</f>
        <v/>
      </c>
      <c r="J275" s="74" t="str">
        <f>IFERROR(__xludf.DUMMYFUNCTION("""COMPUTED_VALUE"""),"Dinner")</f>
        <v>Dinner</v>
      </c>
      <c r="K275" s="113">
        <f>IFERROR(__xludf.DUMMYFUNCTION("""COMPUTED_VALUE"""),45979.0)</f>
        <v>45979</v>
      </c>
      <c r="L275" s="74" t="str">
        <f>IFERROR(__xludf.DUMMYFUNCTION("""COMPUTED_VALUE"""),"Tuesday")</f>
        <v>Tuesday</v>
      </c>
      <c r="M275" s="74" t="str">
        <f>IFERROR(__xludf.DUMMYFUNCTION("""COMPUTED_VALUE"""),"BF")</f>
        <v>BF</v>
      </c>
      <c r="N275" s="114" t="str">
        <f>IFERROR(__xludf.DUMMYFUNCTION("""COMPUTED_VALUE"""),"")</f>
        <v/>
      </c>
      <c r="O275" s="74" t="str">
        <f>IFERROR(__xludf.DUMMYFUNCTION("""COMPUTED_VALUE"""),"")</f>
        <v/>
      </c>
      <c r="P275" s="74" t="str">
        <f>IFERROR(__xludf.DUMMYFUNCTION("""COMPUTED_VALUE"""),"")</f>
        <v/>
      </c>
      <c r="Q275" s="82" t="str">
        <f>IFERROR(__xludf.DUMMYFUNCTION("""COMPUTED_VALUE"""),"")</f>
        <v/>
      </c>
      <c r="R275" s="82" t="str">
        <f>IFERROR(__xludf.DUMMYFUNCTION("""COMPUTED_VALUE"""),"")</f>
        <v/>
      </c>
      <c r="S275" s="63" t="str">
        <f>IFERROR(__xludf.DUMMYFUNCTION("""COMPUTED_VALUE"""),"")</f>
        <v/>
      </c>
      <c r="T275" s="63" t="str">
        <f>IFERROR(__xludf.DUMMYFUNCTION("""COMPUTED_VALUE"""),"")</f>
        <v/>
      </c>
      <c r="U275" s="138" t="str">
        <f>IFERROR(__xludf.DUMMYFUNCTION("""COMPUTED_VALUE"""),"")</f>
        <v/>
      </c>
      <c r="V275" s="82" t="str">
        <f>IFERROR(__xludf.DUMMYFUNCTION("""COMPUTED_VALUE"""),"")</f>
        <v/>
      </c>
      <c r="W275" s="64" t="str">
        <f>IFERROR(__xludf.DUMMYFUNCTION("""COMPUTED_VALUE"""),"")</f>
        <v/>
      </c>
      <c r="X275" s="64" t="str">
        <f>IFERROR(__xludf.DUMMYFUNCTION("""COMPUTED_VALUE"""),"")</f>
        <v/>
      </c>
      <c r="Y275" s="114" t="str">
        <f>IFERROR(__xludf.DUMMYFUNCTION("""COMPUTED_VALUE"""),"")</f>
        <v/>
      </c>
      <c r="Z275" s="118" t="str">
        <f>IFERROR(__xludf.DUMMYFUNCTION("""COMPUTED_VALUE"""),"")</f>
        <v/>
      </c>
      <c r="AA275" s="118" t="str">
        <f>IFERROR(__xludf.DUMMYFUNCTION("""COMPUTED_VALUE"""),"")</f>
        <v/>
      </c>
      <c r="AB275" s="74"/>
    </row>
    <row r="276">
      <c r="A276" s="109">
        <f>IFERROR(__xludf.DUMMYFUNCTION("""COMPUTED_VALUE"""),45979.86386215278)</f>
        <v>45979.86386</v>
      </c>
      <c r="B276" s="81" t="str">
        <f>IFERROR(__xludf.DUMMYFUNCTION("""COMPUTED_VALUE"""),"Kaylie Forgue")</f>
        <v>Kaylie Forgue</v>
      </c>
      <c r="C276" s="74" t="b">
        <f>IFERROR(__xludf.DUMMYFUNCTION("""COMPUTED_VALUE"""),FALSE)</f>
        <v>0</v>
      </c>
      <c r="D276" s="137">
        <f>IFERROR(__xludf.DUMMYFUNCTION("""COMPUTED_VALUE"""),0.7909722222248092)</f>
        <v>0.7909722222</v>
      </c>
      <c r="E276" s="82">
        <f>IFERROR(__xludf.DUMMYFUNCTION("""COMPUTED_VALUE"""),0.06944444443797693)</f>
        <v>0.06944444444</v>
      </c>
      <c r="F276" s="137">
        <f>IFERROR(__xludf.DUMMYFUNCTION("""COMPUTED_VALUE"""),0.8604166666627862)</f>
        <v>0.8604166667</v>
      </c>
      <c r="G276" s="82">
        <f>IFERROR(__xludf.DUMMYFUNCTION("""COMPUTED_VALUE"""),0.06944444443797693)</f>
        <v>0.06944444444</v>
      </c>
      <c r="H276" s="115">
        <f>IFERROR(__xludf.DUMMYFUNCTION("""COMPUTED_VALUE"""),54.0)</f>
        <v>54</v>
      </c>
      <c r="I276" s="112">
        <f>IFERROR(__xludf.DUMMYFUNCTION("""COMPUTED_VALUE"""),32.40000000301748)</f>
        <v>32.4</v>
      </c>
      <c r="J276" s="74" t="str">
        <f>IFERROR(__xludf.DUMMYFUNCTION("""COMPUTED_VALUE"""),"Dinner")</f>
        <v>Dinner</v>
      </c>
      <c r="K276" s="113">
        <f>IFERROR(__xludf.DUMMYFUNCTION("""COMPUTED_VALUE"""),45979.0)</f>
        <v>45979</v>
      </c>
      <c r="L276" s="74" t="str">
        <f>IFERROR(__xludf.DUMMYFUNCTION("""COMPUTED_VALUE"""),"Tuesday")</f>
        <v>Tuesday</v>
      </c>
      <c r="M276" s="74" t="str">
        <f>IFERROR(__xludf.DUMMYFUNCTION("""COMPUTED_VALUE"""),"BF")</f>
        <v>BF</v>
      </c>
      <c r="N276" s="114">
        <f>IFERROR(__xludf.DUMMYFUNCTION("""COMPUTED_VALUE"""),0.7646291429656038)</f>
        <v>0.764629143</v>
      </c>
      <c r="O276" s="74">
        <f>IFERROR(__xludf.DUMMYFUNCTION("""COMPUTED_VALUE"""),150.0)</f>
        <v>150</v>
      </c>
      <c r="P276" s="74">
        <f>IFERROR(__xludf.DUMMYFUNCTION("""COMPUTED_VALUE"""),478.0)</f>
        <v>478</v>
      </c>
      <c r="Q276" s="82">
        <f>IFERROR(__xludf.DUMMYFUNCTION("""COMPUTED_VALUE"""),0.11805555555474712)</f>
        <v>0.1180555556</v>
      </c>
      <c r="R276" s="82">
        <f>IFERROR(__xludf.DUMMYFUNCTION("""COMPUTED_VALUE"""),0.4902777777679148)</f>
        <v>0.4902777778</v>
      </c>
      <c r="S276" s="63">
        <f>IFERROR(__xludf.DUMMYFUNCTION("""COMPUTED_VALUE"""),52.94117647095077)</f>
        <v>52.94117647</v>
      </c>
      <c r="T276" s="63">
        <f>IFERROR(__xludf.DUMMYFUNCTION("""COMPUTED_VALUE"""),34.95873260532832)</f>
        <v>34.95873261</v>
      </c>
      <c r="U276" s="138">
        <f>IFERROR(__xludf.DUMMYFUNCTION("""COMPUTED_VALUE"""),628.0)</f>
        <v>628</v>
      </c>
      <c r="V276" s="82">
        <f>IFERROR(__xludf.DUMMYFUNCTION("""COMPUTED_VALUE"""),0.6083333333226619)</f>
        <v>0.6083333333</v>
      </c>
      <c r="W276" s="64">
        <f>IFERROR(__xludf.DUMMYFUNCTION("""COMPUTED_VALUE"""),43.01369863089153)</f>
        <v>43.01369863</v>
      </c>
      <c r="X276" s="64">
        <f>IFERROR(__xludf.DUMMYFUNCTION("""COMPUTED_VALUE"""),37.95580658293206)</f>
        <v>37.95580658</v>
      </c>
      <c r="Y276" s="114">
        <f>IFERROR(__xludf.DUMMYFUNCTION("""COMPUTED_VALUE"""),0.7632140717413728)</f>
        <v>0.7632140717</v>
      </c>
      <c r="Z276" s="118" t="str">
        <f>IFERROR(__xludf.DUMMYFUNCTION("""COMPUTED_VALUE"""),"")</f>
        <v/>
      </c>
      <c r="AA276" s="118" t="str">
        <f>IFERROR(__xludf.DUMMYFUNCTION("""COMPUTED_VALUE"""),"")</f>
        <v/>
      </c>
      <c r="AB276" s="74"/>
    </row>
    <row r="277">
      <c r="A277" s="109">
        <f>IFERROR(__xludf.DUMMYFUNCTION("""COMPUTED_VALUE"""),45980.63355293982)</f>
        <v>45980.63355</v>
      </c>
      <c r="B277" s="81" t="str">
        <f>IFERROR(__xludf.DUMMYFUNCTION("""COMPUTED_VALUE"""),"Greta Traynor")</f>
        <v>Greta Traynor</v>
      </c>
      <c r="C277" s="74" t="b">
        <f>IFERROR(__xludf.DUMMYFUNCTION("""COMPUTED_VALUE"""),FALSE)</f>
        <v>0</v>
      </c>
      <c r="D277" s="137">
        <f>IFERROR(__xludf.DUMMYFUNCTION("""COMPUTED_VALUE"""),0.5680555555591127)</f>
        <v>0.5680555556</v>
      </c>
      <c r="E277" s="82">
        <f>IFERROR(__xludf.DUMMYFUNCTION("""COMPUTED_VALUE"""),0.06527777777228039)</f>
        <v>0.06527777777</v>
      </c>
      <c r="F277" s="137">
        <f>IFERROR(__xludf.DUMMYFUNCTION("""COMPUTED_VALUE"""),0.6333333333313931)</f>
        <v>0.6333333333</v>
      </c>
      <c r="G277" s="82">
        <f>IFERROR(__xludf.DUMMYFUNCTION("""COMPUTED_VALUE"""),0.06527777777228039)</f>
        <v>0.06527777777</v>
      </c>
      <c r="H277" s="115">
        <f>IFERROR(__xludf.DUMMYFUNCTION("""COMPUTED_VALUE"""),73.0)</f>
        <v>73</v>
      </c>
      <c r="I277" s="112">
        <f>IFERROR(__xludf.DUMMYFUNCTION("""COMPUTED_VALUE"""),46.59574468477514)</f>
        <v>46.59574468</v>
      </c>
      <c r="J277" s="74" t="str">
        <f>IFERROR(__xludf.DUMMYFUNCTION("""COMPUTED_VALUE"""),"Lunch")</f>
        <v>Lunch</v>
      </c>
      <c r="K277" s="113">
        <f>IFERROR(__xludf.DUMMYFUNCTION("""COMPUTED_VALUE"""),45980.0)</f>
        <v>45980</v>
      </c>
      <c r="L277" s="74" t="str">
        <f>IFERROR(__xludf.DUMMYFUNCTION("""COMPUTED_VALUE"""),"Wednesday")</f>
        <v>Wednesday</v>
      </c>
      <c r="M277" s="74" t="str">
        <f>IFERROR(__xludf.DUMMYFUNCTION("""COMPUTED_VALUE"""),"MF")</f>
        <v>MF</v>
      </c>
      <c r="N277" s="114">
        <f>IFERROR(__xludf.DUMMYFUNCTION("""COMPUTED_VALUE"""),0.9689512059797237)</f>
        <v>0.968951206</v>
      </c>
      <c r="O277" s="74" t="str">
        <f>IFERROR(__xludf.DUMMYFUNCTION("""COMPUTED_VALUE"""),"")</f>
        <v/>
      </c>
      <c r="P277" s="74" t="str">
        <f>IFERROR(__xludf.DUMMYFUNCTION("""COMPUTED_VALUE"""),"")</f>
        <v/>
      </c>
      <c r="Q277" s="82" t="str">
        <f>IFERROR(__xludf.DUMMYFUNCTION("""COMPUTED_VALUE"""),"")</f>
        <v/>
      </c>
      <c r="R277" s="82" t="str">
        <f>IFERROR(__xludf.DUMMYFUNCTION("""COMPUTED_VALUE"""),"")</f>
        <v/>
      </c>
      <c r="S277" s="63" t="str">
        <f>IFERROR(__xludf.DUMMYFUNCTION("""COMPUTED_VALUE"""),"")</f>
        <v/>
      </c>
      <c r="T277" s="63" t="str">
        <f>IFERROR(__xludf.DUMMYFUNCTION("""COMPUTED_VALUE"""),"")</f>
        <v/>
      </c>
      <c r="U277" s="138" t="str">
        <f>IFERROR(__xludf.DUMMYFUNCTION("""COMPUTED_VALUE"""),"")</f>
        <v/>
      </c>
      <c r="V277" s="82" t="str">
        <f>IFERROR(__xludf.DUMMYFUNCTION("""COMPUTED_VALUE"""),"")</f>
        <v/>
      </c>
      <c r="W277" s="64" t="str">
        <f>IFERROR(__xludf.DUMMYFUNCTION("""COMPUTED_VALUE"""),"")</f>
        <v/>
      </c>
      <c r="X277" s="64" t="str">
        <f>IFERROR(__xludf.DUMMYFUNCTION("""COMPUTED_VALUE"""),"")</f>
        <v/>
      </c>
      <c r="Y277" s="114" t="str">
        <f>IFERROR(__xludf.DUMMYFUNCTION("""COMPUTED_VALUE"""),"")</f>
        <v/>
      </c>
      <c r="Z277" s="118" t="str">
        <f>IFERROR(__xludf.DUMMYFUNCTION("""COMPUTED_VALUE"""),"")</f>
        <v/>
      </c>
      <c r="AA277" s="118" t="str">
        <f>IFERROR(__xludf.DUMMYFUNCTION("""COMPUTED_VALUE"""),"")</f>
        <v/>
      </c>
      <c r="AB277" s="74"/>
    </row>
    <row r="278">
      <c r="A278" s="109">
        <f>IFERROR(__xludf.DUMMYFUNCTION("""COMPUTED_VALUE"""),45980.658918981484)</f>
        <v>45980.65892</v>
      </c>
      <c r="B278" s="81" t="str">
        <f>IFERROR(__xludf.DUMMYFUNCTION("""COMPUTED_VALUE"""),"Sarah Wilme")</f>
        <v>Sarah Wilme</v>
      </c>
      <c r="C278" s="74" t="b">
        <f>IFERROR(__xludf.DUMMYFUNCTION("""COMPUTED_VALUE"""),FALSE)</f>
        <v>0</v>
      </c>
      <c r="D278" s="137">
        <f>IFERROR(__xludf.DUMMYFUNCTION("""COMPUTED_VALUE"""),0.5215277777751908)</f>
        <v>0.5215277778</v>
      </c>
      <c r="E278" s="82">
        <f>IFERROR(__xludf.DUMMYFUNCTION("""COMPUTED_VALUE"""),0.13472222222480923)</f>
        <v>0.1347222222</v>
      </c>
      <c r="F278" s="137">
        <f>IFERROR(__xludf.DUMMYFUNCTION("""COMPUTED_VALUE"""),0.65625)</f>
        <v>0.65625</v>
      </c>
      <c r="G278" s="82">
        <f>IFERROR(__xludf.DUMMYFUNCTION("""COMPUTED_VALUE"""),0.13472222222480923)</f>
        <v>0.1347222222</v>
      </c>
      <c r="H278" s="115">
        <f>IFERROR(__xludf.DUMMYFUNCTION("""COMPUTED_VALUE"""),126.0)</f>
        <v>126</v>
      </c>
      <c r="I278" s="112">
        <f>IFERROR(__xludf.DUMMYFUNCTION("""COMPUTED_VALUE"""),38.96907216420015)</f>
        <v>38.96907216</v>
      </c>
      <c r="J278" s="74" t="str">
        <f>IFERROR(__xludf.DUMMYFUNCTION("""COMPUTED_VALUE"""),"Lunch")</f>
        <v>Lunch</v>
      </c>
      <c r="K278" s="113">
        <f>IFERROR(__xludf.DUMMYFUNCTION("""COMPUTED_VALUE"""),45980.0)</f>
        <v>45980</v>
      </c>
      <c r="L278" s="74" t="str">
        <f>IFERROR(__xludf.DUMMYFUNCTION("""COMPUTED_VALUE"""),"Wednesday")</f>
        <v>Wednesday</v>
      </c>
      <c r="M278" s="74" t="str">
        <f>IFERROR(__xludf.DUMMYFUNCTION("""COMPUTED_VALUE"""),"BF")</f>
        <v>BF</v>
      </c>
      <c r="N278" s="114">
        <f>IFERROR(__xludf.DUMMYFUNCTION("""COMPUTED_VALUE"""),1.003562632652171)</f>
        <v>1.003562633</v>
      </c>
      <c r="O278" s="74" t="str">
        <f>IFERROR(__xludf.DUMMYFUNCTION("""COMPUTED_VALUE"""),"")</f>
        <v/>
      </c>
      <c r="P278" s="74" t="str">
        <f>IFERROR(__xludf.DUMMYFUNCTION("""COMPUTED_VALUE"""),"")</f>
        <v/>
      </c>
      <c r="Q278" s="82" t="str">
        <f>IFERROR(__xludf.DUMMYFUNCTION("""COMPUTED_VALUE"""),"")</f>
        <v/>
      </c>
      <c r="R278" s="82" t="str">
        <f>IFERROR(__xludf.DUMMYFUNCTION("""COMPUTED_VALUE"""),"")</f>
        <v/>
      </c>
      <c r="S278" s="63" t="str">
        <f>IFERROR(__xludf.DUMMYFUNCTION("""COMPUTED_VALUE"""),"")</f>
        <v/>
      </c>
      <c r="T278" s="63" t="str">
        <f>IFERROR(__xludf.DUMMYFUNCTION("""COMPUTED_VALUE"""),"")</f>
        <v/>
      </c>
      <c r="U278" s="138" t="str">
        <f>IFERROR(__xludf.DUMMYFUNCTION("""COMPUTED_VALUE"""),"")</f>
        <v/>
      </c>
      <c r="V278" s="82" t="str">
        <f>IFERROR(__xludf.DUMMYFUNCTION("""COMPUTED_VALUE"""),"")</f>
        <v/>
      </c>
      <c r="W278" s="64" t="str">
        <f>IFERROR(__xludf.DUMMYFUNCTION("""COMPUTED_VALUE"""),"")</f>
        <v/>
      </c>
      <c r="X278" s="64" t="str">
        <f>IFERROR(__xludf.DUMMYFUNCTION("""COMPUTED_VALUE"""),"")</f>
        <v/>
      </c>
      <c r="Y278" s="114" t="str">
        <f>IFERROR(__xludf.DUMMYFUNCTION("""COMPUTED_VALUE"""),"")</f>
        <v/>
      </c>
      <c r="Z278" s="118" t="str">
        <f>IFERROR(__xludf.DUMMYFUNCTION("""COMPUTED_VALUE"""),"")</f>
        <v/>
      </c>
      <c r="AA278" s="118" t="str">
        <f>IFERROR(__xludf.DUMMYFUNCTION("""COMPUTED_VALUE"""),"")</f>
        <v/>
      </c>
      <c r="AB278" s="74"/>
    </row>
    <row r="279">
      <c r="A279" s="109">
        <f>IFERROR(__xludf.DUMMYFUNCTION("""COMPUTED_VALUE"""),45980.731551122684)</f>
        <v>45980.73155</v>
      </c>
      <c r="B279" s="81" t="str">
        <f>IFERROR(__xludf.DUMMYFUNCTION("""COMPUTED_VALUE"""),"Orpheus Wilson")</f>
        <v>Orpheus Wilson</v>
      </c>
      <c r="C279" s="74" t="b">
        <f>IFERROR(__xludf.DUMMYFUNCTION("""COMPUTED_VALUE"""),FALSE)</f>
        <v>0</v>
      </c>
      <c r="D279" s="137">
        <f>IFERROR(__xludf.DUMMYFUNCTION("""COMPUTED_VALUE"""),0.6895833333328483)</f>
        <v>0.6895833333</v>
      </c>
      <c r="E279" s="82">
        <f>IFERROR(__xludf.DUMMYFUNCTION("""COMPUTED_VALUE"""),0.03749999999854481)</f>
        <v>0.0375</v>
      </c>
      <c r="F279" s="137">
        <f>IFERROR(__xludf.DUMMYFUNCTION("""COMPUTED_VALUE"""),0.7270833333313931)</f>
        <v>0.7270833333</v>
      </c>
      <c r="G279" s="82">
        <f>IFERROR(__xludf.DUMMYFUNCTION("""COMPUTED_VALUE"""),0.05000000000291038)</f>
        <v>0.05</v>
      </c>
      <c r="H279" s="115">
        <f>IFERROR(__xludf.DUMMYFUNCTION("""COMPUTED_VALUE"""),72.0)</f>
        <v>72</v>
      </c>
      <c r="I279" s="112">
        <f>IFERROR(__xludf.DUMMYFUNCTION("""COMPUTED_VALUE"""),59.99999999650754)</f>
        <v>60</v>
      </c>
      <c r="J279" s="74" t="str">
        <f>IFERROR(__xludf.DUMMYFUNCTION("""COMPUTED_VALUE"""),"Dinner")</f>
        <v>Dinner</v>
      </c>
      <c r="K279" s="113">
        <f>IFERROR(__xludf.DUMMYFUNCTION("""COMPUTED_VALUE"""),45980.0)</f>
        <v>45980</v>
      </c>
      <c r="L279" s="74" t="str">
        <f>IFERROR(__xludf.DUMMYFUNCTION("""COMPUTED_VALUE"""),"Wednesday")</f>
        <v>Wednesday</v>
      </c>
      <c r="M279" s="74" t="str">
        <f>IFERROR(__xludf.DUMMYFUNCTION("""COMPUTED_VALUE"""),"MF")</f>
        <v>MF</v>
      </c>
      <c r="N279" s="114">
        <f>IFERROR(__xludf.DUMMYFUNCTION("""COMPUTED_VALUE"""),1.182299169248705)</f>
        <v>1.182299169</v>
      </c>
      <c r="O279" s="74" t="str">
        <f>IFERROR(__xludf.DUMMYFUNCTION("""COMPUTED_VALUE"""),"")</f>
        <v/>
      </c>
      <c r="P279" s="74" t="str">
        <f>IFERROR(__xludf.DUMMYFUNCTION("""COMPUTED_VALUE"""),"")</f>
        <v/>
      </c>
      <c r="Q279" s="82" t="str">
        <f>IFERROR(__xludf.DUMMYFUNCTION("""COMPUTED_VALUE"""),"")</f>
        <v/>
      </c>
      <c r="R279" s="82" t="str">
        <f>IFERROR(__xludf.DUMMYFUNCTION("""COMPUTED_VALUE"""),"")</f>
        <v/>
      </c>
      <c r="S279" s="63" t="str">
        <f>IFERROR(__xludf.DUMMYFUNCTION("""COMPUTED_VALUE"""),"")</f>
        <v/>
      </c>
      <c r="T279" s="63" t="str">
        <f>IFERROR(__xludf.DUMMYFUNCTION("""COMPUTED_VALUE"""),"")</f>
        <v/>
      </c>
      <c r="U279" s="138" t="str">
        <f>IFERROR(__xludf.DUMMYFUNCTION("""COMPUTED_VALUE"""),"")</f>
        <v/>
      </c>
      <c r="V279" s="82" t="str">
        <f>IFERROR(__xludf.DUMMYFUNCTION("""COMPUTED_VALUE"""),"")</f>
        <v/>
      </c>
      <c r="W279" s="64" t="str">
        <f>IFERROR(__xludf.DUMMYFUNCTION("""COMPUTED_VALUE"""),"")</f>
        <v/>
      </c>
      <c r="X279" s="64" t="str">
        <f>IFERROR(__xludf.DUMMYFUNCTION("""COMPUTED_VALUE"""),"")</f>
        <v/>
      </c>
      <c r="Y279" s="114" t="str">
        <f>IFERROR(__xludf.DUMMYFUNCTION("""COMPUTED_VALUE"""),"")</f>
        <v/>
      </c>
      <c r="Z279" s="118" t="str">
        <f>IFERROR(__xludf.DUMMYFUNCTION("""COMPUTED_VALUE"""),"")</f>
        <v/>
      </c>
      <c r="AA279" s="118" t="str">
        <f>IFERROR(__xludf.DUMMYFUNCTION("""COMPUTED_VALUE"""),"")</f>
        <v/>
      </c>
      <c r="AB279" s="74"/>
    </row>
    <row r="280">
      <c r="A280" s="109">
        <f>IFERROR(__xludf.DUMMYFUNCTION("""COMPUTED_VALUE"""),45980.74541121528)</f>
        <v>45980.74541</v>
      </c>
      <c r="B280" s="81" t="str">
        <f>IFERROR(__xludf.DUMMYFUNCTION("""COMPUTED_VALUE"""),"Orpheus Wilson")</f>
        <v>Orpheus Wilson</v>
      </c>
      <c r="C280" s="74" t="b">
        <f>IFERROR(__xludf.DUMMYFUNCTION("""COMPUTED_VALUE"""),TRUE)</f>
        <v>1</v>
      </c>
      <c r="D280" s="137">
        <f>IFERROR(__xludf.DUMMYFUNCTION("""COMPUTED_VALUE"""),0.7312499999970896)</f>
        <v>0.73125</v>
      </c>
      <c r="E280" s="82">
        <f>IFERROR(__xludf.DUMMYFUNCTION("""COMPUTED_VALUE"""),0.012500000004365575)</f>
        <v>0.0125</v>
      </c>
      <c r="F280" s="137">
        <f>IFERROR(__xludf.DUMMYFUNCTION("""COMPUTED_VALUE"""),0.7437500000014552)</f>
        <v>0.74375</v>
      </c>
      <c r="G280" s="82" t="str">
        <f>IFERROR(__xludf.DUMMYFUNCTION("""COMPUTED_VALUE"""),"")</f>
        <v/>
      </c>
      <c r="H280" s="115">
        <f>IFERROR(__xludf.DUMMYFUNCTION("""COMPUTED_VALUE"""),24.0)</f>
        <v>24</v>
      </c>
      <c r="I280" s="112" t="str">
        <f>IFERROR(__xludf.DUMMYFUNCTION("""COMPUTED_VALUE"""),"")</f>
        <v/>
      </c>
      <c r="J280" s="74" t="str">
        <f>IFERROR(__xludf.DUMMYFUNCTION("""COMPUTED_VALUE"""),"Dinner")</f>
        <v>Dinner</v>
      </c>
      <c r="K280" s="113">
        <f>IFERROR(__xludf.DUMMYFUNCTION("""COMPUTED_VALUE"""),45980.0)</f>
        <v>45980</v>
      </c>
      <c r="L280" s="74" t="str">
        <f>IFERROR(__xludf.DUMMYFUNCTION("""COMPUTED_VALUE"""),"Wednesday")</f>
        <v>Wednesday</v>
      </c>
      <c r="M280" s="74" t="str">
        <f>IFERROR(__xludf.DUMMYFUNCTION("""COMPUTED_VALUE"""),"MF")</f>
        <v>MF</v>
      </c>
      <c r="N280" s="114" t="str">
        <f>IFERROR(__xludf.DUMMYFUNCTION("""COMPUTED_VALUE"""),"")</f>
        <v/>
      </c>
      <c r="O280" s="74" t="str">
        <f>IFERROR(__xludf.DUMMYFUNCTION("""COMPUTED_VALUE"""),"")</f>
        <v/>
      </c>
      <c r="P280" s="74" t="str">
        <f>IFERROR(__xludf.DUMMYFUNCTION("""COMPUTED_VALUE"""),"")</f>
        <v/>
      </c>
      <c r="Q280" s="82" t="str">
        <f>IFERROR(__xludf.DUMMYFUNCTION("""COMPUTED_VALUE"""),"")</f>
        <v/>
      </c>
      <c r="R280" s="82" t="str">
        <f>IFERROR(__xludf.DUMMYFUNCTION("""COMPUTED_VALUE"""),"")</f>
        <v/>
      </c>
      <c r="S280" s="63" t="str">
        <f>IFERROR(__xludf.DUMMYFUNCTION("""COMPUTED_VALUE"""),"")</f>
        <v/>
      </c>
      <c r="T280" s="63" t="str">
        <f>IFERROR(__xludf.DUMMYFUNCTION("""COMPUTED_VALUE"""),"")</f>
        <v/>
      </c>
      <c r="U280" s="138" t="str">
        <f>IFERROR(__xludf.DUMMYFUNCTION("""COMPUTED_VALUE"""),"")</f>
        <v/>
      </c>
      <c r="V280" s="82" t="str">
        <f>IFERROR(__xludf.DUMMYFUNCTION("""COMPUTED_VALUE"""),"")</f>
        <v/>
      </c>
      <c r="W280" s="64" t="str">
        <f>IFERROR(__xludf.DUMMYFUNCTION("""COMPUTED_VALUE"""),"")</f>
        <v/>
      </c>
      <c r="X280" s="64" t="str">
        <f>IFERROR(__xludf.DUMMYFUNCTION("""COMPUTED_VALUE"""),"")</f>
        <v/>
      </c>
      <c r="Y280" s="114" t="str">
        <f>IFERROR(__xludf.DUMMYFUNCTION("""COMPUTED_VALUE"""),"")</f>
        <v/>
      </c>
      <c r="Z280" s="118" t="str">
        <f>IFERROR(__xludf.DUMMYFUNCTION("""COMPUTED_VALUE"""),"")</f>
        <v/>
      </c>
      <c r="AA280" s="118" t="str">
        <f>IFERROR(__xludf.DUMMYFUNCTION("""COMPUTED_VALUE"""),"")</f>
        <v/>
      </c>
      <c r="AB280" s="74"/>
    </row>
    <row r="281">
      <c r="A281" s="109">
        <f>IFERROR(__xludf.DUMMYFUNCTION("""COMPUTED_VALUE"""),45980.7498690162)</f>
        <v>45980.74987</v>
      </c>
      <c r="B281" s="81" t="str">
        <f>IFERROR(__xludf.DUMMYFUNCTION("""COMPUTED_VALUE"""),"Sarah Wilme")</f>
        <v>Sarah Wilme</v>
      </c>
      <c r="C281" s="74" t="b">
        <f>IFERROR(__xludf.DUMMYFUNCTION("""COMPUTED_VALUE"""),FALSE)</f>
        <v>0</v>
      </c>
      <c r="D281" s="137">
        <f>IFERROR(__xludf.DUMMYFUNCTION("""COMPUTED_VALUE"""),0.6868055555532919)</f>
        <v>0.6868055556</v>
      </c>
      <c r="E281" s="82">
        <f>IFERROR(__xludf.DUMMYFUNCTION("""COMPUTED_VALUE"""),0.06041666666715173)</f>
        <v>0.06041666667</v>
      </c>
      <c r="F281" s="137">
        <f>IFERROR(__xludf.DUMMYFUNCTION("""COMPUTED_VALUE"""),0.7472222222204437)</f>
        <v>0.7472222222</v>
      </c>
      <c r="G281" s="82">
        <f>IFERROR(__xludf.DUMMYFUNCTION("""COMPUTED_VALUE"""),0.06041666666715173)</f>
        <v>0.06041666667</v>
      </c>
      <c r="H281" s="115">
        <f>IFERROR(__xludf.DUMMYFUNCTION("""COMPUTED_VALUE"""),75.0)</f>
        <v>75</v>
      </c>
      <c r="I281" s="112">
        <f>IFERROR(__xludf.DUMMYFUNCTION("""COMPUTED_VALUE"""),51.72413793061921)</f>
        <v>51.72413793</v>
      </c>
      <c r="J281" s="74" t="str">
        <f>IFERROR(__xludf.DUMMYFUNCTION("""COMPUTED_VALUE"""),"Dinner")</f>
        <v>Dinner</v>
      </c>
      <c r="K281" s="113">
        <f>IFERROR(__xludf.DUMMYFUNCTION("""COMPUTED_VALUE"""),45980.0)</f>
        <v>45980</v>
      </c>
      <c r="L281" s="74" t="str">
        <f>IFERROR(__xludf.DUMMYFUNCTION("""COMPUTED_VALUE"""),"Wednesday")</f>
        <v>Wednesday</v>
      </c>
      <c r="M281" s="74" t="str">
        <f>IFERROR(__xludf.DUMMYFUNCTION("""COMPUTED_VALUE"""),"BF")</f>
        <v>BF</v>
      </c>
      <c r="N281" s="114">
        <f>IFERROR(__xludf.DUMMYFUNCTION("""COMPUTED_VALUE"""),1.2206723226185396)</f>
        <v>1.220672323</v>
      </c>
      <c r="O281" s="74" t="str">
        <f>IFERROR(__xludf.DUMMYFUNCTION("""COMPUTED_VALUE"""),"")</f>
        <v/>
      </c>
      <c r="P281" s="74" t="str">
        <f>IFERROR(__xludf.DUMMYFUNCTION("""COMPUTED_VALUE"""),"")</f>
        <v/>
      </c>
      <c r="Q281" s="82" t="str">
        <f>IFERROR(__xludf.DUMMYFUNCTION("""COMPUTED_VALUE"""),"")</f>
        <v/>
      </c>
      <c r="R281" s="82" t="str">
        <f>IFERROR(__xludf.DUMMYFUNCTION("""COMPUTED_VALUE"""),"")</f>
        <v/>
      </c>
      <c r="S281" s="63" t="str">
        <f>IFERROR(__xludf.DUMMYFUNCTION("""COMPUTED_VALUE"""),"")</f>
        <v/>
      </c>
      <c r="T281" s="63" t="str">
        <f>IFERROR(__xludf.DUMMYFUNCTION("""COMPUTED_VALUE"""),"")</f>
        <v/>
      </c>
      <c r="U281" s="138" t="str">
        <f>IFERROR(__xludf.DUMMYFUNCTION("""COMPUTED_VALUE"""),"")</f>
        <v/>
      </c>
      <c r="V281" s="82" t="str">
        <f>IFERROR(__xludf.DUMMYFUNCTION("""COMPUTED_VALUE"""),"")</f>
        <v/>
      </c>
      <c r="W281" s="64" t="str">
        <f>IFERROR(__xludf.DUMMYFUNCTION("""COMPUTED_VALUE"""),"")</f>
        <v/>
      </c>
      <c r="X281" s="64" t="str">
        <f>IFERROR(__xludf.DUMMYFUNCTION("""COMPUTED_VALUE"""),"")</f>
        <v/>
      </c>
      <c r="Y281" s="114" t="str">
        <f>IFERROR(__xludf.DUMMYFUNCTION("""COMPUTED_VALUE"""),"")</f>
        <v/>
      </c>
      <c r="Z281" s="118" t="str">
        <f>IFERROR(__xludf.DUMMYFUNCTION("""COMPUTED_VALUE"""),"")</f>
        <v/>
      </c>
      <c r="AA281" s="118" t="str">
        <f>IFERROR(__xludf.DUMMYFUNCTION("""COMPUTED_VALUE"""),"")</f>
        <v/>
      </c>
      <c r="AB281" s="74"/>
    </row>
    <row r="282">
      <c r="A282" s="109">
        <f>IFERROR(__xludf.DUMMYFUNCTION("""COMPUTED_VALUE"""),45980.87240158565)</f>
        <v>45980.8724</v>
      </c>
      <c r="B282" s="81" t="str">
        <f>IFERROR(__xludf.DUMMYFUNCTION("""COMPUTED_VALUE"""),"Kaylie Forgue")</f>
        <v>Kaylie Forgue</v>
      </c>
      <c r="C282" s="74" t="b">
        <f>IFERROR(__xludf.DUMMYFUNCTION("""COMPUTED_VALUE"""),FALSE)</f>
        <v>0</v>
      </c>
      <c r="D282" s="137">
        <f>IFERROR(__xludf.DUMMYFUNCTION("""COMPUTED_VALUE"""),0.7430555555555556)</f>
        <v>0.7430555556</v>
      </c>
      <c r="E282" s="82">
        <f>IFERROR(__xludf.DUMMYFUNCTION("""COMPUTED_VALUE"""),0.12361111111305134)</f>
        <v>0.1236111111</v>
      </c>
      <c r="F282" s="137">
        <f>IFERROR(__xludf.DUMMYFUNCTION("""COMPUTED_VALUE"""),0.8666666666686069)</f>
        <v>0.8666666667</v>
      </c>
      <c r="G282" s="82">
        <f>IFERROR(__xludf.DUMMYFUNCTION("""COMPUTED_VALUE"""),0.12361111111305134)</f>
        <v>0.1236111111</v>
      </c>
      <c r="H282" s="115">
        <f>IFERROR(__xludf.DUMMYFUNCTION("""COMPUTED_VALUE"""),177.0)</f>
        <v>177</v>
      </c>
      <c r="I282" s="112">
        <f>IFERROR(__xludf.DUMMYFUNCTION("""COMPUTED_VALUE"""),59.66292134737812)</f>
        <v>59.66292135</v>
      </c>
      <c r="J282" s="74" t="str">
        <f>IFERROR(__xludf.DUMMYFUNCTION("""COMPUTED_VALUE"""),"Dinner")</f>
        <v>Dinner</v>
      </c>
      <c r="K282" s="113">
        <f>IFERROR(__xludf.DUMMYFUNCTION("""COMPUTED_VALUE"""),45980.0)</f>
        <v>45980</v>
      </c>
      <c r="L282" s="74" t="str">
        <f>IFERROR(__xludf.DUMMYFUNCTION("""COMPUTED_VALUE"""),"Wednesday")</f>
        <v>Wednesday</v>
      </c>
      <c r="M282" s="74" t="str">
        <f>IFERROR(__xludf.DUMMYFUNCTION("""COMPUTED_VALUE"""),"MF")</f>
        <v>MF</v>
      </c>
      <c r="N282" s="114">
        <f>IFERROR(__xludf.DUMMYFUNCTION("""COMPUTED_VALUE"""),1.1756570391343655)</f>
        <v>1.175657039</v>
      </c>
      <c r="O282" s="74">
        <f>IFERROR(__xludf.DUMMYFUNCTION("""COMPUTED_VALUE"""),346.0)</f>
        <v>346</v>
      </c>
      <c r="P282" s="74">
        <f>IFERROR(__xludf.DUMMYFUNCTION("""COMPUTED_VALUE"""),201.0)</f>
        <v>201</v>
      </c>
      <c r="Q282" s="82">
        <f>IFERROR(__xludf.DUMMYFUNCTION("""COMPUTED_VALUE"""),0.2388888888882421)</f>
        <v>0.2388888889</v>
      </c>
      <c r="R282" s="82">
        <f>IFERROR(__xludf.DUMMYFUNCTION("""COMPUTED_VALUE"""),0.19513888889196096)</f>
        <v>0.1951388889</v>
      </c>
      <c r="S282" s="63">
        <f>IFERROR(__xludf.DUMMYFUNCTION("""COMPUTED_VALUE"""),55.41955534288693)</f>
        <v>55.41955534</v>
      </c>
      <c r="T282" s="63">
        <f>IFERROR(__xludf.DUMMYFUNCTION("""COMPUTED_VALUE"""),45.34660504740968)</f>
        <v>45.34660505</v>
      </c>
      <c r="U282" s="138">
        <f>IFERROR(__xludf.DUMMYFUNCTION("""COMPUTED_VALUE"""),547.0)</f>
        <v>547</v>
      </c>
      <c r="V282" s="82">
        <f>IFERROR(__xludf.DUMMYFUNCTION("""COMPUTED_VALUE"""),0.4340277777802031)</f>
        <v>0.4340277778</v>
      </c>
      <c r="W282" s="64">
        <f>IFERROR(__xludf.DUMMYFUNCTION("""COMPUTED_VALUE"""),52.51199999970657)</f>
        <v>52.512</v>
      </c>
      <c r="X282" s="64">
        <f>IFERROR(__xludf.DUMMYFUNCTION("""COMPUTED_VALUE"""),51.39037522469603)</f>
        <v>51.39037522</v>
      </c>
      <c r="Y282" s="114">
        <f>IFERROR(__xludf.DUMMYFUNCTION("""COMPUTED_VALUE"""),0.9240747760929819)</f>
        <v>0.9240747761</v>
      </c>
      <c r="Z282" s="118" t="str">
        <f>IFERROR(__xludf.DUMMYFUNCTION("""COMPUTED_VALUE"""),"")</f>
        <v/>
      </c>
      <c r="AA282" s="118" t="str">
        <f>IFERROR(__xludf.DUMMYFUNCTION("""COMPUTED_VALUE"""),"")</f>
        <v/>
      </c>
      <c r="AB282" s="74"/>
    </row>
    <row r="283">
      <c r="A283" s="109">
        <f>IFERROR(__xludf.DUMMYFUNCTION("""COMPUTED_VALUE"""),45981.435133506944)</f>
        <v>45981.43513</v>
      </c>
      <c r="B283" s="81" t="str">
        <f>IFERROR(__xludf.DUMMYFUNCTION("""COMPUTED_VALUE"""),"Evan Morgan")</f>
        <v>Evan Morgan</v>
      </c>
      <c r="C283" s="74" t="b">
        <f>IFERROR(__xludf.DUMMYFUNCTION("""COMPUTED_VALUE"""),FALSE)</f>
        <v>0</v>
      </c>
      <c r="D283" s="137">
        <f>IFERROR(__xludf.DUMMYFUNCTION("""COMPUTED_VALUE"""),0.29166666666424135)</f>
        <v>0.2916666667</v>
      </c>
      <c r="E283" s="82">
        <f>IFERROR(__xludf.DUMMYFUNCTION("""COMPUTED_VALUE"""),0.14097222222335404)</f>
        <v>0.1409722222</v>
      </c>
      <c r="F283" s="137">
        <f>IFERROR(__xludf.DUMMYFUNCTION("""COMPUTED_VALUE"""),0.4326388888875954)</f>
        <v>0.4326388889</v>
      </c>
      <c r="G283" s="82">
        <f>IFERROR(__xludf.DUMMYFUNCTION("""COMPUTED_VALUE"""),0.14097222222335404)</f>
        <v>0.1409722222</v>
      </c>
      <c r="H283" s="115">
        <f>IFERROR(__xludf.DUMMYFUNCTION("""COMPUTED_VALUE"""),97.0)</f>
        <v>97</v>
      </c>
      <c r="I283" s="112">
        <f>IFERROR(__xludf.DUMMYFUNCTION("""COMPUTED_VALUE"""),28.669950738686076)</f>
        <v>28.66995074</v>
      </c>
      <c r="J283" s="74" t="str">
        <f>IFERROR(__xludf.DUMMYFUNCTION("""COMPUTED_VALUE"""),"Breakfast")</f>
        <v>Breakfast</v>
      </c>
      <c r="K283" s="113">
        <f>IFERROR(__xludf.DUMMYFUNCTION("""COMPUTED_VALUE"""),45981.0)</f>
        <v>45981</v>
      </c>
      <c r="L283" s="74" t="str">
        <f>IFERROR(__xludf.DUMMYFUNCTION("""COMPUTED_VALUE"""),"Thursday")</f>
        <v>Thursday</v>
      </c>
      <c r="M283" s="74" t="str">
        <f>IFERROR(__xludf.DUMMYFUNCTION("""COMPUTED_VALUE"""),"BF")</f>
        <v>BF</v>
      </c>
      <c r="N283" s="114">
        <f>IFERROR(__xludf.DUMMYFUNCTION("""COMPUTED_VALUE"""),1.2142060706220426)</f>
        <v>1.214206071</v>
      </c>
      <c r="O283" s="74" t="str">
        <f>IFERROR(__xludf.DUMMYFUNCTION("""COMPUTED_VALUE"""),"")</f>
        <v/>
      </c>
      <c r="P283" s="74" t="str">
        <f>IFERROR(__xludf.DUMMYFUNCTION("""COMPUTED_VALUE"""),"")</f>
        <v/>
      </c>
      <c r="Q283" s="82" t="str">
        <f>IFERROR(__xludf.DUMMYFUNCTION("""COMPUTED_VALUE"""),"")</f>
        <v/>
      </c>
      <c r="R283" s="82" t="str">
        <f>IFERROR(__xludf.DUMMYFUNCTION("""COMPUTED_VALUE"""),"")</f>
        <v/>
      </c>
      <c r="S283" s="63" t="str">
        <f>IFERROR(__xludf.DUMMYFUNCTION("""COMPUTED_VALUE"""),"")</f>
        <v/>
      </c>
      <c r="T283" s="63" t="str">
        <f>IFERROR(__xludf.DUMMYFUNCTION("""COMPUTED_VALUE"""),"")</f>
        <v/>
      </c>
      <c r="U283" s="138" t="str">
        <f>IFERROR(__xludf.DUMMYFUNCTION("""COMPUTED_VALUE"""),"")</f>
        <v/>
      </c>
      <c r="V283" s="82" t="str">
        <f>IFERROR(__xludf.DUMMYFUNCTION("""COMPUTED_VALUE"""),"")</f>
        <v/>
      </c>
      <c r="W283" s="64" t="str">
        <f>IFERROR(__xludf.DUMMYFUNCTION("""COMPUTED_VALUE"""),"")</f>
        <v/>
      </c>
      <c r="X283" s="64" t="str">
        <f>IFERROR(__xludf.DUMMYFUNCTION("""COMPUTED_VALUE"""),"")</f>
        <v/>
      </c>
      <c r="Y283" s="114" t="str">
        <f>IFERROR(__xludf.DUMMYFUNCTION("""COMPUTED_VALUE"""),"")</f>
        <v/>
      </c>
      <c r="Z283" s="118" t="str">
        <f>IFERROR(__xludf.DUMMYFUNCTION("""COMPUTED_VALUE"""),"")</f>
        <v/>
      </c>
      <c r="AA283" s="118" t="str">
        <f>IFERROR(__xludf.DUMMYFUNCTION("""COMPUTED_VALUE"""),"")</f>
        <v/>
      </c>
      <c r="AB283" s="74"/>
    </row>
    <row r="284">
      <c r="A284" s="109">
        <f>IFERROR(__xludf.DUMMYFUNCTION("""COMPUTED_VALUE"""),45981.56321090278)</f>
        <v>45981.56321</v>
      </c>
      <c r="B284" s="81" t="str">
        <f>IFERROR(__xludf.DUMMYFUNCTION("""COMPUTED_VALUE"""),"Maureen Surgot")</f>
        <v>Maureen Surgot</v>
      </c>
      <c r="C284" s="74" t="b">
        <f>IFERROR(__xludf.DUMMYFUNCTION("""COMPUTED_VALUE"""),FALSE)</f>
        <v>0</v>
      </c>
      <c r="D284" s="137">
        <f>IFERROR(__xludf.DUMMYFUNCTION("""COMPUTED_VALUE"""),0.47916666666424135)</f>
        <v>0.4791666667</v>
      </c>
      <c r="E284" s="82">
        <f>IFERROR(__xludf.DUMMYFUNCTION("""COMPUTED_VALUE"""),0.08333333333575865)</f>
        <v>0.08333333334</v>
      </c>
      <c r="F284" s="137">
        <f>IFERROR(__xludf.DUMMYFUNCTION("""COMPUTED_VALUE"""),0.5625)</f>
        <v>0.5625</v>
      </c>
      <c r="G284" s="82">
        <f>IFERROR(__xludf.DUMMYFUNCTION("""COMPUTED_VALUE"""),0.08333333333575865)</f>
        <v>0.08333333334</v>
      </c>
      <c r="H284" s="115">
        <f>IFERROR(__xludf.DUMMYFUNCTION("""COMPUTED_VALUE"""),116.0)</f>
        <v>116</v>
      </c>
      <c r="I284" s="112">
        <f>IFERROR(__xludf.DUMMYFUNCTION("""COMPUTED_VALUE"""),57.99999999831198)</f>
        <v>58</v>
      </c>
      <c r="J284" s="74" t="str">
        <f>IFERROR(__xludf.DUMMYFUNCTION("""COMPUTED_VALUE"""),"Lunch")</f>
        <v>Lunch</v>
      </c>
      <c r="K284" s="113">
        <f>IFERROR(__xludf.DUMMYFUNCTION("""COMPUTED_VALUE"""),45981.0)</f>
        <v>45981</v>
      </c>
      <c r="L284" s="74" t="str">
        <f>IFERROR(__xludf.DUMMYFUNCTION("""COMPUTED_VALUE"""),"Thursday")</f>
        <v>Thursday</v>
      </c>
      <c r="M284" s="74" t="str">
        <f>IFERROR(__xludf.DUMMYFUNCTION("""COMPUTED_VALUE"""),"MF")</f>
        <v>MF</v>
      </c>
      <c r="N284" s="114">
        <f>IFERROR(__xludf.DUMMYFUNCTION("""COMPUTED_VALUE"""),1.206100907397904)</f>
        <v>1.206100907</v>
      </c>
      <c r="O284" s="74" t="str">
        <f>IFERROR(__xludf.DUMMYFUNCTION("""COMPUTED_VALUE"""),"")</f>
        <v/>
      </c>
      <c r="P284" s="74" t="str">
        <f>IFERROR(__xludf.DUMMYFUNCTION("""COMPUTED_VALUE"""),"")</f>
        <v/>
      </c>
      <c r="Q284" s="82" t="str">
        <f>IFERROR(__xludf.DUMMYFUNCTION("""COMPUTED_VALUE"""),"")</f>
        <v/>
      </c>
      <c r="R284" s="82" t="str">
        <f>IFERROR(__xludf.DUMMYFUNCTION("""COMPUTED_VALUE"""),"")</f>
        <v/>
      </c>
      <c r="S284" s="63" t="str">
        <f>IFERROR(__xludf.DUMMYFUNCTION("""COMPUTED_VALUE"""),"")</f>
        <v/>
      </c>
      <c r="T284" s="63" t="str">
        <f>IFERROR(__xludf.DUMMYFUNCTION("""COMPUTED_VALUE"""),"")</f>
        <v/>
      </c>
      <c r="U284" s="138" t="str">
        <f>IFERROR(__xludf.DUMMYFUNCTION("""COMPUTED_VALUE"""),"")</f>
        <v/>
      </c>
      <c r="V284" s="82" t="str">
        <f>IFERROR(__xludf.DUMMYFUNCTION("""COMPUTED_VALUE"""),"")</f>
        <v/>
      </c>
      <c r="W284" s="64" t="str">
        <f>IFERROR(__xludf.DUMMYFUNCTION("""COMPUTED_VALUE"""),"")</f>
        <v/>
      </c>
      <c r="X284" s="64" t="str">
        <f>IFERROR(__xludf.DUMMYFUNCTION("""COMPUTED_VALUE"""),"")</f>
        <v/>
      </c>
      <c r="Y284" s="114" t="str">
        <f>IFERROR(__xludf.DUMMYFUNCTION("""COMPUTED_VALUE"""),"")</f>
        <v/>
      </c>
      <c r="Z284" s="118" t="str">
        <f>IFERROR(__xludf.DUMMYFUNCTION("""COMPUTED_VALUE"""),"")</f>
        <v/>
      </c>
      <c r="AA284" s="118" t="str">
        <f>IFERROR(__xludf.DUMMYFUNCTION("""COMPUTED_VALUE"""),"")</f>
        <v/>
      </c>
      <c r="AB284" s="74"/>
    </row>
    <row r="285">
      <c r="A285" s="109">
        <f>IFERROR(__xludf.DUMMYFUNCTION("""COMPUTED_VALUE"""),45981.57200241898)</f>
        <v>45981.572</v>
      </c>
      <c r="B285" s="81" t="str">
        <f>IFERROR(__xludf.DUMMYFUNCTION("""COMPUTED_VALUE"""),"Greta Traynor")</f>
        <v>Greta Traynor</v>
      </c>
      <c r="C285" s="74" t="b">
        <f>IFERROR(__xludf.DUMMYFUNCTION("""COMPUTED_VALUE"""),FALSE)</f>
        <v>0</v>
      </c>
      <c r="D285" s="137">
        <f>IFERROR(__xludf.DUMMYFUNCTION("""COMPUTED_VALUE"""),0.5194444444423425)</f>
        <v>0.5194444444</v>
      </c>
      <c r="E285" s="82">
        <f>IFERROR(__xludf.DUMMYFUNCTION("""COMPUTED_VALUE"""),0.05208333333575865)</f>
        <v>0.05208333334</v>
      </c>
      <c r="F285" s="137">
        <f>IFERROR(__xludf.DUMMYFUNCTION("""COMPUTED_VALUE"""),0.5715277777781012)</f>
        <v>0.5715277778</v>
      </c>
      <c r="G285" s="82">
        <f>IFERROR(__xludf.DUMMYFUNCTION("""COMPUTED_VALUE"""),0.05208333333575865)</f>
        <v>0.05208333334</v>
      </c>
      <c r="H285" s="115">
        <f>IFERROR(__xludf.DUMMYFUNCTION("""COMPUTED_VALUE"""),57.0)</f>
        <v>57</v>
      </c>
      <c r="I285" s="112">
        <f>IFERROR(__xludf.DUMMYFUNCTION("""COMPUTED_VALUE"""),45.59999999787659)</f>
        <v>45.6</v>
      </c>
      <c r="J285" s="74" t="str">
        <f>IFERROR(__xludf.DUMMYFUNCTION("""COMPUTED_VALUE"""),"Lunch")</f>
        <v>Lunch</v>
      </c>
      <c r="K285" s="113">
        <f>IFERROR(__xludf.DUMMYFUNCTION("""COMPUTED_VALUE"""),45981.0)</f>
        <v>45981</v>
      </c>
      <c r="L285" s="74" t="str">
        <f>IFERROR(__xludf.DUMMYFUNCTION("""COMPUTED_VALUE"""),"Thursday")</f>
        <v>Thursday</v>
      </c>
      <c r="M285" s="74" t="str">
        <f>IFERROR(__xludf.DUMMYFUNCTION("""COMPUTED_VALUE"""),"BF")</f>
        <v>BF</v>
      </c>
      <c r="N285" s="114">
        <f>IFERROR(__xludf.DUMMYFUNCTION("""COMPUTED_VALUE"""),1.1743275758268827)</f>
        <v>1.174327576</v>
      </c>
      <c r="O285" s="74" t="str">
        <f>IFERROR(__xludf.DUMMYFUNCTION("""COMPUTED_VALUE"""),"")</f>
        <v/>
      </c>
      <c r="P285" s="74" t="str">
        <f>IFERROR(__xludf.DUMMYFUNCTION("""COMPUTED_VALUE"""),"")</f>
        <v/>
      </c>
      <c r="Q285" s="82" t="str">
        <f>IFERROR(__xludf.DUMMYFUNCTION("""COMPUTED_VALUE"""),"")</f>
        <v/>
      </c>
      <c r="R285" s="82" t="str">
        <f>IFERROR(__xludf.DUMMYFUNCTION("""COMPUTED_VALUE"""),"")</f>
        <v/>
      </c>
      <c r="S285" s="63" t="str">
        <f>IFERROR(__xludf.DUMMYFUNCTION("""COMPUTED_VALUE"""),"")</f>
        <v/>
      </c>
      <c r="T285" s="63" t="str">
        <f>IFERROR(__xludf.DUMMYFUNCTION("""COMPUTED_VALUE"""),"")</f>
        <v/>
      </c>
      <c r="U285" s="138" t="str">
        <f>IFERROR(__xludf.DUMMYFUNCTION("""COMPUTED_VALUE"""),"")</f>
        <v/>
      </c>
      <c r="V285" s="82" t="str">
        <f>IFERROR(__xludf.DUMMYFUNCTION("""COMPUTED_VALUE"""),"")</f>
        <v/>
      </c>
      <c r="W285" s="64" t="str">
        <f>IFERROR(__xludf.DUMMYFUNCTION("""COMPUTED_VALUE"""),"")</f>
        <v/>
      </c>
      <c r="X285" s="64" t="str">
        <f>IFERROR(__xludf.DUMMYFUNCTION("""COMPUTED_VALUE"""),"")</f>
        <v/>
      </c>
      <c r="Y285" s="114" t="str">
        <f>IFERROR(__xludf.DUMMYFUNCTION("""COMPUTED_VALUE"""),"")</f>
        <v/>
      </c>
      <c r="Z285" s="118" t="str">
        <f>IFERROR(__xludf.DUMMYFUNCTION("""COMPUTED_VALUE"""),"")</f>
        <v/>
      </c>
      <c r="AA285" s="118" t="str">
        <f>IFERROR(__xludf.DUMMYFUNCTION("""COMPUTED_VALUE"""),"")</f>
        <v/>
      </c>
      <c r="AB285" s="74"/>
    </row>
    <row r="286">
      <c r="A286" s="109">
        <f>IFERROR(__xludf.DUMMYFUNCTION("""COMPUTED_VALUE"""),45981.586221527774)</f>
        <v>45981.58622</v>
      </c>
      <c r="B286" s="81" t="str">
        <f>IFERROR(__xludf.DUMMYFUNCTION("""COMPUTED_VALUE"""),"Brynn Hornig")</f>
        <v>Brynn Hornig</v>
      </c>
      <c r="C286" s="74" t="b">
        <f>IFERROR(__xludf.DUMMYFUNCTION("""COMPUTED_VALUE"""),FALSE)</f>
        <v>0</v>
      </c>
      <c r="D286" s="137">
        <f>IFERROR(__xludf.DUMMYFUNCTION("""COMPUTED_VALUE"""),0.5625)</f>
        <v>0.5625</v>
      </c>
      <c r="E286" s="82">
        <f>IFERROR(__xludf.DUMMYFUNCTION("""COMPUTED_VALUE"""),0.022916666668606922)</f>
        <v>0.02291666667</v>
      </c>
      <c r="F286" s="137">
        <f>IFERROR(__xludf.DUMMYFUNCTION("""COMPUTED_VALUE"""),0.5854166666686069)</f>
        <v>0.5854166667</v>
      </c>
      <c r="G286" s="82">
        <f>IFERROR(__xludf.DUMMYFUNCTION("""COMPUTED_VALUE"""),0.07291666666424135)</f>
        <v>0.07291666666</v>
      </c>
      <c r="H286" s="115">
        <f>IFERROR(__xludf.DUMMYFUNCTION("""COMPUTED_VALUE"""),37.0)</f>
        <v>37</v>
      </c>
      <c r="I286" s="112">
        <f>IFERROR(__xludf.DUMMYFUNCTION("""COMPUTED_VALUE"""),21.142857143560388)</f>
        <v>21.14285714</v>
      </c>
      <c r="J286" s="74" t="str">
        <f>IFERROR(__xludf.DUMMYFUNCTION("""COMPUTED_VALUE"""),"Lunch")</f>
        <v>Lunch</v>
      </c>
      <c r="K286" s="113">
        <f>IFERROR(__xludf.DUMMYFUNCTION("""COMPUTED_VALUE"""),45981.0)</f>
        <v>45981</v>
      </c>
      <c r="L286" s="74" t="str">
        <f>IFERROR(__xludf.DUMMYFUNCTION("""COMPUTED_VALUE"""),"Thursday")</f>
        <v>Thursday</v>
      </c>
      <c r="M286" s="74" t="str">
        <f>IFERROR(__xludf.DUMMYFUNCTION("""COMPUTED_VALUE"""),"MF")</f>
        <v>MF</v>
      </c>
      <c r="N286" s="114">
        <f>IFERROR(__xludf.DUMMYFUNCTION("""COMPUTED_VALUE"""),0.4396623997685276)</f>
        <v>0.4396623998</v>
      </c>
      <c r="O286" s="74" t="str">
        <f>IFERROR(__xludf.DUMMYFUNCTION("""COMPUTED_VALUE"""),"")</f>
        <v/>
      </c>
      <c r="P286" s="74" t="str">
        <f>IFERROR(__xludf.DUMMYFUNCTION("""COMPUTED_VALUE"""),"")</f>
        <v/>
      </c>
      <c r="Q286" s="82" t="str">
        <f>IFERROR(__xludf.DUMMYFUNCTION("""COMPUTED_VALUE"""),"")</f>
        <v/>
      </c>
      <c r="R286" s="82" t="str">
        <f>IFERROR(__xludf.DUMMYFUNCTION("""COMPUTED_VALUE"""),"")</f>
        <v/>
      </c>
      <c r="S286" s="63" t="str">
        <f>IFERROR(__xludf.DUMMYFUNCTION("""COMPUTED_VALUE"""),"")</f>
        <v/>
      </c>
      <c r="T286" s="63" t="str">
        <f>IFERROR(__xludf.DUMMYFUNCTION("""COMPUTED_VALUE"""),"")</f>
        <v/>
      </c>
      <c r="U286" s="138" t="str">
        <f>IFERROR(__xludf.DUMMYFUNCTION("""COMPUTED_VALUE"""),"")</f>
        <v/>
      </c>
      <c r="V286" s="82" t="str">
        <f>IFERROR(__xludf.DUMMYFUNCTION("""COMPUTED_VALUE"""),"")</f>
        <v/>
      </c>
      <c r="W286" s="64" t="str">
        <f>IFERROR(__xludf.DUMMYFUNCTION("""COMPUTED_VALUE"""),"")</f>
        <v/>
      </c>
      <c r="X286" s="64" t="str">
        <f>IFERROR(__xludf.DUMMYFUNCTION("""COMPUTED_VALUE"""),"")</f>
        <v/>
      </c>
      <c r="Y286" s="114" t="str">
        <f>IFERROR(__xludf.DUMMYFUNCTION("""COMPUTED_VALUE"""),"")</f>
        <v/>
      </c>
      <c r="Z286" s="118" t="str">
        <f>IFERROR(__xludf.DUMMYFUNCTION("""COMPUTED_VALUE"""),"")</f>
        <v/>
      </c>
      <c r="AA286" s="118" t="str">
        <f>IFERROR(__xludf.DUMMYFUNCTION("""COMPUTED_VALUE"""),"")</f>
        <v/>
      </c>
      <c r="AB286" s="74"/>
    </row>
    <row r="287">
      <c r="A287" s="109">
        <f>IFERROR(__xludf.DUMMYFUNCTION("""COMPUTED_VALUE"""),45981.63330726852)</f>
        <v>45981.63331</v>
      </c>
      <c r="B287" s="81" t="str">
        <f>IFERROR(__xludf.DUMMYFUNCTION("""COMPUTED_VALUE"""),"Brynn Hornig")</f>
        <v>Brynn Hornig</v>
      </c>
      <c r="C287" s="74" t="b">
        <f>IFERROR(__xludf.DUMMYFUNCTION("""COMPUTED_VALUE"""),TRUE)</f>
        <v>1</v>
      </c>
      <c r="D287" s="137">
        <f>IFERROR(__xludf.DUMMYFUNCTION("""COMPUTED_VALUE"""),0.5854166666686069)</f>
        <v>0.5854166667</v>
      </c>
      <c r="E287" s="82">
        <f>IFERROR(__xludf.DUMMYFUNCTION("""COMPUTED_VALUE"""),0.049999999995634425)</f>
        <v>0.05</v>
      </c>
      <c r="F287" s="137">
        <f>IFERROR(__xludf.DUMMYFUNCTION("""COMPUTED_VALUE"""),0.6354166666642413)</f>
        <v>0.6354166667</v>
      </c>
      <c r="G287" s="82" t="str">
        <f>IFERROR(__xludf.DUMMYFUNCTION("""COMPUTED_VALUE"""),"")</f>
        <v/>
      </c>
      <c r="H287" s="115">
        <f>IFERROR(__xludf.DUMMYFUNCTION("""COMPUTED_VALUE"""),48.0)</f>
        <v>48</v>
      </c>
      <c r="I287" s="112" t="str">
        <f>IFERROR(__xludf.DUMMYFUNCTION("""COMPUTED_VALUE"""),"")</f>
        <v/>
      </c>
      <c r="J287" s="74" t="str">
        <f>IFERROR(__xludf.DUMMYFUNCTION("""COMPUTED_VALUE"""),"Lunch")</f>
        <v>Lunch</v>
      </c>
      <c r="K287" s="113">
        <f>IFERROR(__xludf.DUMMYFUNCTION("""COMPUTED_VALUE"""),45981.0)</f>
        <v>45981</v>
      </c>
      <c r="L287" s="74" t="str">
        <f>IFERROR(__xludf.DUMMYFUNCTION("""COMPUTED_VALUE"""),"Thursday")</f>
        <v>Thursday</v>
      </c>
      <c r="M287" s="74" t="str">
        <f>IFERROR(__xludf.DUMMYFUNCTION("""COMPUTED_VALUE"""),"MF")</f>
        <v>MF</v>
      </c>
      <c r="N287" s="114" t="str">
        <f>IFERROR(__xludf.DUMMYFUNCTION("""COMPUTED_VALUE"""),"")</f>
        <v/>
      </c>
      <c r="O287" s="74" t="str">
        <f>IFERROR(__xludf.DUMMYFUNCTION("""COMPUTED_VALUE"""),"")</f>
        <v/>
      </c>
      <c r="P287" s="74" t="str">
        <f>IFERROR(__xludf.DUMMYFUNCTION("""COMPUTED_VALUE"""),"")</f>
        <v/>
      </c>
      <c r="Q287" s="82" t="str">
        <f>IFERROR(__xludf.DUMMYFUNCTION("""COMPUTED_VALUE"""),"")</f>
        <v/>
      </c>
      <c r="R287" s="82" t="str">
        <f>IFERROR(__xludf.DUMMYFUNCTION("""COMPUTED_VALUE"""),"")</f>
        <v/>
      </c>
      <c r="S287" s="63" t="str">
        <f>IFERROR(__xludf.DUMMYFUNCTION("""COMPUTED_VALUE"""),"")</f>
        <v/>
      </c>
      <c r="T287" s="63" t="str">
        <f>IFERROR(__xludf.DUMMYFUNCTION("""COMPUTED_VALUE"""),"")</f>
        <v/>
      </c>
      <c r="U287" s="138" t="str">
        <f>IFERROR(__xludf.DUMMYFUNCTION("""COMPUTED_VALUE"""),"")</f>
        <v/>
      </c>
      <c r="V287" s="82" t="str">
        <f>IFERROR(__xludf.DUMMYFUNCTION("""COMPUTED_VALUE"""),"")</f>
        <v/>
      </c>
      <c r="W287" s="64" t="str">
        <f>IFERROR(__xludf.DUMMYFUNCTION("""COMPUTED_VALUE"""),"")</f>
        <v/>
      </c>
      <c r="X287" s="64" t="str">
        <f>IFERROR(__xludf.DUMMYFUNCTION("""COMPUTED_VALUE"""),"")</f>
        <v/>
      </c>
      <c r="Y287" s="114" t="str">
        <f>IFERROR(__xludf.DUMMYFUNCTION("""COMPUTED_VALUE"""),"")</f>
        <v/>
      </c>
      <c r="Z287" s="118" t="str">
        <f>IFERROR(__xludf.DUMMYFUNCTION("""COMPUTED_VALUE"""),"")</f>
        <v/>
      </c>
      <c r="AA287" s="118" t="str">
        <f>IFERROR(__xludf.DUMMYFUNCTION("""COMPUTED_VALUE"""),"")</f>
        <v/>
      </c>
      <c r="AB287" s="74"/>
    </row>
    <row r="288">
      <c r="A288" s="109">
        <f>IFERROR(__xludf.DUMMYFUNCTION("""COMPUTED_VALUE"""),45981.65510605324)</f>
        <v>45981.65511</v>
      </c>
      <c r="B288" s="81" t="str">
        <f>IFERROR(__xludf.DUMMYFUNCTION("""COMPUTED_VALUE"""),"Emmett Khan")</f>
        <v>Emmett Khan</v>
      </c>
      <c r="C288" s="74" t="b">
        <f>IFERROR(__xludf.DUMMYFUNCTION("""COMPUTED_VALUE"""),FALSE)</f>
        <v>0</v>
      </c>
      <c r="D288" s="137">
        <f>IFERROR(__xludf.DUMMYFUNCTION("""COMPUTED_VALUE"""),0.5833333333357587)</f>
        <v>0.5833333333</v>
      </c>
      <c r="E288" s="82">
        <f>IFERROR(__xludf.DUMMYFUNCTION("""COMPUTED_VALUE"""),0.07291666666424135)</f>
        <v>0.07291666666</v>
      </c>
      <c r="F288" s="137">
        <f>IFERROR(__xludf.DUMMYFUNCTION("""COMPUTED_VALUE"""),0.65625)</f>
        <v>0.65625</v>
      </c>
      <c r="G288" s="82">
        <f>IFERROR(__xludf.DUMMYFUNCTION("""COMPUTED_VALUE"""),0.07291666666424135)</f>
        <v>0.07291666666</v>
      </c>
      <c r="H288" s="115">
        <f>IFERROR(__xludf.DUMMYFUNCTION("""COMPUTED_VALUE"""),45.0)</f>
        <v>45</v>
      </c>
      <c r="I288" s="112">
        <f>IFERROR(__xludf.DUMMYFUNCTION("""COMPUTED_VALUE"""),25.71428571514101)</f>
        <v>25.71428572</v>
      </c>
      <c r="J288" s="74" t="str">
        <f>IFERROR(__xludf.DUMMYFUNCTION("""COMPUTED_VALUE"""),"Lunch")</f>
        <v>Lunch</v>
      </c>
      <c r="K288" s="113">
        <f>IFERROR(__xludf.DUMMYFUNCTION("""COMPUTED_VALUE"""),45981.0)</f>
        <v>45981</v>
      </c>
      <c r="L288" s="74" t="str">
        <f>IFERROR(__xludf.DUMMYFUNCTION("""COMPUTED_VALUE"""),"Thursday")</f>
        <v>Thursday</v>
      </c>
      <c r="M288" s="74" t="str">
        <f>IFERROR(__xludf.DUMMYFUNCTION("""COMPUTED_VALUE"""),"BF")</f>
        <v>BF</v>
      </c>
      <c r="N288" s="114">
        <f>IFERROR(__xludf.DUMMYFUNCTION("""COMPUTED_VALUE"""),0.6622147984514811)</f>
        <v>0.6622147985</v>
      </c>
      <c r="O288" s="74" t="str">
        <f>IFERROR(__xludf.DUMMYFUNCTION("""COMPUTED_VALUE"""),"")</f>
        <v/>
      </c>
      <c r="P288" s="74" t="str">
        <f>IFERROR(__xludf.DUMMYFUNCTION("""COMPUTED_VALUE"""),"")</f>
        <v/>
      </c>
      <c r="Q288" s="82" t="str">
        <f>IFERROR(__xludf.DUMMYFUNCTION("""COMPUTED_VALUE"""),"")</f>
        <v/>
      </c>
      <c r="R288" s="82" t="str">
        <f>IFERROR(__xludf.DUMMYFUNCTION("""COMPUTED_VALUE"""),"")</f>
        <v/>
      </c>
      <c r="S288" s="63" t="str">
        <f>IFERROR(__xludf.DUMMYFUNCTION("""COMPUTED_VALUE"""),"")</f>
        <v/>
      </c>
      <c r="T288" s="63" t="str">
        <f>IFERROR(__xludf.DUMMYFUNCTION("""COMPUTED_VALUE"""),"")</f>
        <v/>
      </c>
      <c r="U288" s="138" t="str">
        <f>IFERROR(__xludf.DUMMYFUNCTION("""COMPUTED_VALUE"""),"")</f>
        <v/>
      </c>
      <c r="V288" s="82" t="str">
        <f>IFERROR(__xludf.DUMMYFUNCTION("""COMPUTED_VALUE"""),"")</f>
        <v/>
      </c>
      <c r="W288" s="64" t="str">
        <f>IFERROR(__xludf.DUMMYFUNCTION("""COMPUTED_VALUE"""),"")</f>
        <v/>
      </c>
      <c r="X288" s="64" t="str">
        <f>IFERROR(__xludf.DUMMYFUNCTION("""COMPUTED_VALUE"""),"")</f>
        <v/>
      </c>
      <c r="Y288" s="114" t="str">
        <f>IFERROR(__xludf.DUMMYFUNCTION("""COMPUTED_VALUE"""),"")</f>
        <v/>
      </c>
      <c r="Z288" s="118" t="str">
        <f>IFERROR(__xludf.DUMMYFUNCTION("""COMPUTED_VALUE"""),"")</f>
        <v/>
      </c>
      <c r="AA288" s="118" t="str">
        <f>IFERROR(__xludf.DUMMYFUNCTION("""COMPUTED_VALUE"""),"")</f>
        <v/>
      </c>
      <c r="AB288" s="74"/>
    </row>
    <row r="289">
      <c r="A289" s="109">
        <f>IFERROR(__xludf.DUMMYFUNCTION("""COMPUTED_VALUE"""),45981.7667913426)</f>
        <v>45981.76679</v>
      </c>
      <c r="B289" s="81" t="str">
        <f>IFERROR(__xludf.DUMMYFUNCTION("""COMPUTED_VALUE"""),"Elliott Haber")</f>
        <v>Elliott Haber</v>
      </c>
      <c r="C289" s="74" t="b">
        <f>IFERROR(__xludf.DUMMYFUNCTION("""COMPUTED_VALUE"""),FALSE)</f>
        <v>0</v>
      </c>
      <c r="D289" s="137">
        <f>IFERROR(__xludf.DUMMYFUNCTION("""COMPUTED_VALUE"""),0.6701388888888888)</f>
        <v>0.6701388889</v>
      </c>
      <c r="E289" s="82">
        <f>IFERROR(__xludf.DUMMYFUNCTION("""COMPUTED_VALUE"""),0.09236111110820078)</f>
        <v>0.09236111111</v>
      </c>
      <c r="F289" s="137">
        <f>IFERROR(__xludf.DUMMYFUNCTION("""COMPUTED_VALUE"""),0.7624999999970896)</f>
        <v>0.7625</v>
      </c>
      <c r="G289" s="82">
        <f>IFERROR(__xludf.DUMMYFUNCTION("""COMPUTED_VALUE"""),0.09236111110820078)</f>
        <v>0.09236111111</v>
      </c>
      <c r="H289" s="115">
        <f>IFERROR(__xludf.DUMMYFUNCTION("""COMPUTED_VALUE"""),128.0)</f>
        <v>128</v>
      </c>
      <c r="I289" s="112">
        <f>IFERROR(__xludf.DUMMYFUNCTION("""COMPUTED_VALUE"""),57.74436090407519)</f>
        <v>57.7443609</v>
      </c>
      <c r="J289" s="74" t="str">
        <f>IFERROR(__xludf.DUMMYFUNCTION("""COMPUTED_VALUE"""),"Dinner")</f>
        <v>Dinner</v>
      </c>
      <c r="K289" s="113">
        <f>IFERROR(__xludf.DUMMYFUNCTION("""COMPUTED_VALUE"""),45981.0)</f>
        <v>45981</v>
      </c>
      <c r="L289" s="74" t="str">
        <f>IFERROR(__xludf.DUMMYFUNCTION("""COMPUTED_VALUE"""),"Thursday")</f>
        <v>Thursday</v>
      </c>
      <c r="M289" s="74" t="str">
        <f>IFERROR(__xludf.DUMMYFUNCTION("""COMPUTED_VALUE"""),"MF")</f>
        <v>MF</v>
      </c>
      <c r="N289" s="114">
        <f>IFERROR(__xludf.DUMMYFUNCTION("""COMPUTED_VALUE"""),1.13785183216099)</f>
        <v>1.137851832</v>
      </c>
      <c r="O289" s="74" t="str">
        <f>IFERROR(__xludf.DUMMYFUNCTION("""COMPUTED_VALUE"""),"")</f>
        <v/>
      </c>
      <c r="P289" s="74" t="str">
        <f>IFERROR(__xludf.DUMMYFUNCTION("""COMPUTED_VALUE"""),"")</f>
        <v/>
      </c>
      <c r="Q289" s="82" t="str">
        <f>IFERROR(__xludf.DUMMYFUNCTION("""COMPUTED_VALUE"""),"")</f>
        <v/>
      </c>
      <c r="R289" s="82" t="str">
        <f>IFERROR(__xludf.DUMMYFUNCTION("""COMPUTED_VALUE"""),"")</f>
        <v/>
      </c>
      <c r="S289" s="63" t="str">
        <f>IFERROR(__xludf.DUMMYFUNCTION("""COMPUTED_VALUE"""),"")</f>
        <v/>
      </c>
      <c r="T289" s="63" t="str">
        <f>IFERROR(__xludf.DUMMYFUNCTION("""COMPUTED_VALUE"""),"")</f>
        <v/>
      </c>
      <c r="U289" s="138" t="str">
        <f>IFERROR(__xludf.DUMMYFUNCTION("""COMPUTED_VALUE"""),"")</f>
        <v/>
      </c>
      <c r="V289" s="82" t="str">
        <f>IFERROR(__xludf.DUMMYFUNCTION("""COMPUTED_VALUE"""),"")</f>
        <v/>
      </c>
      <c r="W289" s="64" t="str">
        <f>IFERROR(__xludf.DUMMYFUNCTION("""COMPUTED_VALUE"""),"")</f>
        <v/>
      </c>
      <c r="X289" s="64" t="str">
        <f>IFERROR(__xludf.DUMMYFUNCTION("""COMPUTED_VALUE"""),"")</f>
        <v/>
      </c>
      <c r="Y289" s="114" t="str">
        <f>IFERROR(__xludf.DUMMYFUNCTION("""COMPUTED_VALUE"""),"")</f>
        <v/>
      </c>
      <c r="Z289" s="118" t="str">
        <f>IFERROR(__xludf.DUMMYFUNCTION("""COMPUTED_VALUE"""),"")</f>
        <v/>
      </c>
      <c r="AA289" s="118" t="str">
        <f>IFERROR(__xludf.DUMMYFUNCTION("""COMPUTED_VALUE"""),"")</f>
        <v/>
      </c>
      <c r="AB289" s="74"/>
    </row>
    <row r="290">
      <c r="A290" s="109">
        <f>IFERROR(__xludf.DUMMYFUNCTION("""COMPUTED_VALUE"""),45981.76870731481)</f>
        <v>45981.76871</v>
      </c>
      <c r="B290" s="81" t="str">
        <f>IFERROR(__xludf.DUMMYFUNCTION("""COMPUTED_VALUE"""),"Emmett Khan")</f>
        <v>Emmett Khan</v>
      </c>
      <c r="C290" s="74" t="b">
        <f>IFERROR(__xludf.DUMMYFUNCTION("""COMPUTED_VALUE"""),FALSE)</f>
        <v>0</v>
      </c>
      <c r="D290" s="137">
        <f>IFERROR(__xludf.DUMMYFUNCTION("""COMPUTED_VALUE"""),0.6875)</f>
        <v>0.6875</v>
      </c>
      <c r="E290" s="82">
        <f>IFERROR(__xludf.DUMMYFUNCTION("""COMPUTED_VALUE"""),0.08333333333575865)</f>
        <v>0.08333333334</v>
      </c>
      <c r="F290" s="137">
        <f>IFERROR(__xludf.DUMMYFUNCTION("""COMPUTED_VALUE"""),0.7708333333357587)</f>
        <v>0.7708333333</v>
      </c>
      <c r="G290" s="82">
        <f>IFERROR(__xludf.DUMMYFUNCTION("""COMPUTED_VALUE"""),0.08333333333575865)</f>
        <v>0.08333333334</v>
      </c>
      <c r="H290" s="115">
        <f>IFERROR(__xludf.DUMMYFUNCTION("""COMPUTED_VALUE"""),127.0)</f>
        <v>127</v>
      </c>
      <c r="I290" s="112">
        <f>IFERROR(__xludf.DUMMYFUNCTION("""COMPUTED_VALUE"""),63.49999999815191)</f>
        <v>63.5</v>
      </c>
      <c r="J290" s="74" t="str">
        <f>IFERROR(__xludf.DUMMYFUNCTION("""COMPUTED_VALUE"""),"Dinner")</f>
        <v>Dinner</v>
      </c>
      <c r="K290" s="113">
        <f>IFERROR(__xludf.DUMMYFUNCTION("""COMPUTED_VALUE"""),45981.0)</f>
        <v>45981</v>
      </c>
      <c r="L290" s="74" t="str">
        <f>IFERROR(__xludf.DUMMYFUNCTION("""COMPUTED_VALUE"""),"Thursday")</f>
        <v>Thursday</v>
      </c>
      <c r="M290" s="74" t="str">
        <f>IFERROR(__xludf.DUMMYFUNCTION("""COMPUTED_VALUE"""),"BF")</f>
        <v>BF</v>
      </c>
      <c r="N290" s="114">
        <f>IFERROR(__xludf.DUMMYFUNCTION("""COMPUTED_VALUE"""),1.4985787213697777)</f>
        <v>1.498578721</v>
      </c>
      <c r="O290" s="74" t="str">
        <f>IFERROR(__xludf.DUMMYFUNCTION("""COMPUTED_VALUE"""),"")</f>
        <v/>
      </c>
      <c r="P290" s="74" t="str">
        <f>IFERROR(__xludf.DUMMYFUNCTION("""COMPUTED_VALUE"""),"")</f>
        <v/>
      </c>
      <c r="Q290" s="82" t="str">
        <f>IFERROR(__xludf.DUMMYFUNCTION("""COMPUTED_VALUE"""),"")</f>
        <v/>
      </c>
      <c r="R290" s="82" t="str">
        <f>IFERROR(__xludf.DUMMYFUNCTION("""COMPUTED_VALUE"""),"")</f>
        <v/>
      </c>
      <c r="S290" s="63" t="str">
        <f>IFERROR(__xludf.DUMMYFUNCTION("""COMPUTED_VALUE"""),"")</f>
        <v/>
      </c>
      <c r="T290" s="63" t="str">
        <f>IFERROR(__xludf.DUMMYFUNCTION("""COMPUTED_VALUE"""),"")</f>
        <v/>
      </c>
      <c r="U290" s="138" t="str">
        <f>IFERROR(__xludf.DUMMYFUNCTION("""COMPUTED_VALUE"""),"")</f>
        <v/>
      </c>
      <c r="V290" s="82" t="str">
        <f>IFERROR(__xludf.DUMMYFUNCTION("""COMPUTED_VALUE"""),"")</f>
        <v/>
      </c>
      <c r="W290" s="64" t="str">
        <f>IFERROR(__xludf.DUMMYFUNCTION("""COMPUTED_VALUE"""),"")</f>
        <v/>
      </c>
      <c r="X290" s="64" t="str">
        <f>IFERROR(__xludf.DUMMYFUNCTION("""COMPUTED_VALUE"""),"")</f>
        <v/>
      </c>
      <c r="Y290" s="114" t="str">
        <f>IFERROR(__xludf.DUMMYFUNCTION("""COMPUTED_VALUE"""),"")</f>
        <v/>
      </c>
      <c r="Z290" s="118" t="str">
        <f>IFERROR(__xludf.DUMMYFUNCTION("""COMPUTED_VALUE"""),"")</f>
        <v/>
      </c>
      <c r="AA290" s="118" t="str">
        <f>IFERROR(__xludf.DUMMYFUNCTION("""COMPUTED_VALUE"""),"")</f>
        <v/>
      </c>
      <c r="AB290" s="74"/>
    </row>
    <row r="291">
      <c r="A291" s="109">
        <f>IFERROR(__xludf.DUMMYFUNCTION("""COMPUTED_VALUE"""),45981.89256600694)</f>
        <v>45981.89257</v>
      </c>
      <c r="B291" s="81" t="str">
        <f>IFERROR(__xludf.DUMMYFUNCTION("""COMPUTED_VALUE"""),"Elliott Haber")</f>
        <v>Elliott Haber</v>
      </c>
      <c r="C291" s="74" t="b">
        <f>IFERROR(__xludf.DUMMYFUNCTION("""COMPUTED_VALUE"""),FALSE)</f>
        <v>0</v>
      </c>
      <c r="D291" s="137">
        <f>IFERROR(__xludf.DUMMYFUNCTION("""COMPUTED_VALUE"""),0.7666666666666667)</f>
        <v>0.7666666667</v>
      </c>
      <c r="E291" s="82">
        <f>IFERROR(__xludf.DUMMYFUNCTION("""COMPUTED_VALUE"""),0.10833333333333328)</f>
        <v>0.1083333333</v>
      </c>
      <c r="F291" s="137">
        <f>IFERROR(__xludf.DUMMYFUNCTION("""COMPUTED_VALUE"""),0.875)</f>
        <v>0.875</v>
      </c>
      <c r="G291" s="82">
        <f>IFERROR(__xludf.DUMMYFUNCTION("""COMPUTED_VALUE"""),0.10833333333333328)</f>
        <v>0.1083333333</v>
      </c>
      <c r="H291" s="115">
        <f>IFERROR(__xludf.DUMMYFUNCTION("""COMPUTED_VALUE"""),141.0)</f>
        <v>141</v>
      </c>
      <c r="I291" s="112">
        <f>IFERROR(__xludf.DUMMYFUNCTION("""COMPUTED_VALUE"""),54.230769230769255)</f>
        <v>54.23076923</v>
      </c>
      <c r="J291" s="74" t="str">
        <f>IFERROR(__xludf.DUMMYFUNCTION("""COMPUTED_VALUE"""),"Dinner")</f>
        <v>Dinner</v>
      </c>
      <c r="K291" s="113">
        <f>IFERROR(__xludf.DUMMYFUNCTION("""COMPUTED_VALUE"""),45981.0)</f>
        <v>45981</v>
      </c>
      <c r="L291" s="74" t="str">
        <f>IFERROR(__xludf.DUMMYFUNCTION("""COMPUTED_VALUE"""),"Thursday")</f>
        <v>Thursday</v>
      </c>
      <c r="M291" s="74" t="str">
        <f>IFERROR(__xludf.DUMMYFUNCTION("""COMPUTED_VALUE"""),"MF")</f>
        <v>MF</v>
      </c>
      <c r="N291" s="114">
        <f>IFERROR(__xludf.DUMMYFUNCTION("""COMPUTED_VALUE"""),1.0686165568831472)</f>
        <v>1.068616557</v>
      </c>
      <c r="O291" s="74">
        <f>IFERROR(__xludf.DUMMYFUNCTION("""COMPUTED_VALUE"""),470.0)</f>
        <v>470</v>
      </c>
      <c r="P291" s="74">
        <f>IFERROR(__xludf.DUMMYFUNCTION("""COMPUTED_VALUE"""),326.0)</f>
        <v>326</v>
      </c>
      <c r="Q291" s="82">
        <f>IFERROR(__xludf.DUMMYFUNCTION("""COMPUTED_VALUE"""),0.35694444444153406)</f>
        <v>0.3569444444</v>
      </c>
      <c r="R291" s="82">
        <f>IFERROR(__xludf.DUMMYFUNCTION("""COMPUTED_VALUE"""),0.3493055555591127)</f>
        <v>0.3493055556</v>
      </c>
      <c r="S291" s="63">
        <f>IFERROR(__xludf.DUMMYFUNCTION("""COMPUTED_VALUE"""),47.7794968191792)</f>
        <v>47.77949682</v>
      </c>
      <c r="T291" s="63">
        <f>IFERROR(__xludf.DUMMYFUNCTION("""COMPUTED_VALUE"""),40.8710591124639)</f>
        <v>40.87105911</v>
      </c>
      <c r="U291" s="138">
        <f>IFERROR(__xludf.DUMMYFUNCTION("""COMPUTED_VALUE"""),796.0)</f>
        <v>796</v>
      </c>
      <c r="V291" s="82">
        <f>IFERROR(__xludf.DUMMYFUNCTION("""COMPUTED_VALUE"""),0.7062500000006467)</f>
        <v>0.70625</v>
      </c>
      <c r="W291" s="64">
        <f>IFERROR(__xludf.DUMMYFUNCTION("""COMPUTED_VALUE"""),46.961651917361124)</f>
        <v>46.96165192</v>
      </c>
      <c r="X291" s="64">
        <f>IFERROR(__xludf.DUMMYFUNCTION("""COMPUTED_VALUE"""),44.325277965821556)</f>
        <v>44.32527797</v>
      </c>
      <c r="Y291" s="114">
        <f>IFERROR(__xludf.DUMMYFUNCTION("""COMPUTED_VALUE"""),0.9229395553864403)</f>
        <v>0.9229395554</v>
      </c>
      <c r="Z291" s="118" t="str">
        <f>IFERROR(__xludf.DUMMYFUNCTION("""COMPUTED_VALUE"""),"")</f>
        <v/>
      </c>
      <c r="AA291" s="118" t="str">
        <f>IFERROR(__xludf.DUMMYFUNCTION("""COMPUTED_VALUE"""),"")</f>
        <v/>
      </c>
      <c r="AB291" s="74"/>
    </row>
    <row r="292">
      <c r="A292" s="109">
        <f>IFERROR(__xludf.DUMMYFUNCTION("""COMPUTED_VALUE"""),45982.55145684028)</f>
        <v>45982.55146</v>
      </c>
      <c r="B292" s="81" t="str">
        <f>IFERROR(__xludf.DUMMYFUNCTION("""COMPUTED_VALUE"""),"Orpheus Wilson")</f>
        <v>Orpheus Wilson</v>
      </c>
      <c r="C292" s="74" t="b">
        <f>IFERROR(__xludf.DUMMYFUNCTION("""COMPUTED_VALUE"""),FALSE)</f>
        <v>0</v>
      </c>
      <c r="D292" s="137">
        <f>IFERROR(__xludf.DUMMYFUNCTION("""COMPUTED_VALUE"""),0.47916666666424135)</f>
        <v>0.4791666667</v>
      </c>
      <c r="E292" s="82">
        <f>IFERROR(__xludf.DUMMYFUNCTION("""COMPUTED_VALUE"""),0.07083333333866904)</f>
        <v>0.07083333334</v>
      </c>
      <c r="F292" s="137">
        <f>IFERROR(__xludf.DUMMYFUNCTION("""COMPUTED_VALUE"""),0.5500000000029104)</f>
        <v>0.55</v>
      </c>
      <c r="G292" s="82">
        <f>IFERROR(__xludf.DUMMYFUNCTION("""COMPUTED_VALUE"""),0.07083333333866904)</f>
        <v>0.07083333334</v>
      </c>
      <c r="H292" s="115">
        <f>IFERROR(__xludf.DUMMYFUNCTION("""COMPUTED_VALUE"""),116.0)</f>
        <v>116</v>
      </c>
      <c r="I292" s="112">
        <f>IFERROR(__xludf.DUMMYFUNCTION("""COMPUTED_VALUE"""),68.23529411250706)</f>
        <v>68.23529411</v>
      </c>
      <c r="J292" s="74" t="str">
        <f>IFERROR(__xludf.DUMMYFUNCTION("""COMPUTED_VALUE"""),"Lunch")</f>
        <v>Lunch</v>
      </c>
      <c r="K292" s="113">
        <f>IFERROR(__xludf.DUMMYFUNCTION("""COMPUTED_VALUE"""),45982.0)</f>
        <v>45982</v>
      </c>
      <c r="L292" s="74" t="str">
        <f>IFERROR(__xludf.DUMMYFUNCTION("""COMPUTED_VALUE"""),"Friday")</f>
        <v>Friday</v>
      </c>
      <c r="M292" s="74" t="str">
        <f>IFERROR(__xludf.DUMMYFUNCTION("""COMPUTED_VALUE"""),"MF")</f>
        <v>MF</v>
      </c>
      <c r="N292" s="114">
        <f>IFERROR(__xludf.DUMMYFUNCTION("""COMPUTED_VALUE"""),1.4189422439319455)</f>
        <v>1.418942244</v>
      </c>
      <c r="O292" s="74" t="str">
        <f>IFERROR(__xludf.DUMMYFUNCTION("""COMPUTED_VALUE"""),"")</f>
        <v/>
      </c>
      <c r="P292" s="74" t="str">
        <f>IFERROR(__xludf.DUMMYFUNCTION("""COMPUTED_VALUE"""),"")</f>
        <v/>
      </c>
      <c r="Q292" s="82" t="str">
        <f>IFERROR(__xludf.DUMMYFUNCTION("""COMPUTED_VALUE"""),"")</f>
        <v/>
      </c>
      <c r="R292" s="82" t="str">
        <f>IFERROR(__xludf.DUMMYFUNCTION("""COMPUTED_VALUE"""),"")</f>
        <v/>
      </c>
      <c r="S292" s="63" t="str">
        <f>IFERROR(__xludf.DUMMYFUNCTION("""COMPUTED_VALUE"""),"")</f>
        <v/>
      </c>
      <c r="T292" s="63" t="str">
        <f>IFERROR(__xludf.DUMMYFUNCTION("""COMPUTED_VALUE"""),"")</f>
        <v/>
      </c>
      <c r="U292" s="138" t="str">
        <f>IFERROR(__xludf.DUMMYFUNCTION("""COMPUTED_VALUE"""),"")</f>
        <v/>
      </c>
      <c r="V292" s="82" t="str">
        <f>IFERROR(__xludf.DUMMYFUNCTION("""COMPUTED_VALUE"""),"")</f>
        <v/>
      </c>
      <c r="W292" s="64" t="str">
        <f>IFERROR(__xludf.DUMMYFUNCTION("""COMPUTED_VALUE"""),"")</f>
        <v/>
      </c>
      <c r="X292" s="64" t="str">
        <f>IFERROR(__xludf.DUMMYFUNCTION("""COMPUTED_VALUE"""),"")</f>
        <v/>
      </c>
      <c r="Y292" s="114" t="str">
        <f>IFERROR(__xludf.DUMMYFUNCTION("""COMPUTED_VALUE"""),"")</f>
        <v/>
      </c>
      <c r="Z292" s="118" t="str">
        <f>IFERROR(__xludf.DUMMYFUNCTION("""COMPUTED_VALUE"""),"")</f>
        <v/>
      </c>
      <c r="AA292" s="118" t="str">
        <f>IFERROR(__xludf.DUMMYFUNCTION("""COMPUTED_VALUE"""),"")</f>
        <v/>
      </c>
      <c r="AB292" s="74"/>
    </row>
    <row r="293">
      <c r="A293" s="109">
        <f>IFERROR(__xludf.DUMMYFUNCTION("""COMPUTED_VALUE"""),45982.588823935184)</f>
        <v>45982.58882</v>
      </c>
      <c r="B293" s="81" t="str">
        <f>IFERROR(__xludf.DUMMYFUNCTION("""COMPUTED_VALUE"""),"Brynn Hornig")</f>
        <v>Brynn Hornig</v>
      </c>
      <c r="C293" s="74" t="b">
        <f>IFERROR(__xludf.DUMMYFUNCTION("""COMPUTED_VALUE"""),FALSE)</f>
        <v>0</v>
      </c>
      <c r="D293" s="137">
        <f>IFERROR(__xludf.DUMMYFUNCTION("""COMPUTED_VALUE"""),0.5520833333357587)</f>
        <v>0.5520833333</v>
      </c>
      <c r="E293" s="82">
        <f>IFERROR(__xludf.DUMMYFUNCTION("""COMPUTED_VALUE"""),0.03611111110512866)</f>
        <v>0.03611111111</v>
      </c>
      <c r="F293" s="137">
        <f>IFERROR(__xludf.DUMMYFUNCTION("""COMPUTED_VALUE"""),0.5881944444408873)</f>
        <v>0.5881944444</v>
      </c>
      <c r="G293" s="82">
        <f>IFERROR(__xludf.DUMMYFUNCTION("""COMPUTED_VALUE"""),0.03611111110512866)</f>
        <v>0.03611111111</v>
      </c>
      <c r="H293" s="115">
        <f>IFERROR(__xludf.DUMMYFUNCTION("""COMPUTED_VALUE"""),56.0)</f>
        <v>56</v>
      </c>
      <c r="I293" s="112">
        <f>IFERROR(__xludf.DUMMYFUNCTION("""COMPUTED_VALUE"""),64.61538462608931)</f>
        <v>64.61538463</v>
      </c>
      <c r="J293" s="74" t="str">
        <f>IFERROR(__xludf.DUMMYFUNCTION("""COMPUTED_VALUE"""),"Lunch")</f>
        <v>Lunch</v>
      </c>
      <c r="K293" s="113">
        <f>IFERROR(__xludf.DUMMYFUNCTION("""COMPUTED_VALUE"""),45982.0)</f>
        <v>45982</v>
      </c>
      <c r="L293" s="74" t="str">
        <f>IFERROR(__xludf.DUMMYFUNCTION("""COMPUTED_VALUE"""),"Friday")</f>
        <v>Friday</v>
      </c>
      <c r="M293" s="74" t="str">
        <f>IFERROR(__xludf.DUMMYFUNCTION("""COMPUTED_VALUE"""),"MF")</f>
        <v>MF</v>
      </c>
      <c r="N293" s="114">
        <f>IFERROR(__xludf.DUMMYFUNCTION("""COMPUTED_VALUE"""),1.3436667936492936)</f>
        <v>1.343666794</v>
      </c>
      <c r="O293" s="74" t="str">
        <f>IFERROR(__xludf.DUMMYFUNCTION("""COMPUTED_VALUE"""),"")</f>
        <v/>
      </c>
      <c r="P293" s="74" t="str">
        <f>IFERROR(__xludf.DUMMYFUNCTION("""COMPUTED_VALUE"""),"")</f>
        <v/>
      </c>
      <c r="Q293" s="82" t="str">
        <f>IFERROR(__xludf.DUMMYFUNCTION("""COMPUTED_VALUE"""),"")</f>
        <v/>
      </c>
      <c r="R293" s="82" t="str">
        <f>IFERROR(__xludf.DUMMYFUNCTION("""COMPUTED_VALUE"""),"")</f>
        <v/>
      </c>
      <c r="S293" s="63" t="str">
        <f>IFERROR(__xludf.DUMMYFUNCTION("""COMPUTED_VALUE"""),"")</f>
        <v/>
      </c>
      <c r="T293" s="63" t="str">
        <f>IFERROR(__xludf.DUMMYFUNCTION("""COMPUTED_VALUE"""),"")</f>
        <v/>
      </c>
      <c r="U293" s="138" t="str">
        <f>IFERROR(__xludf.DUMMYFUNCTION("""COMPUTED_VALUE"""),"")</f>
        <v/>
      </c>
      <c r="V293" s="82" t="str">
        <f>IFERROR(__xludf.DUMMYFUNCTION("""COMPUTED_VALUE"""),"")</f>
        <v/>
      </c>
      <c r="W293" s="64" t="str">
        <f>IFERROR(__xludf.DUMMYFUNCTION("""COMPUTED_VALUE"""),"")</f>
        <v/>
      </c>
      <c r="X293" s="64" t="str">
        <f>IFERROR(__xludf.DUMMYFUNCTION("""COMPUTED_VALUE"""),"")</f>
        <v/>
      </c>
      <c r="Y293" s="114" t="str">
        <f>IFERROR(__xludf.DUMMYFUNCTION("""COMPUTED_VALUE"""),"")</f>
        <v/>
      </c>
      <c r="Z293" s="118" t="str">
        <f>IFERROR(__xludf.DUMMYFUNCTION("""COMPUTED_VALUE"""),"")</f>
        <v/>
      </c>
      <c r="AA293" s="118" t="str">
        <f>IFERROR(__xludf.DUMMYFUNCTION("""COMPUTED_VALUE"""),"")</f>
        <v/>
      </c>
      <c r="AB293" s="74"/>
    </row>
    <row r="294">
      <c r="A294" s="109">
        <f>IFERROR(__xludf.DUMMYFUNCTION("""COMPUTED_VALUE"""),45982.59373574074)</f>
        <v>45982.59374</v>
      </c>
      <c r="B294" s="81" t="str">
        <f>IFERROR(__xludf.DUMMYFUNCTION("""COMPUTED_VALUE"""),"Greta Traynor")</f>
        <v>Greta Traynor</v>
      </c>
      <c r="C294" s="74" t="b">
        <f>IFERROR(__xludf.DUMMYFUNCTION("""COMPUTED_VALUE"""),FALSE)</f>
        <v>0</v>
      </c>
      <c r="D294" s="137">
        <f>IFERROR(__xludf.DUMMYFUNCTION("""COMPUTED_VALUE"""),0.5437499999970896)</f>
        <v>0.54375</v>
      </c>
      <c r="E294" s="82">
        <f>IFERROR(__xludf.DUMMYFUNCTION("""COMPUTED_VALUE"""),0.04722222222335404)</f>
        <v>0.04722222222</v>
      </c>
      <c r="F294" s="137">
        <f>IFERROR(__xludf.DUMMYFUNCTION("""COMPUTED_VALUE"""),0.5909722222204437)</f>
        <v>0.5909722222</v>
      </c>
      <c r="G294" s="82">
        <f>IFERROR(__xludf.DUMMYFUNCTION("""COMPUTED_VALUE"""),0.04722222222335404)</f>
        <v>0.04722222222</v>
      </c>
      <c r="H294" s="115">
        <f>IFERROR(__xludf.DUMMYFUNCTION("""COMPUTED_VALUE"""),62.0)</f>
        <v>62</v>
      </c>
      <c r="I294" s="112">
        <f>IFERROR(__xludf.DUMMYFUNCTION("""COMPUTED_VALUE"""),54.705882351629995)</f>
        <v>54.70588235</v>
      </c>
      <c r="J294" s="74" t="str">
        <f>IFERROR(__xludf.DUMMYFUNCTION("""COMPUTED_VALUE"""),"Lunch")</f>
        <v>Lunch</v>
      </c>
      <c r="K294" s="113">
        <f>IFERROR(__xludf.DUMMYFUNCTION("""COMPUTED_VALUE"""),45982.0)</f>
        <v>45982</v>
      </c>
      <c r="L294" s="74" t="str">
        <f>IFERROR(__xludf.DUMMYFUNCTION("""COMPUTED_VALUE"""),"Friday")</f>
        <v>Friday</v>
      </c>
      <c r="M294" s="74" t="str">
        <f>IFERROR(__xludf.DUMMYFUNCTION("""COMPUTED_VALUE"""),"BF")</f>
        <v>BF</v>
      </c>
      <c r="N294" s="114">
        <f>IFERROR(__xludf.DUMMYFUNCTION("""COMPUTED_VALUE"""),1.4088295221151717)</f>
        <v>1.408829522</v>
      </c>
      <c r="O294" s="74" t="str">
        <f>IFERROR(__xludf.DUMMYFUNCTION("""COMPUTED_VALUE"""),"")</f>
        <v/>
      </c>
      <c r="P294" s="74" t="str">
        <f>IFERROR(__xludf.DUMMYFUNCTION("""COMPUTED_VALUE"""),"")</f>
        <v/>
      </c>
      <c r="Q294" s="82" t="str">
        <f>IFERROR(__xludf.DUMMYFUNCTION("""COMPUTED_VALUE"""),"")</f>
        <v/>
      </c>
      <c r="R294" s="82" t="str">
        <f>IFERROR(__xludf.DUMMYFUNCTION("""COMPUTED_VALUE"""),"")</f>
        <v/>
      </c>
      <c r="S294" s="63" t="str">
        <f>IFERROR(__xludf.DUMMYFUNCTION("""COMPUTED_VALUE"""),"")</f>
        <v/>
      </c>
      <c r="T294" s="63" t="str">
        <f>IFERROR(__xludf.DUMMYFUNCTION("""COMPUTED_VALUE"""),"")</f>
        <v/>
      </c>
      <c r="U294" s="138" t="str">
        <f>IFERROR(__xludf.DUMMYFUNCTION("""COMPUTED_VALUE"""),"")</f>
        <v/>
      </c>
      <c r="V294" s="82" t="str">
        <f>IFERROR(__xludf.DUMMYFUNCTION("""COMPUTED_VALUE"""),"")</f>
        <v/>
      </c>
      <c r="W294" s="64" t="str">
        <f>IFERROR(__xludf.DUMMYFUNCTION("""COMPUTED_VALUE"""),"")</f>
        <v/>
      </c>
      <c r="X294" s="64" t="str">
        <f>IFERROR(__xludf.DUMMYFUNCTION("""COMPUTED_VALUE"""),"")</f>
        <v/>
      </c>
      <c r="Y294" s="114" t="str">
        <f>IFERROR(__xludf.DUMMYFUNCTION("""COMPUTED_VALUE"""),"")</f>
        <v/>
      </c>
      <c r="Z294" s="118" t="str">
        <f>IFERROR(__xludf.DUMMYFUNCTION("""COMPUTED_VALUE"""),"")</f>
        <v/>
      </c>
      <c r="AA294" s="118" t="str">
        <f>IFERROR(__xludf.DUMMYFUNCTION("""COMPUTED_VALUE"""),"")</f>
        <v/>
      </c>
      <c r="AB294" s="74"/>
    </row>
    <row r="295">
      <c r="A295" s="109">
        <f>IFERROR(__xludf.DUMMYFUNCTION("""COMPUTED_VALUE"""),45982.63323068287)</f>
        <v>45982.63323</v>
      </c>
      <c r="B295" s="81" t="str">
        <f>IFERROR(__xludf.DUMMYFUNCTION("""COMPUTED_VALUE"""),"Brynn Hornig")</f>
        <v>Brynn Hornig</v>
      </c>
      <c r="C295" s="74" t="b">
        <f>IFERROR(__xludf.DUMMYFUNCTION("""COMPUTED_VALUE"""),FALSE)</f>
        <v>0</v>
      </c>
      <c r="D295" s="137">
        <f>IFERROR(__xludf.DUMMYFUNCTION("""COMPUTED_VALUE"""),0.5881944444408873)</f>
        <v>0.5881944444</v>
      </c>
      <c r="E295" s="82">
        <f>IFERROR(__xludf.DUMMYFUNCTION("""COMPUTED_VALUE"""),0.04722222222335404)</f>
        <v>0.04722222222</v>
      </c>
      <c r="F295" s="137">
        <f>IFERROR(__xludf.DUMMYFUNCTION("""COMPUTED_VALUE"""),0.6354166666642413)</f>
        <v>0.6354166667</v>
      </c>
      <c r="G295" s="82">
        <f>IFERROR(__xludf.DUMMYFUNCTION("""COMPUTED_VALUE"""),0.04722222222335404)</f>
        <v>0.04722222222</v>
      </c>
      <c r="H295" s="115">
        <f>IFERROR(__xludf.DUMMYFUNCTION("""COMPUTED_VALUE"""),36.0)</f>
        <v>36</v>
      </c>
      <c r="I295" s="112">
        <f>IFERROR(__xludf.DUMMYFUNCTION("""COMPUTED_VALUE"""),31.76470588159161)</f>
        <v>31.76470588</v>
      </c>
      <c r="J295" s="74" t="str">
        <f>IFERROR(__xludf.DUMMYFUNCTION("""COMPUTED_VALUE"""),"Lunch")</f>
        <v>Lunch</v>
      </c>
      <c r="K295" s="113">
        <f>IFERROR(__xludf.DUMMYFUNCTION("""COMPUTED_VALUE"""),45982.0)</f>
        <v>45982</v>
      </c>
      <c r="L295" s="74" t="str">
        <f>IFERROR(__xludf.DUMMYFUNCTION("""COMPUTED_VALUE"""),"Friday")</f>
        <v>Friday</v>
      </c>
      <c r="M295" s="74" t="str">
        <f>IFERROR(__xludf.DUMMYFUNCTION("""COMPUTED_VALUE"""),"MF")</f>
        <v>MF</v>
      </c>
      <c r="N295" s="114">
        <f>IFERROR(__xludf.DUMMYFUNCTION("""COMPUTED_VALUE"""),0.660542079105693)</f>
        <v>0.6605420791</v>
      </c>
      <c r="O295" s="74" t="str">
        <f>IFERROR(__xludf.DUMMYFUNCTION("""COMPUTED_VALUE"""),"")</f>
        <v/>
      </c>
      <c r="P295" s="74" t="str">
        <f>IFERROR(__xludf.DUMMYFUNCTION("""COMPUTED_VALUE"""),"")</f>
        <v/>
      </c>
      <c r="Q295" s="82" t="str">
        <f>IFERROR(__xludf.DUMMYFUNCTION("""COMPUTED_VALUE"""),"")</f>
        <v/>
      </c>
      <c r="R295" s="82" t="str">
        <f>IFERROR(__xludf.DUMMYFUNCTION("""COMPUTED_VALUE"""),"")</f>
        <v/>
      </c>
      <c r="S295" s="63" t="str">
        <f>IFERROR(__xludf.DUMMYFUNCTION("""COMPUTED_VALUE"""),"")</f>
        <v/>
      </c>
      <c r="T295" s="63" t="str">
        <f>IFERROR(__xludf.DUMMYFUNCTION("""COMPUTED_VALUE"""),"")</f>
        <v/>
      </c>
      <c r="U295" s="138" t="str">
        <f>IFERROR(__xludf.DUMMYFUNCTION("""COMPUTED_VALUE"""),"")</f>
        <v/>
      </c>
      <c r="V295" s="82" t="str">
        <f>IFERROR(__xludf.DUMMYFUNCTION("""COMPUTED_VALUE"""),"")</f>
        <v/>
      </c>
      <c r="W295" s="64" t="str">
        <f>IFERROR(__xludf.DUMMYFUNCTION("""COMPUTED_VALUE"""),"")</f>
        <v/>
      </c>
      <c r="X295" s="64" t="str">
        <f>IFERROR(__xludf.DUMMYFUNCTION("""COMPUTED_VALUE"""),"")</f>
        <v/>
      </c>
      <c r="Y295" s="114" t="str">
        <f>IFERROR(__xludf.DUMMYFUNCTION("""COMPUTED_VALUE"""),"")</f>
        <v/>
      </c>
      <c r="Z295" s="118" t="str">
        <f>IFERROR(__xludf.DUMMYFUNCTION("""COMPUTED_VALUE"""),"")</f>
        <v/>
      </c>
      <c r="AA295" s="118" t="str">
        <f>IFERROR(__xludf.DUMMYFUNCTION("""COMPUTED_VALUE"""),"")</f>
        <v/>
      </c>
      <c r="AB295" s="74"/>
    </row>
    <row r="296">
      <c r="A296" s="109">
        <f>IFERROR(__xludf.DUMMYFUNCTION("""COMPUTED_VALUE"""),45982.75704182871)</f>
        <v>45982.75704</v>
      </c>
      <c r="B296" s="81" t="str">
        <f>IFERROR(__xludf.DUMMYFUNCTION("""COMPUTED_VALUE"""),"Emmett Khan")</f>
        <v>Emmett Khan</v>
      </c>
      <c r="C296" s="74" t="b">
        <f>IFERROR(__xludf.DUMMYFUNCTION("""COMPUTED_VALUE"""),FALSE)</f>
        <v>0</v>
      </c>
      <c r="D296" s="137">
        <f>IFERROR(__xludf.DUMMYFUNCTION("""COMPUTED_VALUE"""),0.6666666666642413)</f>
        <v>0.6666666667</v>
      </c>
      <c r="E296" s="82">
        <f>IFERROR(__xludf.DUMMYFUNCTION("""COMPUTED_VALUE"""),0.09375)</f>
        <v>0.09375</v>
      </c>
      <c r="F296" s="137">
        <f>IFERROR(__xludf.DUMMYFUNCTION("""COMPUTED_VALUE"""),0.7604166666642413)</f>
        <v>0.7604166667</v>
      </c>
      <c r="G296" s="82">
        <f>IFERROR(__xludf.DUMMYFUNCTION("""COMPUTED_VALUE"""),0.09375)</f>
        <v>0.09375</v>
      </c>
      <c r="H296" s="115">
        <f>IFERROR(__xludf.DUMMYFUNCTION("""COMPUTED_VALUE"""),156.0)</f>
        <v>156</v>
      </c>
      <c r="I296" s="112">
        <f>IFERROR(__xludf.DUMMYFUNCTION("""COMPUTED_VALUE"""),69.33333333333333)</f>
        <v>69.33333333</v>
      </c>
      <c r="J296" s="74" t="str">
        <f>IFERROR(__xludf.DUMMYFUNCTION("""COMPUTED_VALUE"""),"Dinner")</f>
        <v>Dinner</v>
      </c>
      <c r="K296" s="113">
        <f>IFERROR(__xludf.DUMMYFUNCTION("""COMPUTED_VALUE"""),45982.0)</f>
        <v>45982</v>
      </c>
      <c r="L296" s="74" t="str">
        <f>IFERROR(__xludf.DUMMYFUNCTION("""COMPUTED_VALUE"""),"Friday")</f>
        <v>Friday</v>
      </c>
      <c r="M296" s="74" t="str">
        <f>IFERROR(__xludf.DUMMYFUNCTION("""COMPUTED_VALUE"""),"MF")</f>
        <v>MF</v>
      </c>
      <c r="N296" s="114">
        <f>IFERROR(__xludf.DUMMYFUNCTION("""COMPUTED_VALUE"""),1.3662123734335831)</f>
        <v>1.366212373</v>
      </c>
      <c r="O296" s="74">
        <f>IFERROR(__xludf.DUMMYFUNCTION("""COMPUTED_VALUE"""),364.0)</f>
        <v>364</v>
      </c>
      <c r="P296" s="74">
        <f>IFERROR(__xludf.DUMMYFUNCTION("""COMPUTED_VALUE"""),62.0)</f>
        <v>62</v>
      </c>
      <c r="Q296" s="82">
        <f>IFERROR(__xludf.DUMMYFUNCTION("""COMPUTED_VALUE"""),0.24791666666715173)</f>
        <v>0.2479166667</v>
      </c>
      <c r="R296" s="82">
        <f>IFERROR(__xludf.DUMMYFUNCTION("""COMPUTED_VALUE"""),0.04722222222335404)</f>
        <v>0.04722222222</v>
      </c>
      <c r="S296" s="63">
        <f>IFERROR(__xludf.DUMMYFUNCTION("""COMPUTED_VALUE"""),58.48717948838032)</f>
        <v>58.48717949</v>
      </c>
      <c r="T296" s="63">
        <f>IFERROR(__xludf.DUMMYFUNCTION("""COMPUTED_VALUE"""),54.705882351629995)</f>
        <v>54.70588235</v>
      </c>
      <c r="U296" s="138">
        <f>IFERROR(__xludf.DUMMYFUNCTION("""COMPUTED_VALUE"""),426.0)</f>
        <v>426</v>
      </c>
      <c r="V296" s="82">
        <f>IFERROR(__xludf.DUMMYFUNCTION("""COMPUTED_VALUE"""),0.29513888889050577)</f>
        <v>0.2951388889</v>
      </c>
      <c r="W296" s="64">
        <f>IFERROR(__xludf.DUMMYFUNCTION("""COMPUTED_VALUE"""),60.14117647025876)</f>
        <v>60.14117647</v>
      </c>
      <c r="X296" s="64">
        <f>IFERROR(__xludf.DUMMYFUNCTION("""COMPUTED_VALUE"""),57.73092006103026)</f>
        <v>57.73092006</v>
      </c>
      <c r="Y296" s="114">
        <f>IFERROR(__xludf.DUMMYFUNCTION("""COMPUTED_VALUE"""),1.280592691230956)</f>
        <v>1.280592691</v>
      </c>
      <c r="Z296" s="118" t="str">
        <f>IFERROR(__xludf.DUMMYFUNCTION("""COMPUTED_VALUE"""),"")</f>
        <v/>
      </c>
      <c r="AA296" s="118" t="str">
        <f>IFERROR(__xludf.DUMMYFUNCTION("""COMPUTED_VALUE"""),"")</f>
        <v/>
      </c>
      <c r="AB296" s="74"/>
    </row>
    <row r="297">
      <c r="A297" s="109">
        <f>IFERROR(__xludf.DUMMYFUNCTION("""COMPUTED_VALUE"""),45985.5594359838)</f>
        <v>45985.55944</v>
      </c>
      <c r="B297" s="81" t="str">
        <f>IFERROR(__xludf.DUMMYFUNCTION("""COMPUTED_VALUE"""),"Orpheus Wilson")</f>
        <v>Orpheus Wilson</v>
      </c>
      <c r="C297" s="74" t="b">
        <f>IFERROR(__xludf.DUMMYFUNCTION("""COMPUTED_VALUE"""),FALSE)</f>
        <v>0</v>
      </c>
      <c r="D297" s="137">
        <f>IFERROR(__xludf.DUMMYFUNCTION("""COMPUTED_VALUE"""),0.4875000000029104)</f>
        <v>0.4875</v>
      </c>
      <c r="E297" s="82">
        <f>IFERROR(__xludf.DUMMYFUNCTION("""COMPUTED_VALUE"""),0.07152777777810115)</f>
        <v>0.07152777778</v>
      </c>
      <c r="F297" s="137">
        <f>IFERROR(__xludf.DUMMYFUNCTION("""COMPUTED_VALUE"""),0.5590277777810115)</f>
        <v>0.5590277778</v>
      </c>
      <c r="G297" s="82">
        <f>IFERROR(__xludf.DUMMYFUNCTION("""COMPUTED_VALUE"""),0.07152777777810115)</f>
        <v>0.07152777778</v>
      </c>
      <c r="H297" s="115">
        <f>IFERROR(__xludf.DUMMYFUNCTION("""COMPUTED_VALUE"""),96.0)</f>
        <v>96</v>
      </c>
      <c r="I297" s="112">
        <f>IFERROR(__xludf.DUMMYFUNCTION("""COMPUTED_VALUE"""),55.92233009683456)</f>
        <v>55.9223301</v>
      </c>
      <c r="J297" s="74" t="str">
        <f>IFERROR(__xludf.DUMMYFUNCTION("""COMPUTED_VALUE"""),"Lunch")</f>
        <v>Lunch</v>
      </c>
      <c r="K297" s="113">
        <f>IFERROR(__xludf.DUMMYFUNCTION("""COMPUTED_VALUE"""),45985.0)</f>
        <v>45985</v>
      </c>
      <c r="L297" s="74" t="str">
        <f>IFERROR(__xludf.DUMMYFUNCTION("""COMPUTED_VALUE"""),"Monday")</f>
        <v>Monday</v>
      </c>
      <c r="M297" s="74" t="str">
        <f>IFERROR(__xludf.DUMMYFUNCTION("""COMPUTED_VALUE"""),"MF")</f>
        <v>MF</v>
      </c>
      <c r="N297" s="114">
        <f>IFERROR(__xludf.DUMMYFUNCTION("""COMPUTED_VALUE"""),1.16289608750966)</f>
        <v>1.162896088</v>
      </c>
      <c r="O297" s="74" t="str">
        <f>IFERROR(__xludf.DUMMYFUNCTION("""COMPUTED_VALUE"""),"")</f>
        <v/>
      </c>
      <c r="P297" s="74" t="str">
        <f>IFERROR(__xludf.DUMMYFUNCTION("""COMPUTED_VALUE"""),"")</f>
        <v/>
      </c>
      <c r="Q297" s="82" t="str">
        <f>IFERROR(__xludf.DUMMYFUNCTION("""COMPUTED_VALUE"""),"")</f>
        <v/>
      </c>
      <c r="R297" s="82" t="str">
        <f>IFERROR(__xludf.DUMMYFUNCTION("""COMPUTED_VALUE"""),"")</f>
        <v/>
      </c>
      <c r="S297" s="63" t="str">
        <f>IFERROR(__xludf.DUMMYFUNCTION("""COMPUTED_VALUE"""),"")</f>
        <v/>
      </c>
      <c r="T297" s="63" t="str">
        <f>IFERROR(__xludf.DUMMYFUNCTION("""COMPUTED_VALUE"""),"")</f>
        <v/>
      </c>
      <c r="U297" s="138" t="str">
        <f>IFERROR(__xludf.DUMMYFUNCTION("""COMPUTED_VALUE"""),"")</f>
        <v/>
      </c>
      <c r="V297" s="82" t="str">
        <f>IFERROR(__xludf.DUMMYFUNCTION("""COMPUTED_VALUE"""),"")</f>
        <v/>
      </c>
      <c r="W297" s="64" t="str">
        <f>IFERROR(__xludf.DUMMYFUNCTION("""COMPUTED_VALUE"""),"")</f>
        <v/>
      </c>
      <c r="X297" s="64" t="str">
        <f>IFERROR(__xludf.DUMMYFUNCTION("""COMPUTED_VALUE"""),"")</f>
        <v/>
      </c>
      <c r="Y297" s="114" t="str">
        <f>IFERROR(__xludf.DUMMYFUNCTION("""COMPUTED_VALUE"""),"")</f>
        <v/>
      </c>
      <c r="Z297" s="118" t="str">
        <f>IFERROR(__xludf.DUMMYFUNCTION("""COMPUTED_VALUE"""),"")</f>
        <v/>
      </c>
      <c r="AA297" s="118" t="str">
        <f>IFERROR(__xludf.DUMMYFUNCTION("""COMPUTED_VALUE"""),"")</f>
        <v/>
      </c>
      <c r="AB297" s="74"/>
    </row>
    <row r="298">
      <c r="A298" s="109">
        <f>IFERROR(__xludf.DUMMYFUNCTION("""COMPUTED_VALUE"""),45985.632333263886)</f>
        <v>45985.63233</v>
      </c>
      <c r="B298" s="81" t="str">
        <f>IFERROR(__xludf.DUMMYFUNCTION("""COMPUTED_VALUE"""),"Greta Traynor")</f>
        <v>Greta Traynor</v>
      </c>
      <c r="C298" s="74" t="b">
        <f>IFERROR(__xludf.DUMMYFUNCTION("""COMPUTED_VALUE"""),FALSE)</f>
        <v>0</v>
      </c>
      <c r="D298" s="137">
        <f>IFERROR(__xludf.DUMMYFUNCTION("""COMPUTED_VALUE"""),0.5645833333328483)</f>
        <v>0.5645833333</v>
      </c>
      <c r="E298" s="82">
        <f>IFERROR(__xludf.DUMMYFUNCTION("""COMPUTED_VALUE"""),0.06805555555183673)</f>
        <v>0.06805555555</v>
      </c>
      <c r="F298" s="137">
        <f>IFERROR(__xludf.DUMMYFUNCTION("""COMPUTED_VALUE"""),0.632638888884685)</f>
        <v>0.6326388889</v>
      </c>
      <c r="G298" s="82">
        <f>IFERROR(__xludf.DUMMYFUNCTION("""COMPUTED_VALUE"""),0.06805555555183673)</f>
        <v>0.06805555555</v>
      </c>
      <c r="H298" s="115">
        <f>IFERROR(__xludf.DUMMYFUNCTION("""COMPUTED_VALUE"""),63.0)</f>
        <v>63</v>
      </c>
      <c r="I298" s="112">
        <f>IFERROR(__xludf.DUMMYFUNCTION("""COMPUTED_VALUE"""),38.57142857353627)</f>
        <v>38.57142857</v>
      </c>
      <c r="J298" s="74" t="str">
        <f>IFERROR(__xludf.DUMMYFUNCTION("""COMPUTED_VALUE"""),"Lunch")</f>
        <v>Lunch</v>
      </c>
      <c r="K298" s="113">
        <f>IFERROR(__xludf.DUMMYFUNCTION("""COMPUTED_VALUE"""),45985.0)</f>
        <v>45985</v>
      </c>
      <c r="L298" s="74" t="str">
        <f>IFERROR(__xludf.DUMMYFUNCTION("""COMPUTED_VALUE"""),"Monday")</f>
        <v>Monday</v>
      </c>
      <c r="M298" s="74" t="str">
        <f>IFERROR(__xludf.DUMMYFUNCTION("""COMPUTED_VALUE"""),"MF")</f>
        <v>MF</v>
      </c>
      <c r="N298" s="114">
        <f>IFERROR(__xludf.DUMMYFUNCTION("""COMPUTED_VALUE"""),0.8020868104056806)</f>
        <v>0.8020868104</v>
      </c>
      <c r="O298" s="74" t="str">
        <f>IFERROR(__xludf.DUMMYFUNCTION("""COMPUTED_VALUE"""),"")</f>
        <v/>
      </c>
      <c r="P298" s="74" t="str">
        <f>IFERROR(__xludf.DUMMYFUNCTION("""COMPUTED_VALUE"""),"")</f>
        <v/>
      </c>
      <c r="Q298" s="82" t="str">
        <f>IFERROR(__xludf.DUMMYFUNCTION("""COMPUTED_VALUE"""),"")</f>
        <v/>
      </c>
      <c r="R298" s="82" t="str">
        <f>IFERROR(__xludf.DUMMYFUNCTION("""COMPUTED_VALUE"""),"")</f>
        <v/>
      </c>
      <c r="S298" s="63" t="str">
        <f>IFERROR(__xludf.DUMMYFUNCTION("""COMPUTED_VALUE"""),"")</f>
        <v/>
      </c>
      <c r="T298" s="63" t="str">
        <f>IFERROR(__xludf.DUMMYFUNCTION("""COMPUTED_VALUE"""),"")</f>
        <v/>
      </c>
      <c r="U298" s="138" t="str">
        <f>IFERROR(__xludf.DUMMYFUNCTION("""COMPUTED_VALUE"""),"")</f>
        <v/>
      </c>
      <c r="V298" s="82" t="str">
        <f>IFERROR(__xludf.DUMMYFUNCTION("""COMPUTED_VALUE"""),"")</f>
        <v/>
      </c>
      <c r="W298" s="64" t="str">
        <f>IFERROR(__xludf.DUMMYFUNCTION("""COMPUTED_VALUE"""),"")</f>
        <v/>
      </c>
      <c r="X298" s="64" t="str">
        <f>IFERROR(__xludf.DUMMYFUNCTION("""COMPUTED_VALUE"""),"")</f>
        <v/>
      </c>
      <c r="Y298" s="114" t="str">
        <f>IFERROR(__xludf.DUMMYFUNCTION("""COMPUTED_VALUE"""),"")</f>
        <v/>
      </c>
      <c r="Z298" s="118" t="str">
        <f>IFERROR(__xludf.DUMMYFUNCTION("""COMPUTED_VALUE"""),"")</f>
        <v/>
      </c>
      <c r="AA298" s="118" t="str">
        <f>IFERROR(__xludf.DUMMYFUNCTION("""COMPUTED_VALUE"""),"")</f>
        <v/>
      </c>
      <c r="AB298" s="74"/>
    </row>
    <row r="299">
      <c r="A299" s="109">
        <f>IFERROR(__xludf.DUMMYFUNCTION("""COMPUTED_VALUE"""),45985.771401307866)</f>
        <v>45985.7714</v>
      </c>
      <c r="B299" s="81" t="str">
        <f>IFERROR(__xludf.DUMMYFUNCTION("""COMPUTED_VALUE"""),"Maureen Surgot")</f>
        <v>Maureen Surgot</v>
      </c>
      <c r="C299" s="74" t="b">
        <f>IFERROR(__xludf.DUMMYFUNCTION("""COMPUTED_VALUE"""),FALSE)</f>
        <v>0</v>
      </c>
      <c r="D299" s="137">
        <f>IFERROR(__xludf.DUMMYFUNCTION("""COMPUTED_VALUE"""),0.6666666666642413)</f>
        <v>0.6666666667</v>
      </c>
      <c r="E299" s="82">
        <f>IFERROR(__xludf.DUMMYFUNCTION("""COMPUTED_VALUE"""),0.1041666666715173)</f>
        <v>0.1041666667</v>
      </c>
      <c r="F299" s="137">
        <f>IFERROR(__xludf.DUMMYFUNCTION("""COMPUTED_VALUE"""),0.7708333333357587)</f>
        <v>0.7708333333</v>
      </c>
      <c r="G299" s="82">
        <f>IFERROR(__xludf.DUMMYFUNCTION("""COMPUTED_VALUE"""),0.1041666666715173)</f>
        <v>0.1041666667</v>
      </c>
      <c r="H299" s="115">
        <f>IFERROR(__xludf.DUMMYFUNCTION("""COMPUTED_VALUE"""),69.0)</f>
        <v>69</v>
      </c>
      <c r="I299" s="112">
        <f>IFERROR(__xludf.DUMMYFUNCTION("""COMPUTED_VALUE"""),27.599999998714775)</f>
        <v>27.6</v>
      </c>
      <c r="J299" s="74" t="str">
        <f>IFERROR(__xludf.DUMMYFUNCTION("""COMPUTED_VALUE"""),"Dinner")</f>
        <v>Dinner</v>
      </c>
      <c r="K299" s="113">
        <f>IFERROR(__xludf.DUMMYFUNCTION("""COMPUTED_VALUE"""),45985.0)</f>
        <v>45985</v>
      </c>
      <c r="L299" s="74" t="str">
        <f>IFERROR(__xludf.DUMMYFUNCTION("""COMPUTED_VALUE"""),"Monday")</f>
        <v>Monday</v>
      </c>
      <c r="M299" s="74" t="str">
        <f>IFERROR(__xludf.DUMMYFUNCTION("""COMPUTED_VALUE"""),"MF")</f>
        <v>MF</v>
      </c>
      <c r="N299" s="114">
        <f>IFERROR(__xludf.DUMMYFUNCTION("""COMPUTED_VALUE"""),0.5438576178607357)</f>
        <v>0.5438576179</v>
      </c>
      <c r="O299" s="74" t="str">
        <f>IFERROR(__xludf.DUMMYFUNCTION("""COMPUTED_VALUE"""),"")</f>
        <v/>
      </c>
      <c r="P299" s="74" t="str">
        <f>IFERROR(__xludf.DUMMYFUNCTION("""COMPUTED_VALUE"""),"")</f>
        <v/>
      </c>
      <c r="Q299" s="82" t="str">
        <f>IFERROR(__xludf.DUMMYFUNCTION("""COMPUTED_VALUE"""),"")</f>
        <v/>
      </c>
      <c r="R299" s="82" t="str">
        <f>IFERROR(__xludf.DUMMYFUNCTION("""COMPUTED_VALUE"""),"")</f>
        <v/>
      </c>
      <c r="S299" s="63" t="str">
        <f>IFERROR(__xludf.DUMMYFUNCTION("""COMPUTED_VALUE"""),"")</f>
        <v/>
      </c>
      <c r="T299" s="63" t="str">
        <f>IFERROR(__xludf.DUMMYFUNCTION("""COMPUTED_VALUE"""),"")</f>
        <v/>
      </c>
      <c r="U299" s="138" t="str">
        <f>IFERROR(__xludf.DUMMYFUNCTION("""COMPUTED_VALUE"""),"")</f>
        <v/>
      </c>
      <c r="V299" s="82" t="str">
        <f>IFERROR(__xludf.DUMMYFUNCTION("""COMPUTED_VALUE"""),"")</f>
        <v/>
      </c>
      <c r="W299" s="64" t="str">
        <f>IFERROR(__xludf.DUMMYFUNCTION("""COMPUTED_VALUE"""),"")</f>
        <v/>
      </c>
      <c r="X299" s="64" t="str">
        <f>IFERROR(__xludf.DUMMYFUNCTION("""COMPUTED_VALUE"""),"")</f>
        <v/>
      </c>
      <c r="Y299" s="114" t="str">
        <f>IFERROR(__xludf.DUMMYFUNCTION("""COMPUTED_VALUE"""),"")</f>
        <v/>
      </c>
      <c r="Z299" s="118" t="str">
        <f>IFERROR(__xludf.DUMMYFUNCTION("""COMPUTED_VALUE"""),"")</f>
        <v/>
      </c>
      <c r="AA299" s="118" t="str">
        <f>IFERROR(__xludf.DUMMYFUNCTION("""COMPUTED_VALUE"""),"")</f>
        <v/>
      </c>
      <c r="AB299" s="74"/>
    </row>
    <row r="300">
      <c r="A300" s="109">
        <f>IFERROR(__xludf.DUMMYFUNCTION("""COMPUTED_VALUE"""),45985.86131194445)</f>
        <v>45985.86131</v>
      </c>
      <c r="B300" s="81" t="str">
        <f>IFERROR(__xludf.DUMMYFUNCTION("""COMPUTED_VALUE"""),"Kaylie Forgue")</f>
        <v>Kaylie Forgue</v>
      </c>
      <c r="C300" s="74" t="b">
        <f>IFERROR(__xludf.DUMMYFUNCTION("""COMPUTED_VALUE"""),FALSE)</f>
        <v>0</v>
      </c>
      <c r="D300" s="137">
        <f>IFERROR(__xludf.DUMMYFUNCTION("""COMPUTED_VALUE"""),0.6833333333343035)</f>
        <v>0.6833333333</v>
      </c>
      <c r="E300" s="82">
        <f>IFERROR(__xludf.DUMMYFUNCTION("""COMPUTED_VALUE"""),0.17500000000291038)</f>
        <v>0.175</v>
      </c>
      <c r="F300" s="137">
        <f>IFERROR(__xludf.DUMMYFUNCTION("""COMPUTED_VALUE"""),0.8583333333372138)</f>
        <v>0.8583333333</v>
      </c>
      <c r="G300" s="82">
        <f>IFERROR(__xludf.DUMMYFUNCTION("""COMPUTED_VALUE"""),0.17500000000291038)</f>
        <v>0.175</v>
      </c>
      <c r="H300" s="115">
        <f>IFERROR(__xludf.DUMMYFUNCTION("""COMPUTED_VALUE"""),155.0)</f>
        <v>155</v>
      </c>
      <c r="I300" s="112">
        <f>IFERROR(__xludf.DUMMYFUNCTION("""COMPUTED_VALUE"""),36.90476190414815)</f>
        <v>36.9047619</v>
      </c>
      <c r="J300" s="74" t="str">
        <f>IFERROR(__xludf.DUMMYFUNCTION("""COMPUTED_VALUE"""),"Dinner")</f>
        <v>Dinner</v>
      </c>
      <c r="K300" s="113">
        <f>IFERROR(__xludf.DUMMYFUNCTION("""COMPUTED_VALUE"""),45985.0)</f>
        <v>45985</v>
      </c>
      <c r="L300" s="74" t="str">
        <f>IFERROR(__xludf.DUMMYFUNCTION("""COMPUTED_VALUE"""),"Monday")</f>
        <v>Monday</v>
      </c>
      <c r="M300" s="74" t="str">
        <f>IFERROR(__xludf.DUMMYFUNCTION("""COMPUTED_VALUE"""),"BF")</f>
        <v>BF</v>
      </c>
      <c r="N300" s="114">
        <f>IFERROR(__xludf.DUMMYFUNCTION("""COMPUTED_VALUE"""),0.8709400143052598)</f>
        <v>0.8709400143</v>
      </c>
      <c r="O300" s="74" t="str">
        <f>IFERROR(__xludf.DUMMYFUNCTION("""COMPUTED_VALUE"""),"")</f>
        <v/>
      </c>
      <c r="P300" s="74" t="str">
        <f>IFERROR(__xludf.DUMMYFUNCTION("""COMPUTED_VALUE"""),"")</f>
        <v/>
      </c>
      <c r="Q300" s="82" t="str">
        <f>IFERROR(__xludf.DUMMYFUNCTION("""COMPUTED_VALUE"""),"")</f>
        <v/>
      </c>
      <c r="R300" s="82" t="str">
        <f>IFERROR(__xludf.DUMMYFUNCTION("""COMPUTED_VALUE"""),"")</f>
        <v/>
      </c>
      <c r="S300" s="63" t="str">
        <f>IFERROR(__xludf.DUMMYFUNCTION("""COMPUTED_VALUE"""),"")</f>
        <v/>
      </c>
      <c r="T300" s="63" t="str">
        <f>IFERROR(__xludf.DUMMYFUNCTION("""COMPUTED_VALUE"""),"")</f>
        <v/>
      </c>
      <c r="U300" s="138" t="str">
        <f>IFERROR(__xludf.DUMMYFUNCTION("""COMPUTED_VALUE"""),"")</f>
        <v/>
      </c>
      <c r="V300" s="82" t="str">
        <f>IFERROR(__xludf.DUMMYFUNCTION("""COMPUTED_VALUE"""),"")</f>
        <v/>
      </c>
      <c r="W300" s="64" t="str">
        <f>IFERROR(__xludf.DUMMYFUNCTION("""COMPUTED_VALUE"""),"")</f>
        <v/>
      </c>
      <c r="X300" s="64" t="str">
        <f>IFERROR(__xludf.DUMMYFUNCTION("""COMPUTED_VALUE"""),"")</f>
        <v/>
      </c>
      <c r="Y300" s="114" t="str">
        <f>IFERROR(__xludf.DUMMYFUNCTION("""COMPUTED_VALUE"""),"")</f>
        <v/>
      </c>
      <c r="Z300" s="118" t="str">
        <f>IFERROR(__xludf.DUMMYFUNCTION("""COMPUTED_VALUE"""),"")</f>
        <v/>
      </c>
      <c r="AA300" s="118" t="str">
        <f>IFERROR(__xludf.DUMMYFUNCTION("""COMPUTED_VALUE"""),"")</f>
        <v/>
      </c>
      <c r="AB300" s="74"/>
    </row>
    <row r="301">
      <c r="A301" s="109">
        <f>IFERROR(__xludf.DUMMYFUNCTION("""COMPUTED_VALUE"""),45986.39349998842)</f>
        <v>45986.3935</v>
      </c>
      <c r="B301" s="81" t="str">
        <f>IFERROR(__xludf.DUMMYFUNCTION("""COMPUTED_VALUE"""),"Laila Maisuria")</f>
        <v>Laila Maisuria</v>
      </c>
      <c r="C301" s="74" t="b">
        <f>IFERROR(__xludf.DUMMYFUNCTION("""COMPUTED_VALUE"""),FALSE)</f>
        <v>0</v>
      </c>
      <c r="D301" s="137">
        <f>IFERROR(__xludf.DUMMYFUNCTION("""COMPUTED_VALUE"""),0.7701388888890506)</f>
        <v>0.7701388889</v>
      </c>
      <c r="E301" s="82">
        <f>IFERROR(__xludf.DUMMYFUNCTION("""COMPUTED_VALUE"""),0.09861111111240461)</f>
        <v>0.09861111111</v>
      </c>
      <c r="F301" s="137">
        <f>IFERROR(__xludf.DUMMYFUNCTION("""COMPUTED_VALUE"""),0.8687500000014552)</f>
        <v>0.86875</v>
      </c>
      <c r="G301" s="82">
        <f>IFERROR(__xludf.DUMMYFUNCTION("""COMPUTED_VALUE"""),0.09861111111240461)</f>
        <v>0.09861111111</v>
      </c>
      <c r="H301" s="115">
        <f>IFERROR(__xludf.DUMMYFUNCTION("""COMPUTED_VALUE"""),55.0)</f>
        <v>55</v>
      </c>
      <c r="I301" s="112">
        <f>IFERROR(__xludf.DUMMYFUNCTION("""COMPUTED_VALUE"""),23.239436619413475)</f>
        <v>23.23943662</v>
      </c>
      <c r="J301" s="74" t="str">
        <f>IFERROR(__xludf.DUMMYFUNCTION("""COMPUTED_VALUE"""),"Dinner")</f>
        <v>Dinner</v>
      </c>
      <c r="K301" s="113">
        <f>IFERROR(__xludf.DUMMYFUNCTION("""COMPUTED_VALUE"""),45985.0)</f>
        <v>45985</v>
      </c>
      <c r="L301" s="74" t="str">
        <f>IFERROR(__xludf.DUMMYFUNCTION("""COMPUTED_VALUE"""),"Monday")</f>
        <v>Monday</v>
      </c>
      <c r="M301" s="74" t="str">
        <f>IFERROR(__xludf.DUMMYFUNCTION("""COMPUTED_VALUE"""),"MF")</f>
        <v>MF</v>
      </c>
      <c r="N301" s="114">
        <f>IFERROR(__xludf.DUMMYFUNCTION("""COMPUTED_VALUE"""),0.45793277684232997)</f>
        <v>0.4579327768</v>
      </c>
      <c r="O301" s="74">
        <f>IFERROR(__xludf.DUMMYFUNCTION("""COMPUTED_VALUE"""),283.0)</f>
        <v>283</v>
      </c>
      <c r="P301" s="74">
        <f>IFERROR(__xludf.DUMMYFUNCTION("""COMPUTED_VALUE"""),155.0)</f>
        <v>155</v>
      </c>
      <c r="Q301" s="82">
        <f>IFERROR(__xludf.DUMMYFUNCTION("""COMPUTED_VALUE"""),0.3423611111138598)</f>
        <v>0.3423611111</v>
      </c>
      <c r="R301" s="82">
        <f>IFERROR(__xludf.DUMMYFUNCTION("""COMPUTED_VALUE"""),0.17500000000291038)</f>
        <v>0.175</v>
      </c>
      <c r="S301" s="63">
        <f>IFERROR(__xludf.DUMMYFUNCTION("""COMPUTED_VALUE"""),36.33329882212477)</f>
        <v>36.33329882</v>
      </c>
      <c r="T301" s="63">
        <f>IFERROR(__xludf.DUMMYFUNCTION("""COMPUTED_VALUE"""),36.90476190414815)</f>
        <v>36.9047619</v>
      </c>
      <c r="U301" s="138">
        <f>IFERROR(__xludf.DUMMYFUNCTION("""COMPUTED_VALUE"""),438.0)</f>
        <v>438</v>
      </c>
      <c r="V301" s="82">
        <f>IFERROR(__xludf.DUMMYFUNCTION("""COMPUTED_VALUE"""),0.5173611111167702)</f>
        <v>0.5173611111</v>
      </c>
      <c r="W301" s="64">
        <f>IFERROR(__xludf.DUMMYFUNCTION("""COMPUTED_VALUE"""),35.275167784849046)</f>
        <v>35.27516778</v>
      </c>
      <c r="X301" s="64">
        <f>IFERROR(__xludf.DUMMYFUNCTION("""COMPUTED_VALUE"""),36.44759143852944)</f>
        <v>36.44759144</v>
      </c>
      <c r="Y301" s="114">
        <f>IFERROR(__xludf.DUMMYFUNCTION("""COMPUTED_VALUE"""),0.7960318386638879)</f>
        <v>0.7960318387</v>
      </c>
      <c r="Z301" s="118" t="str">
        <f>IFERROR(__xludf.DUMMYFUNCTION("""COMPUTED_VALUE"""),"")</f>
        <v/>
      </c>
      <c r="AA301" s="118" t="str">
        <f>IFERROR(__xludf.DUMMYFUNCTION("""COMPUTED_VALUE"""),"")</f>
        <v/>
      </c>
      <c r="AB301" s="74"/>
    </row>
    <row r="302">
      <c r="A302" s="109">
        <f>IFERROR(__xludf.DUMMYFUNCTION("""COMPUTED_VALUE"""),45986.477140104165)</f>
        <v>45986.47714</v>
      </c>
      <c r="B302" s="81" t="str">
        <f>IFERROR(__xludf.DUMMYFUNCTION("""COMPUTED_VALUE"""),"Emmett Khan")</f>
        <v>Emmett Khan</v>
      </c>
      <c r="C302" s="74" t="b">
        <f>IFERROR(__xludf.DUMMYFUNCTION("""COMPUTED_VALUE"""),FALSE)</f>
        <v>0</v>
      </c>
      <c r="D302" s="137">
        <f>IFERROR(__xludf.DUMMYFUNCTION("""COMPUTED_VALUE"""),0.39583333333575865)</f>
        <v>0.3958333333</v>
      </c>
      <c r="E302" s="82">
        <f>IFERROR(__xludf.DUMMYFUNCTION("""COMPUTED_VALUE"""),0.0833333333284827)</f>
        <v>0.08333333333</v>
      </c>
      <c r="F302" s="137">
        <f>IFERROR(__xludf.DUMMYFUNCTION("""COMPUTED_VALUE"""),0.47916666666424135)</f>
        <v>0.4791666667</v>
      </c>
      <c r="G302" s="82">
        <f>IFERROR(__xludf.DUMMYFUNCTION("""COMPUTED_VALUE"""),0.0833333333284827)</f>
        <v>0.08333333333</v>
      </c>
      <c r="H302" s="115">
        <f>IFERROR(__xludf.DUMMYFUNCTION("""COMPUTED_VALUE"""),57.0)</f>
        <v>57</v>
      </c>
      <c r="I302" s="112">
        <f>IFERROR(__xludf.DUMMYFUNCTION("""COMPUTED_VALUE"""),28.50000000165892)</f>
        <v>28.5</v>
      </c>
      <c r="J302" s="74" t="str">
        <f>IFERROR(__xludf.DUMMYFUNCTION("""COMPUTED_VALUE"""),"Breakfast/Lunch")</f>
        <v>Breakfast/Lunch</v>
      </c>
      <c r="K302" s="113">
        <f>IFERROR(__xludf.DUMMYFUNCTION("""COMPUTED_VALUE"""),45986.0)</f>
        <v>45986</v>
      </c>
      <c r="L302" s="74" t="str">
        <f>IFERROR(__xludf.DUMMYFUNCTION("""COMPUTED_VALUE"""),"Tuesday")</f>
        <v>Tuesday</v>
      </c>
      <c r="M302" s="74" t="str">
        <f>IFERROR(__xludf.DUMMYFUNCTION("""COMPUTED_VALUE"""),"BF")</f>
        <v>BF</v>
      </c>
      <c r="N302" s="114">
        <f>IFERROR(__xludf.DUMMYFUNCTION("""COMPUTED_VALUE"""),0.5005021160200556)</f>
        <v>0.500502116</v>
      </c>
      <c r="O302" s="74" t="str">
        <f>IFERROR(__xludf.DUMMYFUNCTION("""COMPUTED_VALUE"""),"")</f>
        <v/>
      </c>
      <c r="P302" s="74" t="str">
        <f>IFERROR(__xludf.DUMMYFUNCTION("""COMPUTED_VALUE"""),"")</f>
        <v/>
      </c>
      <c r="Q302" s="82" t="str">
        <f>IFERROR(__xludf.DUMMYFUNCTION("""COMPUTED_VALUE"""),"")</f>
        <v/>
      </c>
      <c r="R302" s="82" t="str">
        <f>IFERROR(__xludf.DUMMYFUNCTION("""COMPUTED_VALUE"""),"")</f>
        <v/>
      </c>
      <c r="S302" s="63" t="str">
        <f>IFERROR(__xludf.DUMMYFUNCTION("""COMPUTED_VALUE"""),"")</f>
        <v/>
      </c>
      <c r="T302" s="63" t="str">
        <f>IFERROR(__xludf.DUMMYFUNCTION("""COMPUTED_VALUE"""),"")</f>
        <v/>
      </c>
      <c r="U302" s="138" t="str">
        <f>IFERROR(__xludf.DUMMYFUNCTION("""COMPUTED_VALUE"""),"")</f>
        <v/>
      </c>
      <c r="V302" s="82" t="str">
        <f>IFERROR(__xludf.DUMMYFUNCTION("""COMPUTED_VALUE"""),"")</f>
        <v/>
      </c>
      <c r="W302" s="64" t="str">
        <f>IFERROR(__xludf.DUMMYFUNCTION("""COMPUTED_VALUE"""),"")</f>
        <v/>
      </c>
      <c r="X302" s="64" t="str">
        <f>IFERROR(__xludf.DUMMYFUNCTION("""COMPUTED_VALUE"""),"")</f>
        <v/>
      </c>
      <c r="Y302" s="114" t="str">
        <f>IFERROR(__xludf.DUMMYFUNCTION("""COMPUTED_VALUE"""),"")</f>
        <v/>
      </c>
      <c r="Z302" s="118" t="str">
        <f>IFERROR(__xludf.DUMMYFUNCTION("""COMPUTED_VALUE"""),"")</f>
        <v/>
      </c>
      <c r="AA302" s="118" t="str">
        <f>IFERROR(__xludf.DUMMYFUNCTION("""COMPUTED_VALUE"""),"")</f>
        <v/>
      </c>
      <c r="AB302" s="74"/>
    </row>
    <row r="303">
      <c r="A303" s="109">
        <f>IFERROR(__xludf.DUMMYFUNCTION("""COMPUTED_VALUE"""),45986.637574583336)</f>
        <v>45986.63757</v>
      </c>
      <c r="B303" s="81" t="str">
        <f>IFERROR(__xludf.DUMMYFUNCTION("""COMPUTED_VALUE"""),"Kaylie Forgue")</f>
        <v>Kaylie Forgue</v>
      </c>
      <c r="C303" s="74" t="b">
        <f>IFERROR(__xludf.DUMMYFUNCTION("""COMPUTED_VALUE"""),FALSE)</f>
        <v>0</v>
      </c>
      <c r="D303" s="137">
        <f>IFERROR(__xludf.DUMMYFUNCTION("""COMPUTED_VALUE"""),0.47777777777810115)</f>
        <v>0.4777777778</v>
      </c>
      <c r="E303" s="82">
        <f>IFERROR(__xludf.DUMMYFUNCTION("""COMPUTED_VALUE"""),0.15138888888759539)</f>
        <v>0.1513888889</v>
      </c>
      <c r="F303" s="137">
        <f>IFERROR(__xludf.DUMMYFUNCTION("""COMPUTED_VALUE"""),0.6291666666656965)</f>
        <v>0.6291666667</v>
      </c>
      <c r="G303" s="82">
        <f>IFERROR(__xludf.DUMMYFUNCTION("""COMPUTED_VALUE"""),0.15138888888759539)</f>
        <v>0.1513888889</v>
      </c>
      <c r="H303" s="115">
        <f>IFERROR(__xludf.DUMMYFUNCTION("""COMPUTED_VALUE"""),158.0)</f>
        <v>158</v>
      </c>
      <c r="I303" s="112">
        <f>IFERROR(__xludf.DUMMYFUNCTION("""COMPUTED_VALUE"""),43.48623853248165)</f>
        <v>43.48623853</v>
      </c>
      <c r="J303" s="74" t="str">
        <f>IFERROR(__xludf.DUMMYFUNCTION("""COMPUTED_VALUE"""),"Lunch")</f>
        <v>Lunch</v>
      </c>
      <c r="K303" s="113">
        <f>IFERROR(__xludf.DUMMYFUNCTION("""COMPUTED_VALUE"""),45986.0)</f>
        <v>45986</v>
      </c>
      <c r="L303" s="74" t="str">
        <f>IFERROR(__xludf.DUMMYFUNCTION("""COMPUTED_VALUE"""),"Tuesday")</f>
        <v>Tuesday</v>
      </c>
      <c r="M303" s="74" t="str">
        <f>IFERROR(__xludf.DUMMYFUNCTION("""COMPUTED_VALUE"""),"MF")</f>
        <v>MF</v>
      </c>
      <c r="N303" s="114">
        <f>IFERROR(__xludf.DUMMYFUNCTION("""COMPUTED_VALUE"""),0.9042895130150738)</f>
        <v>0.904289513</v>
      </c>
      <c r="O303" s="74" t="str">
        <f>IFERROR(__xludf.DUMMYFUNCTION("""COMPUTED_VALUE"""),"")</f>
        <v/>
      </c>
      <c r="P303" s="74" t="str">
        <f>IFERROR(__xludf.DUMMYFUNCTION("""COMPUTED_VALUE"""),"")</f>
        <v/>
      </c>
      <c r="Q303" s="82" t="str">
        <f>IFERROR(__xludf.DUMMYFUNCTION("""COMPUTED_VALUE"""),"")</f>
        <v/>
      </c>
      <c r="R303" s="82" t="str">
        <f>IFERROR(__xludf.DUMMYFUNCTION("""COMPUTED_VALUE"""),"")</f>
        <v/>
      </c>
      <c r="S303" s="63" t="str">
        <f>IFERROR(__xludf.DUMMYFUNCTION("""COMPUTED_VALUE"""),"")</f>
        <v/>
      </c>
      <c r="T303" s="63" t="str">
        <f>IFERROR(__xludf.DUMMYFUNCTION("""COMPUTED_VALUE"""),"")</f>
        <v/>
      </c>
      <c r="U303" s="138" t="str">
        <f>IFERROR(__xludf.DUMMYFUNCTION("""COMPUTED_VALUE"""),"")</f>
        <v/>
      </c>
      <c r="V303" s="82" t="str">
        <f>IFERROR(__xludf.DUMMYFUNCTION("""COMPUTED_VALUE"""),"")</f>
        <v/>
      </c>
      <c r="W303" s="64" t="str">
        <f>IFERROR(__xludf.DUMMYFUNCTION("""COMPUTED_VALUE"""),"")</f>
        <v/>
      </c>
      <c r="X303" s="64" t="str">
        <f>IFERROR(__xludf.DUMMYFUNCTION("""COMPUTED_VALUE"""),"")</f>
        <v/>
      </c>
      <c r="Y303" s="114" t="str">
        <f>IFERROR(__xludf.DUMMYFUNCTION("""COMPUTED_VALUE"""),"")</f>
        <v/>
      </c>
      <c r="Z303" s="118" t="str">
        <f>IFERROR(__xludf.DUMMYFUNCTION("""COMPUTED_VALUE"""),"")</f>
        <v/>
      </c>
      <c r="AA303" s="118" t="str">
        <f>IFERROR(__xludf.DUMMYFUNCTION("""COMPUTED_VALUE"""),"")</f>
        <v/>
      </c>
      <c r="AB303" s="74"/>
    </row>
    <row r="304">
      <c r="A304" s="109">
        <f>IFERROR(__xludf.DUMMYFUNCTION("""COMPUTED_VALUE"""),45986.790231446765)</f>
        <v>45986.79023</v>
      </c>
      <c r="B304" s="81" t="str">
        <f>IFERROR(__xludf.DUMMYFUNCTION("""COMPUTED_VALUE"""),"Kyra Turner")</f>
        <v>Kyra Turner</v>
      </c>
      <c r="C304" s="74" t="b">
        <f>IFERROR(__xludf.DUMMYFUNCTION("""COMPUTED_VALUE"""),FALSE)</f>
        <v>0</v>
      </c>
      <c r="D304" s="137">
        <f>IFERROR(__xludf.DUMMYFUNCTION("""COMPUTED_VALUE"""),0.6875)</f>
        <v>0.6875</v>
      </c>
      <c r="E304" s="82">
        <f>IFERROR(__xludf.DUMMYFUNCTION("""COMPUTED_VALUE"""),0.10208333333139308)</f>
        <v>0.1020833333</v>
      </c>
      <c r="F304" s="137">
        <f>IFERROR(__xludf.DUMMYFUNCTION("""COMPUTED_VALUE"""),0.7895833333313931)</f>
        <v>0.7895833333</v>
      </c>
      <c r="G304" s="82">
        <f>IFERROR(__xludf.DUMMYFUNCTION("""COMPUTED_VALUE"""),0.10208333333139308)</f>
        <v>0.1020833333</v>
      </c>
      <c r="H304" s="115">
        <f>IFERROR(__xludf.DUMMYFUNCTION("""COMPUTED_VALUE"""),21.0)</f>
        <v>21</v>
      </c>
      <c r="I304" s="112">
        <f>IFERROR(__xludf.DUMMYFUNCTION("""COMPUTED_VALUE"""),8.571428571591484)</f>
        <v>8.571428572</v>
      </c>
      <c r="J304" s="74" t="str">
        <f>IFERROR(__xludf.DUMMYFUNCTION("""COMPUTED_VALUE"""),"Dinner")</f>
        <v>Dinner</v>
      </c>
      <c r="K304" s="113">
        <f>IFERROR(__xludf.DUMMYFUNCTION("""COMPUTED_VALUE"""),45986.0)</f>
        <v>45986</v>
      </c>
      <c r="L304" s="74" t="str">
        <f>IFERROR(__xludf.DUMMYFUNCTION("""COMPUTED_VALUE"""),"Tuesday")</f>
        <v>Tuesday</v>
      </c>
      <c r="M304" s="74" t="str">
        <f>IFERROR(__xludf.DUMMYFUNCTION("""COMPUTED_VALUE"""),"BF")</f>
        <v>BF</v>
      </c>
      <c r="N304" s="114">
        <f>IFERROR(__xludf.DUMMYFUNCTION("""COMPUTED_VALUE"""),0.20228284203939817)</f>
        <v>0.202282842</v>
      </c>
      <c r="O304" s="74">
        <f>IFERROR(__xludf.DUMMYFUNCTION("""COMPUTED_VALUE"""),158.0)</f>
        <v>158</v>
      </c>
      <c r="P304" s="74">
        <f>IFERROR(__xludf.DUMMYFUNCTION("""COMPUTED_VALUE"""),78.0)</f>
        <v>78</v>
      </c>
      <c r="Q304" s="82">
        <f>IFERROR(__xludf.DUMMYFUNCTION("""COMPUTED_VALUE"""),0.15138888888759539)</f>
        <v>0.1513888889</v>
      </c>
      <c r="R304" s="82">
        <f>IFERROR(__xludf.DUMMYFUNCTION("""COMPUTED_VALUE"""),0.18541666665987577)</f>
        <v>0.1854166667</v>
      </c>
      <c r="S304" s="63">
        <f>IFERROR(__xludf.DUMMYFUNCTION("""COMPUTED_VALUE"""),43.48623853248165)</f>
        <v>43.48623853</v>
      </c>
      <c r="T304" s="63">
        <f>IFERROR(__xludf.DUMMYFUNCTION("""COMPUTED_VALUE"""),18.5357142866252)</f>
        <v>18.53571429</v>
      </c>
      <c r="U304" s="138">
        <f>IFERROR(__xludf.DUMMYFUNCTION("""COMPUTED_VALUE"""),236.0)</f>
        <v>236</v>
      </c>
      <c r="V304" s="82">
        <f>IFERROR(__xludf.DUMMYFUNCTION("""COMPUTED_VALUE"""),0.33680555554747116)</f>
        <v>0.3368055555</v>
      </c>
      <c r="W304" s="64">
        <f>IFERROR(__xludf.DUMMYFUNCTION("""COMPUTED_VALUE"""),29.195876289360587)</f>
        <v>29.19587629</v>
      </c>
      <c r="X304" s="64">
        <f>IFERROR(__xludf.DUMMYFUNCTION("""COMPUTED_VALUE"""),26.852555701910685)</f>
        <v>26.8525557</v>
      </c>
      <c r="Y304" s="114">
        <f>IFERROR(__xludf.DUMMYFUNCTION("""COMPUTED_VALUE"""),0.5536061200048765)</f>
        <v>0.55360612</v>
      </c>
      <c r="Z304" s="118" t="str">
        <f>IFERROR(__xludf.DUMMYFUNCTION("""COMPUTED_VALUE"""),"")</f>
        <v/>
      </c>
      <c r="AA304" s="118" t="str">
        <f>IFERROR(__xludf.DUMMYFUNCTION("""COMPUTED_VALUE"""),"")</f>
        <v/>
      </c>
      <c r="AB304" s="74"/>
    </row>
    <row r="305">
      <c r="A305" s="109">
        <f>IFERROR(__xludf.DUMMYFUNCTION("""COMPUTED_VALUE"""),45992.49950497685)</f>
        <v>45992.4995</v>
      </c>
      <c r="B305" s="81" t="str">
        <f>IFERROR(__xludf.DUMMYFUNCTION("""COMPUTED_VALUE"""),"Oluwatimilehin Shodipe")</f>
        <v>Oluwatimilehin Shodipe</v>
      </c>
      <c r="C305" s="74" t="b">
        <f>IFERROR(__xludf.DUMMYFUNCTION("""COMPUTED_VALUE"""),FALSE)</f>
        <v>0</v>
      </c>
      <c r="D305" s="137">
        <f>IFERROR(__xludf.DUMMYFUNCTION("""COMPUTED_VALUE"""),0.4381944444467081)</f>
        <v>0.4381944444</v>
      </c>
      <c r="E305" s="82">
        <f>IFERROR(__xludf.DUMMYFUNCTION("""COMPUTED_VALUE"""),0.061805555553291924)</f>
        <v>0.06180555555</v>
      </c>
      <c r="F305" s="137">
        <f>IFERROR(__xludf.DUMMYFUNCTION("""COMPUTED_VALUE"""),0.5)</f>
        <v>0.5</v>
      </c>
      <c r="G305" s="82">
        <f>IFERROR(__xludf.DUMMYFUNCTION("""COMPUTED_VALUE"""),0.061805555553291924)</f>
        <v>0.06180555555</v>
      </c>
      <c r="H305" s="115">
        <f>IFERROR(__xludf.DUMMYFUNCTION("""COMPUTED_VALUE"""),98.0)</f>
        <v>98</v>
      </c>
      <c r="I305" s="112">
        <f>IFERROR(__xludf.DUMMYFUNCTION("""COMPUTED_VALUE"""),66.0674157327568)</f>
        <v>66.06741573</v>
      </c>
      <c r="J305" s="74" t="str">
        <f>IFERROR(__xludf.DUMMYFUNCTION("""COMPUTED_VALUE"""),"Breakfast/Lunch")</f>
        <v>Breakfast/Lunch</v>
      </c>
      <c r="K305" s="113">
        <f>IFERROR(__xludf.DUMMYFUNCTION("""COMPUTED_VALUE"""),45992.0)</f>
        <v>45992</v>
      </c>
      <c r="L305" s="74" t="str">
        <f>IFERROR(__xludf.DUMMYFUNCTION("""COMPUTED_VALUE"""),"Monday")</f>
        <v>Monday</v>
      </c>
      <c r="M305" s="74" t="str">
        <f>IFERROR(__xludf.DUMMYFUNCTION("""COMPUTED_VALUE"""),"BF")</f>
        <v>BF</v>
      </c>
      <c r="N305" s="114">
        <f>IFERROR(__xludf.DUMMYFUNCTION("""COMPUTED_VALUE"""),1.160241451659535)</f>
        <v>1.160241452</v>
      </c>
      <c r="O305" s="74" t="str">
        <f>IFERROR(__xludf.DUMMYFUNCTION("""COMPUTED_VALUE"""),"")</f>
        <v/>
      </c>
      <c r="P305" s="74" t="str">
        <f>IFERROR(__xludf.DUMMYFUNCTION("""COMPUTED_VALUE"""),"")</f>
        <v/>
      </c>
      <c r="Q305" s="82" t="str">
        <f>IFERROR(__xludf.DUMMYFUNCTION("""COMPUTED_VALUE"""),"")</f>
        <v/>
      </c>
      <c r="R305" s="82" t="str">
        <f>IFERROR(__xludf.DUMMYFUNCTION("""COMPUTED_VALUE"""),"")</f>
        <v/>
      </c>
      <c r="S305" s="63" t="str">
        <f>IFERROR(__xludf.DUMMYFUNCTION("""COMPUTED_VALUE"""),"")</f>
        <v/>
      </c>
      <c r="T305" s="63" t="str">
        <f>IFERROR(__xludf.DUMMYFUNCTION("""COMPUTED_VALUE"""),"")</f>
        <v/>
      </c>
      <c r="U305" s="138" t="str">
        <f>IFERROR(__xludf.DUMMYFUNCTION("""COMPUTED_VALUE"""),"")</f>
        <v/>
      </c>
      <c r="V305" s="82" t="str">
        <f>IFERROR(__xludf.DUMMYFUNCTION("""COMPUTED_VALUE"""),"")</f>
        <v/>
      </c>
      <c r="W305" s="64" t="str">
        <f>IFERROR(__xludf.DUMMYFUNCTION("""COMPUTED_VALUE"""),"")</f>
        <v/>
      </c>
      <c r="X305" s="64" t="str">
        <f>IFERROR(__xludf.DUMMYFUNCTION("""COMPUTED_VALUE"""),"")</f>
        <v/>
      </c>
      <c r="Y305" s="114" t="str">
        <f>IFERROR(__xludf.DUMMYFUNCTION("""COMPUTED_VALUE"""),"")</f>
        <v/>
      </c>
      <c r="Z305" s="118" t="str">
        <f>IFERROR(__xludf.DUMMYFUNCTION("""COMPUTED_VALUE"""),"")</f>
        <v/>
      </c>
      <c r="AA305" s="118" t="str">
        <f>IFERROR(__xludf.DUMMYFUNCTION("""COMPUTED_VALUE"""),"")</f>
        <v/>
      </c>
      <c r="AB305" s="74"/>
    </row>
    <row r="306">
      <c r="A306" s="109">
        <f>IFERROR(__xludf.DUMMYFUNCTION("""COMPUTED_VALUE"""),45992.56567916667)</f>
        <v>45992.56568</v>
      </c>
      <c r="B306" s="81" t="str">
        <f>IFERROR(__xludf.DUMMYFUNCTION("""COMPUTED_VALUE"""),"Orpheus Wilson")</f>
        <v>Orpheus Wilson</v>
      </c>
      <c r="C306" s="74" t="b">
        <f>IFERROR(__xludf.DUMMYFUNCTION("""COMPUTED_VALUE"""),FALSE)</f>
        <v>0</v>
      </c>
      <c r="D306" s="137">
        <f>IFERROR(__xludf.DUMMYFUNCTION("""COMPUTED_VALUE"""),0.47916666666424135)</f>
        <v>0.4791666667</v>
      </c>
      <c r="E306" s="82">
        <f>IFERROR(__xludf.DUMMYFUNCTION("""COMPUTED_VALUE"""),0.08125000000291038)</f>
        <v>0.08125</v>
      </c>
      <c r="F306" s="137">
        <f>IFERROR(__xludf.DUMMYFUNCTION("""COMPUTED_VALUE"""),0.5604166666671517)</f>
        <v>0.5604166667</v>
      </c>
      <c r="G306" s="82">
        <f>IFERROR(__xludf.DUMMYFUNCTION("""COMPUTED_VALUE"""),0.08125000000291038)</f>
        <v>0.08125</v>
      </c>
      <c r="H306" s="115">
        <f>IFERROR(__xludf.DUMMYFUNCTION("""COMPUTED_VALUE"""),145.0)</f>
        <v>145</v>
      </c>
      <c r="I306" s="112">
        <f>IFERROR(__xludf.DUMMYFUNCTION("""COMPUTED_VALUE"""),74.35897435631081)</f>
        <v>74.35897436</v>
      </c>
      <c r="J306" s="74" t="str">
        <f>IFERROR(__xludf.DUMMYFUNCTION("""COMPUTED_VALUE"""),"Lunch")</f>
        <v>Lunch</v>
      </c>
      <c r="K306" s="113">
        <f>IFERROR(__xludf.DUMMYFUNCTION("""COMPUTED_VALUE"""),45992.0)</f>
        <v>45992</v>
      </c>
      <c r="L306" s="74" t="str">
        <f>IFERROR(__xludf.DUMMYFUNCTION("""COMPUTED_VALUE"""),"Monday")</f>
        <v>Monday</v>
      </c>
      <c r="M306" s="74" t="str">
        <f>IFERROR(__xludf.DUMMYFUNCTION("""COMPUTED_VALUE"""),"MF")</f>
        <v>MF</v>
      </c>
      <c r="N306" s="114">
        <f>IFERROR(__xludf.DUMMYFUNCTION("""COMPUTED_VALUE"""),1.5462832146023122)</f>
        <v>1.546283215</v>
      </c>
      <c r="O306" s="74" t="str">
        <f>IFERROR(__xludf.DUMMYFUNCTION("""COMPUTED_VALUE"""),"")</f>
        <v/>
      </c>
      <c r="P306" s="74" t="str">
        <f>IFERROR(__xludf.DUMMYFUNCTION("""COMPUTED_VALUE"""),"")</f>
        <v/>
      </c>
      <c r="Q306" s="82" t="str">
        <f>IFERROR(__xludf.DUMMYFUNCTION("""COMPUTED_VALUE"""),"")</f>
        <v/>
      </c>
      <c r="R306" s="82" t="str">
        <f>IFERROR(__xludf.DUMMYFUNCTION("""COMPUTED_VALUE"""),"")</f>
        <v/>
      </c>
      <c r="S306" s="63" t="str">
        <f>IFERROR(__xludf.DUMMYFUNCTION("""COMPUTED_VALUE"""),"")</f>
        <v/>
      </c>
      <c r="T306" s="63" t="str">
        <f>IFERROR(__xludf.DUMMYFUNCTION("""COMPUTED_VALUE"""),"")</f>
        <v/>
      </c>
      <c r="U306" s="138" t="str">
        <f>IFERROR(__xludf.DUMMYFUNCTION("""COMPUTED_VALUE"""),"")</f>
        <v/>
      </c>
      <c r="V306" s="82" t="str">
        <f>IFERROR(__xludf.DUMMYFUNCTION("""COMPUTED_VALUE"""),"")</f>
        <v/>
      </c>
      <c r="W306" s="64" t="str">
        <f>IFERROR(__xludf.DUMMYFUNCTION("""COMPUTED_VALUE"""),"")</f>
        <v/>
      </c>
      <c r="X306" s="64" t="str">
        <f>IFERROR(__xludf.DUMMYFUNCTION("""COMPUTED_VALUE"""),"")</f>
        <v/>
      </c>
      <c r="Y306" s="114" t="str">
        <f>IFERROR(__xludf.DUMMYFUNCTION("""COMPUTED_VALUE"""),"")</f>
        <v/>
      </c>
      <c r="Z306" s="118" t="str">
        <f>IFERROR(__xludf.DUMMYFUNCTION("""COMPUTED_VALUE"""),"")</f>
        <v/>
      </c>
      <c r="AA306" s="118" t="str">
        <f>IFERROR(__xludf.DUMMYFUNCTION("""COMPUTED_VALUE"""),"")</f>
        <v/>
      </c>
      <c r="AB306" s="74"/>
    </row>
    <row r="307">
      <c r="A307" s="109">
        <f>IFERROR(__xludf.DUMMYFUNCTION("""COMPUTED_VALUE"""),45992.63332143518)</f>
        <v>45992.63332</v>
      </c>
      <c r="B307" s="81" t="str">
        <f>IFERROR(__xludf.DUMMYFUNCTION("""COMPUTED_VALUE"""),"Oluwatimilehin Shodipe")</f>
        <v>Oluwatimilehin Shodipe</v>
      </c>
      <c r="C307" s="74" t="b">
        <f>IFERROR(__xludf.DUMMYFUNCTION("""COMPUTED_VALUE"""),FALSE)</f>
        <v>0</v>
      </c>
      <c r="D307" s="137">
        <f>IFERROR(__xludf.DUMMYFUNCTION("""COMPUTED_VALUE"""),0.5625)</f>
        <v>0.5625</v>
      </c>
      <c r="E307" s="82">
        <f>IFERROR(__xludf.DUMMYFUNCTION("""COMPUTED_VALUE"""),0.07291666666666663)</f>
        <v>0.07291666667</v>
      </c>
      <c r="F307" s="137">
        <f>IFERROR(__xludf.DUMMYFUNCTION("""COMPUTED_VALUE"""),0.6354166666666666)</f>
        <v>0.6354166667</v>
      </c>
      <c r="G307" s="82">
        <f>IFERROR(__xludf.DUMMYFUNCTION("""COMPUTED_VALUE"""),0.07291666666666663)</f>
        <v>0.07291666667</v>
      </c>
      <c r="H307" s="115">
        <f>IFERROR(__xludf.DUMMYFUNCTION("""COMPUTED_VALUE"""),107.0)</f>
        <v>107</v>
      </c>
      <c r="I307" s="112">
        <f>IFERROR(__xludf.DUMMYFUNCTION("""COMPUTED_VALUE"""),61.142857142857174)</f>
        <v>61.14285714</v>
      </c>
      <c r="J307" s="74" t="str">
        <f>IFERROR(__xludf.DUMMYFUNCTION("""COMPUTED_VALUE"""),"Lunch")</f>
        <v>Lunch</v>
      </c>
      <c r="K307" s="113">
        <f>IFERROR(__xludf.DUMMYFUNCTION("""COMPUTED_VALUE"""),45992.0)</f>
        <v>45992</v>
      </c>
      <c r="L307" s="74" t="str">
        <f>IFERROR(__xludf.DUMMYFUNCTION("""COMPUTED_VALUE"""),"Monday")</f>
        <v>Monday</v>
      </c>
      <c r="M307" s="74" t="str">
        <f>IFERROR(__xludf.DUMMYFUNCTION("""COMPUTED_VALUE"""),"MF")</f>
        <v>MF</v>
      </c>
      <c r="N307" s="114">
        <f>IFERROR(__xludf.DUMMYFUNCTION("""COMPUTED_VALUE"""),1.2714561290180466)</f>
        <v>1.271456129</v>
      </c>
      <c r="O307" s="74" t="str">
        <f>IFERROR(__xludf.DUMMYFUNCTION("""COMPUTED_VALUE"""),"")</f>
        <v/>
      </c>
      <c r="P307" s="74" t="str">
        <f>IFERROR(__xludf.DUMMYFUNCTION("""COMPUTED_VALUE"""),"")</f>
        <v/>
      </c>
      <c r="Q307" s="82" t="str">
        <f>IFERROR(__xludf.DUMMYFUNCTION("""COMPUTED_VALUE"""),"")</f>
        <v/>
      </c>
      <c r="R307" s="82" t="str">
        <f>IFERROR(__xludf.DUMMYFUNCTION("""COMPUTED_VALUE"""),"")</f>
        <v/>
      </c>
      <c r="S307" s="63" t="str">
        <f>IFERROR(__xludf.DUMMYFUNCTION("""COMPUTED_VALUE"""),"")</f>
        <v/>
      </c>
      <c r="T307" s="63" t="str">
        <f>IFERROR(__xludf.DUMMYFUNCTION("""COMPUTED_VALUE"""),"")</f>
        <v/>
      </c>
      <c r="U307" s="138" t="str">
        <f>IFERROR(__xludf.DUMMYFUNCTION("""COMPUTED_VALUE"""),"")</f>
        <v/>
      </c>
      <c r="V307" s="82" t="str">
        <f>IFERROR(__xludf.DUMMYFUNCTION("""COMPUTED_VALUE"""),"")</f>
        <v/>
      </c>
      <c r="W307" s="64" t="str">
        <f>IFERROR(__xludf.DUMMYFUNCTION("""COMPUTED_VALUE"""),"")</f>
        <v/>
      </c>
      <c r="X307" s="64" t="str">
        <f>IFERROR(__xludf.DUMMYFUNCTION("""COMPUTED_VALUE"""),"")</f>
        <v/>
      </c>
      <c r="Y307" s="114" t="str">
        <f>IFERROR(__xludf.DUMMYFUNCTION("""COMPUTED_VALUE"""),"")</f>
        <v/>
      </c>
      <c r="Z307" s="118" t="str">
        <f>IFERROR(__xludf.DUMMYFUNCTION("""COMPUTED_VALUE"""),"")</f>
        <v/>
      </c>
      <c r="AA307" s="118" t="str">
        <f>IFERROR(__xludf.DUMMYFUNCTION("""COMPUTED_VALUE"""),"")</f>
        <v/>
      </c>
      <c r="AB307" s="74"/>
    </row>
    <row r="308">
      <c r="A308" s="109">
        <f>IFERROR(__xludf.DUMMYFUNCTION("""COMPUTED_VALUE"""),45992.77066371527)</f>
        <v>45992.77066</v>
      </c>
      <c r="B308" s="81" t="str">
        <f>IFERROR(__xludf.DUMMYFUNCTION("""COMPUTED_VALUE"""),"Maureen Surgot")</f>
        <v>Maureen Surgot</v>
      </c>
      <c r="C308" s="74" t="b">
        <f>IFERROR(__xludf.DUMMYFUNCTION("""COMPUTED_VALUE"""),FALSE)</f>
        <v>0</v>
      </c>
      <c r="D308" s="137">
        <f>IFERROR(__xludf.DUMMYFUNCTION("""COMPUTED_VALUE"""),0.6875)</f>
        <v>0.6875</v>
      </c>
      <c r="E308" s="82">
        <f>IFERROR(__xludf.DUMMYFUNCTION("""COMPUTED_VALUE"""),0.08333333333575865)</f>
        <v>0.08333333334</v>
      </c>
      <c r="F308" s="137">
        <f>IFERROR(__xludf.DUMMYFUNCTION("""COMPUTED_VALUE"""),0.7708333333357587)</f>
        <v>0.7708333333</v>
      </c>
      <c r="G308" s="82">
        <f>IFERROR(__xludf.DUMMYFUNCTION("""COMPUTED_VALUE"""),0.08333333333575865)</f>
        <v>0.08333333334</v>
      </c>
      <c r="H308" s="115">
        <f>IFERROR(__xludf.DUMMYFUNCTION("""COMPUTED_VALUE"""),113.0)</f>
        <v>113</v>
      </c>
      <c r="I308" s="112">
        <f>IFERROR(__xludf.DUMMYFUNCTION("""COMPUTED_VALUE"""),56.499999998355634)</f>
        <v>56.5</v>
      </c>
      <c r="J308" s="74" t="str">
        <f>IFERROR(__xludf.DUMMYFUNCTION("""COMPUTED_VALUE"""),"Dinner")</f>
        <v>Dinner</v>
      </c>
      <c r="K308" s="113">
        <f>IFERROR(__xludf.DUMMYFUNCTION("""COMPUTED_VALUE"""),45992.0)</f>
        <v>45992</v>
      </c>
      <c r="L308" s="74" t="str">
        <f>IFERROR(__xludf.DUMMYFUNCTION("""COMPUTED_VALUE"""),"Monday")</f>
        <v>Monday</v>
      </c>
      <c r="M308" s="74" t="str">
        <f>IFERROR(__xludf.DUMMYFUNCTION("""COMPUTED_VALUE"""),"MF")</f>
        <v>MF</v>
      </c>
      <c r="N308" s="114">
        <f>IFERROR(__xludf.DUMMYFUNCTION("""COMPUTED_VALUE"""),1.1133317177415996)</f>
        <v>1.113331718</v>
      </c>
      <c r="O308" s="74" t="str">
        <f>IFERROR(__xludf.DUMMYFUNCTION("""COMPUTED_VALUE"""),"")</f>
        <v/>
      </c>
      <c r="P308" s="74" t="str">
        <f>IFERROR(__xludf.DUMMYFUNCTION("""COMPUTED_VALUE"""),"")</f>
        <v/>
      </c>
      <c r="Q308" s="82" t="str">
        <f>IFERROR(__xludf.DUMMYFUNCTION("""COMPUTED_VALUE"""),"")</f>
        <v/>
      </c>
      <c r="R308" s="82" t="str">
        <f>IFERROR(__xludf.DUMMYFUNCTION("""COMPUTED_VALUE"""),"")</f>
        <v/>
      </c>
      <c r="S308" s="63" t="str">
        <f>IFERROR(__xludf.DUMMYFUNCTION("""COMPUTED_VALUE"""),"")</f>
        <v/>
      </c>
      <c r="T308" s="63" t="str">
        <f>IFERROR(__xludf.DUMMYFUNCTION("""COMPUTED_VALUE"""),"")</f>
        <v/>
      </c>
      <c r="U308" s="138" t="str">
        <f>IFERROR(__xludf.DUMMYFUNCTION("""COMPUTED_VALUE"""),"")</f>
        <v/>
      </c>
      <c r="V308" s="82" t="str">
        <f>IFERROR(__xludf.DUMMYFUNCTION("""COMPUTED_VALUE"""),"")</f>
        <v/>
      </c>
      <c r="W308" s="64" t="str">
        <f>IFERROR(__xludf.DUMMYFUNCTION("""COMPUTED_VALUE"""),"")</f>
        <v/>
      </c>
      <c r="X308" s="64" t="str">
        <f>IFERROR(__xludf.DUMMYFUNCTION("""COMPUTED_VALUE"""),"")</f>
        <v/>
      </c>
      <c r="Y308" s="114" t="str">
        <f>IFERROR(__xludf.DUMMYFUNCTION("""COMPUTED_VALUE"""),"")</f>
        <v/>
      </c>
      <c r="Z308" s="118" t="str">
        <f>IFERROR(__xludf.DUMMYFUNCTION("""COMPUTED_VALUE"""),"")</f>
        <v/>
      </c>
      <c r="AA308" s="118" t="str">
        <f>IFERROR(__xludf.DUMMYFUNCTION("""COMPUTED_VALUE"""),"")</f>
        <v/>
      </c>
      <c r="AB308" s="74"/>
    </row>
    <row r="309">
      <c r="A309" s="109">
        <f>IFERROR(__xludf.DUMMYFUNCTION("""COMPUTED_VALUE"""),45992.8217803125)</f>
        <v>45992.82178</v>
      </c>
      <c r="B309" s="81" t="str">
        <f>IFERROR(__xludf.DUMMYFUNCTION("""COMPUTED_VALUE"""),"Laila Maisuria")</f>
        <v>Laila Maisuria</v>
      </c>
      <c r="C309" s="74" t="b">
        <f>IFERROR(__xludf.DUMMYFUNCTION("""COMPUTED_VALUE"""),FALSE)</f>
        <v>0</v>
      </c>
      <c r="D309" s="137">
        <f>IFERROR(__xludf.DUMMYFUNCTION("""COMPUTED_VALUE"""),0.7694444444423425)</f>
        <v>0.7694444444</v>
      </c>
      <c r="E309" s="82">
        <f>IFERROR(__xludf.DUMMYFUNCTION("""COMPUTED_VALUE"""),0.038194444445252884)</f>
        <v>0.03819444445</v>
      </c>
      <c r="F309" s="137">
        <f>IFERROR(__xludf.DUMMYFUNCTION("""COMPUTED_VALUE"""),0.8076388888875954)</f>
        <v>0.8076388889</v>
      </c>
      <c r="G309" s="82">
        <f>IFERROR(__xludf.DUMMYFUNCTION("""COMPUTED_VALUE"""),0.038194444445252884)</f>
        <v>0.03819444445</v>
      </c>
      <c r="H309" s="115">
        <f>IFERROR(__xludf.DUMMYFUNCTION("""COMPUTED_VALUE"""),42.0)</f>
        <v>42</v>
      </c>
      <c r="I309" s="112">
        <f>IFERROR(__xludf.DUMMYFUNCTION("""COMPUTED_VALUE"""),45.818181817212015)</f>
        <v>45.81818182</v>
      </c>
      <c r="J309" s="74" t="str">
        <f>IFERROR(__xludf.DUMMYFUNCTION("""COMPUTED_VALUE"""),"Dinner")</f>
        <v>Dinner</v>
      </c>
      <c r="K309" s="113">
        <f>IFERROR(__xludf.DUMMYFUNCTION("""COMPUTED_VALUE"""),45992.0)</f>
        <v>45992</v>
      </c>
      <c r="L309" s="74" t="str">
        <f>IFERROR(__xludf.DUMMYFUNCTION("""COMPUTED_VALUE"""),"Monday")</f>
        <v>Monday</v>
      </c>
      <c r="M309" s="74" t="str">
        <f>IFERROR(__xludf.DUMMYFUNCTION("""COMPUTED_VALUE"""),"MF")</f>
        <v>MF</v>
      </c>
      <c r="N309" s="114">
        <f>IFERROR(__xludf.DUMMYFUNCTION("""COMPUTED_VALUE"""),0.9028466383688174)</f>
        <v>0.9028466384</v>
      </c>
      <c r="O309" s="74" t="str">
        <f>IFERROR(__xludf.DUMMYFUNCTION("""COMPUTED_VALUE"""),"")</f>
        <v/>
      </c>
      <c r="P309" s="74" t="str">
        <f>IFERROR(__xludf.DUMMYFUNCTION("""COMPUTED_VALUE"""),"")</f>
        <v/>
      </c>
      <c r="Q309" s="82" t="str">
        <f>IFERROR(__xludf.DUMMYFUNCTION("""COMPUTED_VALUE"""),"")</f>
        <v/>
      </c>
      <c r="R309" s="82" t="str">
        <f>IFERROR(__xludf.DUMMYFUNCTION("""COMPUTED_VALUE"""),"")</f>
        <v/>
      </c>
      <c r="S309" s="63" t="str">
        <f>IFERROR(__xludf.DUMMYFUNCTION("""COMPUTED_VALUE"""),"")</f>
        <v/>
      </c>
      <c r="T309" s="63" t="str">
        <f>IFERROR(__xludf.DUMMYFUNCTION("""COMPUTED_VALUE"""),"")</f>
        <v/>
      </c>
      <c r="U309" s="138" t="str">
        <f>IFERROR(__xludf.DUMMYFUNCTION("""COMPUTED_VALUE"""),"")</f>
        <v/>
      </c>
      <c r="V309" s="82" t="str">
        <f>IFERROR(__xludf.DUMMYFUNCTION("""COMPUTED_VALUE"""),"")</f>
        <v/>
      </c>
      <c r="W309" s="64" t="str">
        <f>IFERROR(__xludf.DUMMYFUNCTION("""COMPUTED_VALUE"""),"")</f>
        <v/>
      </c>
      <c r="X309" s="64" t="str">
        <f>IFERROR(__xludf.DUMMYFUNCTION("""COMPUTED_VALUE"""),"")</f>
        <v/>
      </c>
      <c r="Y309" s="114" t="str">
        <f>IFERROR(__xludf.DUMMYFUNCTION("""COMPUTED_VALUE"""),"")</f>
        <v/>
      </c>
      <c r="Z309" s="118" t="str">
        <f>IFERROR(__xludf.DUMMYFUNCTION("""COMPUTED_VALUE"""),"")</f>
        <v/>
      </c>
      <c r="AA309" s="118" t="str">
        <f>IFERROR(__xludf.DUMMYFUNCTION("""COMPUTED_VALUE"""),"")</f>
        <v/>
      </c>
      <c r="AB309" s="74"/>
    </row>
    <row r="310">
      <c r="A310" s="109">
        <f>IFERROR(__xludf.DUMMYFUNCTION("""COMPUTED_VALUE"""),45992.82992224537)</f>
        <v>45992.82992</v>
      </c>
      <c r="B310" s="81" t="str">
        <f>IFERROR(__xludf.DUMMYFUNCTION("""COMPUTED_VALUE"""),"Kaylie Forgue")</f>
        <v>Kaylie Forgue</v>
      </c>
      <c r="C310" s="74" t="b">
        <f>IFERROR(__xludf.DUMMYFUNCTION("""COMPUTED_VALUE"""),FALSE)</f>
        <v>0</v>
      </c>
      <c r="D310" s="137">
        <f>IFERROR(__xludf.DUMMYFUNCTION("""COMPUTED_VALUE"""),0.6854166666671517)</f>
        <v>0.6854166667</v>
      </c>
      <c r="E310" s="82">
        <f>IFERROR(__xludf.DUMMYFUNCTION("""COMPUTED_VALUE"""),0.12083333333430346)</f>
        <v>0.1208333333</v>
      </c>
      <c r="F310" s="137">
        <f>IFERROR(__xludf.DUMMYFUNCTION("""COMPUTED_VALUE"""),0.8062500000014552)</f>
        <v>0.80625</v>
      </c>
      <c r="G310" s="82">
        <f>IFERROR(__xludf.DUMMYFUNCTION("""COMPUTED_VALUE"""),0.1743055555562023)</f>
        <v>0.1743055556</v>
      </c>
      <c r="H310" s="115">
        <f>IFERROR(__xludf.DUMMYFUNCTION("""COMPUTED_VALUE"""),167.0)</f>
        <v>167</v>
      </c>
      <c r="I310" s="112">
        <f>IFERROR(__xludf.DUMMYFUNCTION("""COMPUTED_VALUE"""),39.92031872495148)</f>
        <v>39.92031872</v>
      </c>
      <c r="J310" s="74" t="str">
        <f>IFERROR(__xludf.DUMMYFUNCTION("""COMPUTED_VALUE"""),"Dinner")</f>
        <v>Dinner</v>
      </c>
      <c r="K310" s="113">
        <f>IFERROR(__xludf.DUMMYFUNCTION("""COMPUTED_VALUE"""),45992.0)</f>
        <v>45992</v>
      </c>
      <c r="L310" s="74" t="str">
        <f>IFERROR(__xludf.DUMMYFUNCTION("""COMPUTED_VALUE"""),"Monday")</f>
        <v>Monday</v>
      </c>
      <c r="M310" s="74" t="str">
        <f>IFERROR(__xludf.DUMMYFUNCTION("""COMPUTED_VALUE"""),"BF")</f>
        <v>BF</v>
      </c>
      <c r="N310" s="114">
        <f>IFERROR(__xludf.DUMMYFUNCTION("""COMPUTED_VALUE"""),0.9421061447756359)</f>
        <v>0.9421061448</v>
      </c>
      <c r="O310" s="74" t="str">
        <f>IFERROR(__xludf.DUMMYFUNCTION("""COMPUTED_VALUE"""),"")</f>
        <v/>
      </c>
      <c r="P310" s="74" t="str">
        <f>IFERROR(__xludf.DUMMYFUNCTION("""COMPUTED_VALUE"""),"")</f>
        <v/>
      </c>
      <c r="Q310" s="82" t="str">
        <f>IFERROR(__xludf.DUMMYFUNCTION("""COMPUTED_VALUE"""),"")</f>
        <v/>
      </c>
      <c r="R310" s="82" t="str">
        <f>IFERROR(__xludf.DUMMYFUNCTION("""COMPUTED_VALUE"""),"")</f>
        <v/>
      </c>
      <c r="S310" s="63" t="str">
        <f>IFERROR(__xludf.DUMMYFUNCTION("""COMPUTED_VALUE"""),"")</f>
        <v/>
      </c>
      <c r="T310" s="63" t="str">
        <f>IFERROR(__xludf.DUMMYFUNCTION("""COMPUTED_VALUE"""),"")</f>
        <v/>
      </c>
      <c r="U310" s="138" t="str">
        <f>IFERROR(__xludf.DUMMYFUNCTION("""COMPUTED_VALUE"""),"")</f>
        <v/>
      </c>
      <c r="V310" s="82" t="str">
        <f>IFERROR(__xludf.DUMMYFUNCTION("""COMPUTED_VALUE"""),"")</f>
        <v/>
      </c>
      <c r="W310" s="64" t="str">
        <f>IFERROR(__xludf.DUMMYFUNCTION("""COMPUTED_VALUE"""),"")</f>
        <v/>
      </c>
      <c r="X310" s="64" t="str">
        <f>IFERROR(__xludf.DUMMYFUNCTION("""COMPUTED_VALUE"""),"")</f>
        <v/>
      </c>
      <c r="Y310" s="114" t="str">
        <f>IFERROR(__xludf.DUMMYFUNCTION("""COMPUTED_VALUE"""),"")</f>
        <v/>
      </c>
      <c r="Z310" s="118" t="str">
        <f>IFERROR(__xludf.DUMMYFUNCTION("""COMPUTED_VALUE"""),"")</f>
        <v/>
      </c>
      <c r="AA310" s="118" t="str">
        <f>IFERROR(__xludf.DUMMYFUNCTION("""COMPUTED_VALUE"""),"")</f>
        <v/>
      </c>
      <c r="AB310" s="74"/>
    </row>
    <row r="311">
      <c r="A311" s="109">
        <f>IFERROR(__xludf.DUMMYFUNCTION("""COMPUTED_VALUE"""),45992.86216900463)</f>
        <v>45992.86217</v>
      </c>
      <c r="B311" s="81" t="str">
        <f>IFERROR(__xludf.DUMMYFUNCTION("""COMPUTED_VALUE"""),"Kaylie Forgue")</f>
        <v>Kaylie Forgue</v>
      </c>
      <c r="C311" s="74" t="b">
        <f>IFERROR(__xludf.DUMMYFUNCTION("""COMPUTED_VALUE"""),TRUE)</f>
        <v>1</v>
      </c>
      <c r="D311" s="137">
        <f>IFERROR(__xludf.DUMMYFUNCTION("""COMPUTED_VALUE"""),0.8062500000014552)</f>
        <v>0.80625</v>
      </c>
      <c r="E311" s="82">
        <f>IFERROR(__xludf.DUMMYFUNCTION("""COMPUTED_VALUE"""),0.053472222221898846)</f>
        <v>0.05347222222</v>
      </c>
      <c r="F311" s="137">
        <f>IFERROR(__xludf.DUMMYFUNCTION("""COMPUTED_VALUE"""),0.859722222223354)</f>
        <v>0.8597222222</v>
      </c>
      <c r="G311" s="82" t="str">
        <f>IFERROR(__xludf.DUMMYFUNCTION("""COMPUTED_VALUE"""),"")</f>
        <v/>
      </c>
      <c r="H311" s="115">
        <f>IFERROR(__xludf.DUMMYFUNCTION("""COMPUTED_VALUE"""),145.0)</f>
        <v>145</v>
      </c>
      <c r="I311" s="112" t="str">
        <f>IFERROR(__xludf.DUMMYFUNCTION("""COMPUTED_VALUE"""),"")</f>
        <v/>
      </c>
      <c r="J311" s="74" t="str">
        <f>IFERROR(__xludf.DUMMYFUNCTION("""COMPUTED_VALUE"""),"Dinner")</f>
        <v>Dinner</v>
      </c>
      <c r="K311" s="113">
        <f>IFERROR(__xludf.DUMMYFUNCTION("""COMPUTED_VALUE"""),45992.0)</f>
        <v>45992</v>
      </c>
      <c r="L311" s="74" t="str">
        <f>IFERROR(__xludf.DUMMYFUNCTION("""COMPUTED_VALUE"""),"Monday")</f>
        <v>Monday</v>
      </c>
      <c r="M311" s="74" t="str">
        <f>IFERROR(__xludf.DUMMYFUNCTION("""COMPUTED_VALUE"""),"BF")</f>
        <v>BF</v>
      </c>
      <c r="N311" s="114" t="str">
        <f>IFERROR(__xludf.DUMMYFUNCTION("""COMPUTED_VALUE"""),"")</f>
        <v/>
      </c>
      <c r="O311" s="74" t="str">
        <f>IFERROR(__xludf.DUMMYFUNCTION("""COMPUTED_VALUE"""),"")</f>
        <v/>
      </c>
      <c r="P311" s="74" t="str">
        <f>IFERROR(__xludf.DUMMYFUNCTION("""COMPUTED_VALUE"""),"")</f>
        <v/>
      </c>
      <c r="Q311" s="82" t="str">
        <f>IFERROR(__xludf.DUMMYFUNCTION("""COMPUTED_VALUE"""),"")</f>
        <v/>
      </c>
      <c r="R311" s="82" t="str">
        <f>IFERROR(__xludf.DUMMYFUNCTION("""COMPUTED_VALUE"""),"")</f>
        <v/>
      </c>
      <c r="S311" s="63" t="str">
        <f>IFERROR(__xludf.DUMMYFUNCTION("""COMPUTED_VALUE"""),"")</f>
        <v/>
      </c>
      <c r="T311" s="63" t="str">
        <f>IFERROR(__xludf.DUMMYFUNCTION("""COMPUTED_VALUE"""),"")</f>
        <v/>
      </c>
      <c r="U311" s="138" t="str">
        <f>IFERROR(__xludf.DUMMYFUNCTION("""COMPUTED_VALUE"""),"")</f>
        <v/>
      </c>
      <c r="V311" s="82" t="str">
        <f>IFERROR(__xludf.DUMMYFUNCTION("""COMPUTED_VALUE"""),"")</f>
        <v/>
      </c>
      <c r="W311" s="64" t="str">
        <f>IFERROR(__xludf.DUMMYFUNCTION("""COMPUTED_VALUE"""),"")</f>
        <v/>
      </c>
      <c r="X311" s="64" t="str">
        <f>IFERROR(__xludf.DUMMYFUNCTION("""COMPUTED_VALUE"""),"")</f>
        <v/>
      </c>
      <c r="Y311" s="114" t="str">
        <f>IFERROR(__xludf.DUMMYFUNCTION("""COMPUTED_VALUE"""),"")</f>
        <v/>
      </c>
      <c r="Z311" s="118" t="str">
        <f>IFERROR(__xludf.DUMMYFUNCTION("""COMPUTED_VALUE"""),"")</f>
        <v/>
      </c>
      <c r="AA311" s="118" t="str">
        <f>IFERROR(__xludf.DUMMYFUNCTION("""COMPUTED_VALUE"""),"")</f>
        <v/>
      </c>
      <c r="AB311" s="74"/>
    </row>
    <row r="312">
      <c r="A312" s="109">
        <f>IFERROR(__xludf.DUMMYFUNCTION("""COMPUTED_VALUE"""),45992.87088349537)</f>
        <v>45992.87088</v>
      </c>
      <c r="B312" s="81" t="str">
        <f>IFERROR(__xludf.DUMMYFUNCTION("""COMPUTED_VALUE"""),"Laila Maisuria")</f>
        <v>Laila Maisuria</v>
      </c>
      <c r="C312" s="74" t="b">
        <f>IFERROR(__xludf.DUMMYFUNCTION("""COMPUTED_VALUE"""),FALSE)</f>
        <v>0</v>
      </c>
      <c r="D312" s="137">
        <f>IFERROR(__xludf.DUMMYFUNCTION("""COMPUTED_VALUE"""),0.8138888888934162)</f>
        <v>0.8138888889</v>
      </c>
      <c r="E312" s="82">
        <f>IFERROR(__xludf.DUMMYFUNCTION("""COMPUTED_VALUE"""),0.056249999994179234)</f>
        <v>0.05624999999</v>
      </c>
      <c r="F312" s="137">
        <f>IFERROR(__xludf.DUMMYFUNCTION("""COMPUTED_VALUE"""),0.8701388888875954)</f>
        <v>0.8701388889</v>
      </c>
      <c r="G312" s="82">
        <f>IFERROR(__xludf.DUMMYFUNCTION("""COMPUTED_VALUE"""),0.056249999994179234)</f>
        <v>0.05624999999</v>
      </c>
      <c r="H312" s="115">
        <f>IFERROR(__xludf.DUMMYFUNCTION("""COMPUTED_VALUE"""),38.0)</f>
        <v>38</v>
      </c>
      <c r="I312" s="112">
        <f>IFERROR(__xludf.DUMMYFUNCTION("""COMPUTED_VALUE"""),28.148148151060926)</f>
        <v>28.14814815</v>
      </c>
      <c r="J312" s="74" t="str">
        <f>IFERROR(__xludf.DUMMYFUNCTION("""COMPUTED_VALUE"""),"Dinner")</f>
        <v>Dinner</v>
      </c>
      <c r="K312" s="113">
        <f>IFERROR(__xludf.DUMMYFUNCTION("""COMPUTED_VALUE"""),45992.0)</f>
        <v>45992</v>
      </c>
      <c r="L312" s="74" t="str">
        <f>IFERROR(__xludf.DUMMYFUNCTION("""COMPUTED_VALUE"""),"Monday")</f>
        <v>Monday</v>
      </c>
      <c r="M312" s="74" t="str">
        <f>IFERROR(__xludf.DUMMYFUNCTION("""COMPUTED_VALUE"""),"MF")</f>
        <v>MF</v>
      </c>
      <c r="N312" s="114">
        <f>IFERROR(__xludf.DUMMYFUNCTION("""COMPUTED_VALUE"""),0.5546588696137655)</f>
        <v>0.5546588696</v>
      </c>
      <c r="O312" s="74">
        <f>IFERROR(__xludf.DUMMYFUNCTION("""COMPUTED_VALUE"""),445.0)</f>
        <v>445</v>
      </c>
      <c r="P312" s="74">
        <f>IFERROR(__xludf.DUMMYFUNCTION("""COMPUTED_VALUE"""),410.0)</f>
        <v>410</v>
      </c>
      <c r="Q312" s="82">
        <f>IFERROR(__xludf.DUMMYFUNCTION("""COMPUTED_VALUE"""),0.3319444444447678)</f>
        <v>0.3319444444</v>
      </c>
      <c r="R312" s="82">
        <f>IFERROR(__xludf.DUMMYFUNCTION("""COMPUTED_VALUE"""),0.23611111110949423)</f>
        <v>0.2361111111</v>
      </c>
      <c r="S312" s="63">
        <f>IFERROR(__xludf.DUMMYFUNCTION("""COMPUTED_VALUE"""),53.19363229315932)</f>
        <v>53.19363229</v>
      </c>
      <c r="T312" s="63">
        <f>IFERROR(__xludf.DUMMYFUNCTION("""COMPUTED_VALUE"""),52.99386722885414)</f>
        <v>52.99386723</v>
      </c>
      <c r="U312" s="138">
        <f>IFERROR(__xludf.DUMMYFUNCTION("""COMPUTED_VALUE"""),855.0)</f>
        <v>855</v>
      </c>
      <c r="V312" s="82">
        <f>IFERROR(__xludf.DUMMYFUNCTION("""COMPUTED_VALUE"""),0.568055555554262)</f>
        <v>0.5680555556</v>
      </c>
      <c r="W312" s="64">
        <f>IFERROR(__xludf.DUMMYFUNCTION("""COMPUTED_VALUE"""),62.713936430460656)</f>
        <v>62.71393643</v>
      </c>
      <c r="X312" s="64">
        <f>IFERROR(__xludf.DUMMYFUNCTION("""COMPUTED_VALUE"""),53.13655656050069)</f>
        <v>53.13655656</v>
      </c>
      <c r="Y312" s="114">
        <f>IFERROR(__xludf.DUMMYFUNCTION("""COMPUTED_VALUE"""),0.976033267723539)</f>
        <v>0.9760332677</v>
      </c>
      <c r="Z312" s="118" t="str">
        <f>IFERROR(__xludf.DUMMYFUNCTION("""COMPUTED_VALUE"""),"")</f>
        <v/>
      </c>
      <c r="AA312" s="118" t="str">
        <f>IFERROR(__xludf.DUMMYFUNCTION("""COMPUTED_VALUE"""),"")</f>
        <v/>
      </c>
      <c r="AB312" s="74"/>
    </row>
    <row r="313">
      <c r="A313" s="109">
        <f>IFERROR(__xludf.DUMMYFUNCTION("""COMPUTED_VALUE"""),45993.39415637731)</f>
        <v>45993.39416</v>
      </c>
      <c r="B313" s="81" t="str">
        <f>IFERROR(__xludf.DUMMYFUNCTION("""COMPUTED_VALUE"""),"Evan Morgan")</f>
        <v>Evan Morgan</v>
      </c>
      <c r="C313" s="74" t="b">
        <f>IFERROR(__xludf.DUMMYFUNCTION("""COMPUTED_VALUE"""),FALSE)</f>
        <v>0</v>
      </c>
      <c r="D313" s="137">
        <f>IFERROR(__xludf.DUMMYFUNCTION("""COMPUTED_VALUE"""),0.29166666666424135)</f>
        <v>0.2916666667</v>
      </c>
      <c r="E313" s="82">
        <f>IFERROR(__xludf.DUMMYFUNCTION("""COMPUTED_VALUE"""),0.10069444444525288)</f>
        <v>0.1006944444</v>
      </c>
      <c r="F313" s="137">
        <f>IFERROR(__xludf.DUMMYFUNCTION("""COMPUTED_VALUE"""),0.39236111110949423)</f>
        <v>0.3923611111</v>
      </c>
      <c r="G313" s="82">
        <f>IFERROR(__xludf.DUMMYFUNCTION("""COMPUTED_VALUE"""),0.10069444444525288)</f>
        <v>0.1006944444</v>
      </c>
      <c r="H313" s="115">
        <f>IFERROR(__xludf.DUMMYFUNCTION("""COMPUTED_VALUE"""),53.0)</f>
        <v>53</v>
      </c>
      <c r="I313" s="112">
        <f>IFERROR(__xludf.DUMMYFUNCTION("""COMPUTED_VALUE"""),21.931034482582543)</f>
        <v>21.93103448</v>
      </c>
      <c r="J313" s="74" t="str">
        <f>IFERROR(__xludf.DUMMYFUNCTION("""COMPUTED_VALUE"""),"Breakfast")</f>
        <v>Breakfast</v>
      </c>
      <c r="K313" s="113">
        <f>IFERROR(__xludf.DUMMYFUNCTION("""COMPUTED_VALUE"""),45993.0)</f>
        <v>45993</v>
      </c>
      <c r="L313" s="74" t="str">
        <f>IFERROR(__xludf.DUMMYFUNCTION("""COMPUTED_VALUE"""),"Tuesday")</f>
        <v>Tuesday</v>
      </c>
      <c r="M313" s="74" t="str">
        <f>IFERROR(__xludf.DUMMYFUNCTION("""COMPUTED_VALUE"""),"BF")</f>
        <v>BF</v>
      </c>
      <c r="N313" s="114">
        <f>IFERROR(__xludf.DUMMYFUNCTION("""COMPUTED_VALUE"""),0.9288050560840778)</f>
        <v>0.9288050561</v>
      </c>
      <c r="O313" s="74" t="str">
        <f>IFERROR(__xludf.DUMMYFUNCTION("""COMPUTED_VALUE"""),"")</f>
        <v/>
      </c>
      <c r="P313" s="74" t="str">
        <f>IFERROR(__xludf.DUMMYFUNCTION("""COMPUTED_VALUE"""),"")</f>
        <v/>
      </c>
      <c r="Q313" s="82" t="str">
        <f>IFERROR(__xludf.DUMMYFUNCTION("""COMPUTED_VALUE"""),"")</f>
        <v/>
      </c>
      <c r="R313" s="82" t="str">
        <f>IFERROR(__xludf.DUMMYFUNCTION("""COMPUTED_VALUE"""),"")</f>
        <v/>
      </c>
      <c r="S313" s="63" t="str">
        <f>IFERROR(__xludf.DUMMYFUNCTION("""COMPUTED_VALUE"""),"")</f>
        <v/>
      </c>
      <c r="T313" s="63" t="str">
        <f>IFERROR(__xludf.DUMMYFUNCTION("""COMPUTED_VALUE"""),"")</f>
        <v/>
      </c>
      <c r="U313" s="138" t="str">
        <f>IFERROR(__xludf.DUMMYFUNCTION("""COMPUTED_VALUE"""),"")</f>
        <v/>
      </c>
      <c r="V313" s="82" t="str">
        <f>IFERROR(__xludf.DUMMYFUNCTION("""COMPUTED_VALUE"""),"")</f>
        <v/>
      </c>
      <c r="W313" s="64" t="str">
        <f>IFERROR(__xludf.DUMMYFUNCTION("""COMPUTED_VALUE"""),"")</f>
        <v/>
      </c>
      <c r="X313" s="64" t="str">
        <f>IFERROR(__xludf.DUMMYFUNCTION("""COMPUTED_VALUE"""),"")</f>
        <v/>
      </c>
      <c r="Y313" s="114" t="str">
        <f>IFERROR(__xludf.DUMMYFUNCTION("""COMPUTED_VALUE"""),"")</f>
        <v/>
      </c>
      <c r="Z313" s="118" t="str">
        <f>IFERROR(__xludf.DUMMYFUNCTION("""COMPUTED_VALUE"""),"")</f>
        <v/>
      </c>
      <c r="AA313" s="118" t="str">
        <f>IFERROR(__xludf.DUMMYFUNCTION("""COMPUTED_VALUE"""),"")</f>
        <v/>
      </c>
      <c r="AB313" s="74"/>
    </row>
    <row r="314">
      <c r="A314" s="109">
        <f>IFERROR(__xludf.DUMMYFUNCTION("""COMPUTED_VALUE"""),45993.479226435185)</f>
        <v>45993.47923</v>
      </c>
      <c r="B314" s="81" t="str">
        <f>IFERROR(__xludf.DUMMYFUNCTION("""COMPUTED_VALUE"""),"Emmett Khan")</f>
        <v>Emmett Khan</v>
      </c>
      <c r="C314" s="74" t="b">
        <f>IFERROR(__xludf.DUMMYFUNCTION("""COMPUTED_VALUE"""),FALSE)</f>
        <v>0</v>
      </c>
      <c r="D314" s="137">
        <f>IFERROR(__xludf.DUMMYFUNCTION("""COMPUTED_VALUE"""),0.39583333333575865)</f>
        <v>0.3958333333</v>
      </c>
      <c r="E314" s="82">
        <f>IFERROR(__xludf.DUMMYFUNCTION("""COMPUTED_VALUE"""),0.0833333333284827)</f>
        <v>0.08333333333</v>
      </c>
      <c r="F314" s="137">
        <f>IFERROR(__xludf.DUMMYFUNCTION("""COMPUTED_VALUE"""),0.47916666666424135)</f>
        <v>0.4791666667</v>
      </c>
      <c r="G314" s="82">
        <f>IFERROR(__xludf.DUMMYFUNCTION("""COMPUTED_VALUE"""),0.0833333333284827)</f>
        <v>0.08333333333</v>
      </c>
      <c r="H314" s="115">
        <f>IFERROR(__xludf.DUMMYFUNCTION("""COMPUTED_VALUE"""),120.0)</f>
        <v>120</v>
      </c>
      <c r="I314" s="112">
        <f>IFERROR(__xludf.DUMMYFUNCTION("""COMPUTED_VALUE"""),60.00000000349246)</f>
        <v>60</v>
      </c>
      <c r="J314" s="74" t="str">
        <f>IFERROR(__xludf.DUMMYFUNCTION("""COMPUTED_VALUE"""),"Breakfast/Lunch")</f>
        <v>Breakfast/Lunch</v>
      </c>
      <c r="K314" s="113">
        <f>IFERROR(__xludf.DUMMYFUNCTION("""COMPUTED_VALUE"""),45993.0)</f>
        <v>45993</v>
      </c>
      <c r="L314" s="74" t="str">
        <f>IFERROR(__xludf.DUMMYFUNCTION("""COMPUTED_VALUE"""),"Tuesday")</f>
        <v>Tuesday</v>
      </c>
      <c r="M314" s="74" t="str">
        <f>IFERROR(__xludf.DUMMYFUNCTION("""COMPUTED_VALUE"""),"BF")</f>
        <v>BF</v>
      </c>
      <c r="N314" s="114">
        <f>IFERROR(__xludf.DUMMYFUNCTION("""COMPUTED_VALUE"""),1.0536886653053803)</f>
        <v>1.053688665</v>
      </c>
      <c r="O314" s="74" t="str">
        <f>IFERROR(__xludf.DUMMYFUNCTION("""COMPUTED_VALUE"""),"")</f>
        <v/>
      </c>
      <c r="P314" s="74" t="str">
        <f>IFERROR(__xludf.DUMMYFUNCTION("""COMPUTED_VALUE"""),"")</f>
        <v/>
      </c>
      <c r="Q314" s="82" t="str">
        <f>IFERROR(__xludf.DUMMYFUNCTION("""COMPUTED_VALUE"""),"")</f>
        <v/>
      </c>
      <c r="R314" s="82" t="str">
        <f>IFERROR(__xludf.DUMMYFUNCTION("""COMPUTED_VALUE"""),"")</f>
        <v/>
      </c>
      <c r="S314" s="63" t="str">
        <f>IFERROR(__xludf.DUMMYFUNCTION("""COMPUTED_VALUE"""),"")</f>
        <v/>
      </c>
      <c r="T314" s="63" t="str">
        <f>IFERROR(__xludf.DUMMYFUNCTION("""COMPUTED_VALUE"""),"")</f>
        <v/>
      </c>
      <c r="U314" s="138" t="str">
        <f>IFERROR(__xludf.DUMMYFUNCTION("""COMPUTED_VALUE"""),"")</f>
        <v/>
      </c>
      <c r="V314" s="82" t="str">
        <f>IFERROR(__xludf.DUMMYFUNCTION("""COMPUTED_VALUE"""),"")</f>
        <v/>
      </c>
      <c r="W314" s="64" t="str">
        <f>IFERROR(__xludf.DUMMYFUNCTION("""COMPUTED_VALUE"""),"")</f>
        <v/>
      </c>
      <c r="X314" s="64" t="str">
        <f>IFERROR(__xludf.DUMMYFUNCTION("""COMPUTED_VALUE"""),"")</f>
        <v/>
      </c>
      <c r="Y314" s="114" t="str">
        <f>IFERROR(__xludf.DUMMYFUNCTION("""COMPUTED_VALUE"""),"")</f>
        <v/>
      </c>
      <c r="Z314" s="118" t="str">
        <f>IFERROR(__xludf.DUMMYFUNCTION("""COMPUTED_VALUE"""),"")</f>
        <v/>
      </c>
      <c r="AA314" s="118" t="str">
        <f>IFERROR(__xludf.DUMMYFUNCTION("""COMPUTED_VALUE"""),"")</f>
        <v/>
      </c>
      <c r="AB314" s="74"/>
    </row>
    <row r="315">
      <c r="A315" s="109">
        <f>IFERROR(__xludf.DUMMYFUNCTION("""COMPUTED_VALUE"""),45993.57694571759)</f>
        <v>45993.57695</v>
      </c>
      <c r="B315" s="81" t="str">
        <f>IFERROR(__xludf.DUMMYFUNCTION("""COMPUTED_VALUE"""),"Brynn Hornig")</f>
        <v>Brynn Hornig</v>
      </c>
      <c r="C315" s="74" t="b">
        <f>IFERROR(__xludf.DUMMYFUNCTION("""COMPUTED_VALUE"""),FALSE)</f>
        <v>0</v>
      </c>
      <c r="D315" s="137">
        <f>IFERROR(__xludf.DUMMYFUNCTION("""COMPUTED_VALUE"""),0.5208333333357587)</f>
        <v>0.5208333333</v>
      </c>
      <c r="E315" s="82">
        <f>IFERROR(__xludf.DUMMYFUNCTION("""COMPUTED_VALUE"""),0.055555555554747116)</f>
        <v>0.05555555555</v>
      </c>
      <c r="F315" s="137">
        <f>IFERROR(__xludf.DUMMYFUNCTION("""COMPUTED_VALUE"""),0.5763888888905058)</f>
        <v>0.5763888889</v>
      </c>
      <c r="G315" s="82">
        <f>IFERROR(__xludf.DUMMYFUNCTION("""COMPUTED_VALUE"""),0.055555555554747116)</f>
        <v>0.05555555555</v>
      </c>
      <c r="H315" s="115">
        <f>IFERROR(__xludf.DUMMYFUNCTION("""COMPUTED_VALUE"""),89.0)</f>
        <v>89</v>
      </c>
      <c r="I315" s="112">
        <f>IFERROR(__xludf.DUMMYFUNCTION("""COMPUTED_VALUE"""),66.75000000097134)</f>
        <v>66.75</v>
      </c>
      <c r="J315" s="74" t="str">
        <f>IFERROR(__xludf.DUMMYFUNCTION("""COMPUTED_VALUE"""),"Lunch")</f>
        <v>Lunch</v>
      </c>
      <c r="K315" s="113">
        <f>IFERROR(__xludf.DUMMYFUNCTION("""COMPUTED_VALUE"""),45993.0)</f>
        <v>45993</v>
      </c>
      <c r="L315" s="74" t="str">
        <f>IFERROR(__xludf.DUMMYFUNCTION("""COMPUTED_VALUE"""),"Tuesday")</f>
        <v>Tuesday</v>
      </c>
      <c r="M315" s="74" t="str">
        <f>IFERROR(__xludf.DUMMYFUNCTION("""COMPUTED_VALUE"""),"BF")</f>
        <v>BF</v>
      </c>
      <c r="N315" s="114">
        <f>IFERROR(__xludf.DUMMYFUNCTION("""COMPUTED_VALUE"""),1.718999247614808)</f>
        <v>1.718999248</v>
      </c>
      <c r="O315" s="74" t="str">
        <f>IFERROR(__xludf.DUMMYFUNCTION("""COMPUTED_VALUE"""),"")</f>
        <v/>
      </c>
      <c r="P315" s="74" t="str">
        <f>IFERROR(__xludf.DUMMYFUNCTION("""COMPUTED_VALUE"""),"")</f>
        <v/>
      </c>
      <c r="Q315" s="82" t="str">
        <f>IFERROR(__xludf.DUMMYFUNCTION("""COMPUTED_VALUE"""),"")</f>
        <v/>
      </c>
      <c r="R315" s="82" t="str">
        <f>IFERROR(__xludf.DUMMYFUNCTION("""COMPUTED_VALUE"""),"")</f>
        <v/>
      </c>
      <c r="S315" s="63" t="str">
        <f>IFERROR(__xludf.DUMMYFUNCTION("""COMPUTED_VALUE"""),"")</f>
        <v/>
      </c>
      <c r="T315" s="63" t="str">
        <f>IFERROR(__xludf.DUMMYFUNCTION("""COMPUTED_VALUE"""),"")</f>
        <v/>
      </c>
      <c r="U315" s="138" t="str">
        <f>IFERROR(__xludf.DUMMYFUNCTION("""COMPUTED_VALUE"""),"")</f>
        <v/>
      </c>
      <c r="V315" s="82" t="str">
        <f>IFERROR(__xludf.DUMMYFUNCTION("""COMPUTED_VALUE"""),"")</f>
        <v/>
      </c>
      <c r="W315" s="64" t="str">
        <f>IFERROR(__xludf.DUMMYFUNCTION("""COMPUTED_VALUE"""),"")</f>
        <v/>
      </c>
      <c r="X315" s="64" t="str">
        <f>IFERROR(__xludf.DUMMYFUNCTION("""COMPUTED_VALUE"""),"")</f>
        <v/>
      </c>
      <c r="Y315" s="114" t="str">
        <f>IFERROR(__xludf.DUMMYFUNCTION("""COMPUTED_VALUE"""),"")</f>
        <v/>
      </c>
      <c r="Z315" s="118" t="str">
        <f>IFERROR(__xludf.DUMMYFUNCTION("""COMPUTED_VALUE"""),"")</f>
        <v/>
      </c>
      <c r="AA315" s="118" t="str">
        <f>IFERROR(__xludf.DUMMYFUNCTION("""COMPUTED_VALUE"""),"")</f>
        <v/>
      </c>
      <c r="AB315" s="74"/>
    </row>
    <row r="316">
      <c r="A316" s="109">
        <f>IFERROR(__xludf.DUMMYFUNCTION("""COMPUTED_VALUE"""),45993.626790740745)</f>
        <v>45993.62679</v>
      </c>
      <c r="B316" s="81" t="str">
        <f>IFERROR(__xludf.DUMMYFUNCTION("""COMPUTED_VALUE"""),"Maureen Surgot")</f>
        <v>Maureen Surgot</v>
      </c>
      <c r="C316" s="74" t="b">
        <f>IFERROR(__xludf.DUMMYFUNCTION("""COMPUTED_VALUE"""),FALSE)</f>
        <v>0</v>
      </c>
      <c r="D316" s="137">
        <f>IFERROR(__xludf.DUMMYFUNCTION("""COMPUTED_VALUE"""),0.47916666666424135)</f>
        <v>0.4791666667</v>
      </c>
      <c r="E316" s="82">
        <f>IFERROR(__xludf.DUMMYFUNCTION("""COMPUTED_VALUE"""),0.15625)</f>
        <v>0.15625</v>
      </c>
      <c r="F316" s="137">
        <f>IFERROR(__xludf.DUMMYFUNCTION("""COMPUTED_VALUE"""),0.6354166666642413)</f>
        <v>0.6354166667</v>
      </c>
      <c r="G316" s="82">
        <f>IFERROR(__xludf.DUMMYFUNCTION("""COMPUTED_VALUE"""),0.15625)</f>
        <v>0.15625</v>
      </c>
      <c r="H316" s="115">
        <f>IFERROR(__xludf.DUMMYFUNCTION("""COMPUTED_VALUE"""),135.0)</f>
        <v>135</v>
      </c>
      <c r="I316" s="112">
        <f>IFERROR(__xludf.DUMMYFUNCTION("""COMPUTED_VALUE"""),36.0)</f>
        <v>36</v>
      </c>
      <c r="J316" s="74" t="str">
        <f>IFERROR(__xludf.DUMMYFUNCTION("""COMPUTED_VALUE"""),"Lunch")</f>
        <v>Lunch</v>
      </c>
      <c r="K316" s="113">
        <f>IFERROR(__xludf.DUMMYFUNCTION("""COMPUTED_VALUE"""),45993.0)</f>
        <v>45993</v>
      </c>
      <c r="L316" s="74" t="str">
        <f>IFERROR(__xludf.DUMMYFUNCTION("""COMPUTED_VALUE"""),"Tuesday")</f>
        <v>Tuesday</v>
      </c>
      <c r="M316" s="74" t="str">
        <f>IFERROR(__xludf.DUMMYFUNCTION("""COMPUTED_VALUE"""),"MF")</f>
        <v>MF</v>
      </c>
      <c r="N316" s="114">
        <f>IFERROR(__xludf.DUMMYFUNCTION("""COMPUTED_VALUE"""),0.748614356337728)</f>
        <v>0.7486143563</v>
      </c>
      <c r="O316" s="74" t="str">
        <f>IFERROR(__xludf.DUMMYFUNCTION("""COMPUTED_VALUE"""),"")</f>
        <v/>
      </c>
      <c r="P316" s="74" t="str">
        <f>IFERROR(__xludf.DUMMYFUNCTION("""COMPUTED_VALUE"""),"")</f>
        <v/>
      </c>
      <c r="Q316" s="82" t="str">
        <f>IFERROR(__xludf.DUMMYFUNCTION("""COMPUTED_VALUE"""),"")</f>
        <v/>
      </c>
      <c r="R316" s="82" t="str">
        <f>IFERROR(__xludf.DUMMYFUNCTION("""COMPUTED_VALUE"""),"")</f>
        <v/>
      </c>
      <c r="S316" s="63" t="str">
        <f>IFERROR(__xludf.DUMMYFUNCTION("""COMPUTED_VALUE"""),"")</f>
        <v/>
      </c>
      <c r="T316" s="63" t="str">
        <f>IFERROR(__xludf.DUMMYFUNCTION("""COMPUTED_VALUE"""),"")</f>
        <v/>
      </c>
      <c r="U316" s="138" t="str">
        <f>IFERROR(__xludf.DUMMYFUNCTION("""COMPUTED_VALUE"""),"")</f>
        <v/>
      </c>
      <c r="V316" s="82" t="str">
        <f>IFERROR(__xludf.DUMMYFUNCTION("""COMPUTED_VALUE"""),"")</f>
        <v/>
      </c>
      <c r="W316" s="64" t="str">
        <f>IFERROR(__xludf.DUMMYFUNCTION("""COMPUTED_VALUE"""),"")</f>
        <v/>
      </c>
      <c r="X316" s="64" t="str">
        <f>IFERROR(__xludf.DUMMYFUNCTION("""COMPUTED_VALUE"""),"")</f>
        <v/>
      </c>
      <c r="Y316" s="114" t="str">
        <f>IFERROR(__xludf.DUMMYFUNCTION("""COMPUTED_VALUE"""),"")</f>
        <v/>
      </c>
      <c r="Z316" s="118" t="str">
        <f>IFERROR(__xludf.DUMMYFUNCTION("""COMPUTED_VALUE"""),"")</f>
        <v/>
      </c>
      <c r="AA316" s="118" t="str">
        <f>IFERROR(__xludf.DUMMYFUNCTION("""COMPUTED_VALUE"""),"")</f>
        <v/>
      </c>
      <c r="AB316" s="74"/>
    </row>
    <row r="317">
      <c r="A317" s="109">
        <f>IFERROR(__xludf.DUMMYFUNCTION("""COMPUTED_VALUE"""),45993.65397108796)</f>
        <v>45993.65397</v>
      </c>
      <c r="B317" s="81" t="str">
        <f>IFERROR(__xludf.DUMMYFUNCTION("""COMPUTED_VALUE"""),"Brynn Hornig")</f>
        <v>Brynn Hornig</v>
      </c>
      <c r="C317" s="74" t="b">
        <f>IFERROR(__xludf.DUMMYFUNCTION("""COMPUTED_VALUE"""),FALSE)</f>
        <v>0</v>
      </c>
      <c r="D317" s="137">
        <f>IFERROR(__xludf.DUMMYFUNCTION("""COMPUTED_VALUE"""),0.5763888888905058)</f>
        <v>0.5763888889</v>
      </c>
      <c r="E317" s="82">
        <f>IFERROR(__xludf.DUMMYFUNCTION("""COMPUTED_VALUE"""),0.07986111110949423)</f>
        <v>0.07986111111</v>
      </c>
      <c r="F317" s="137">
        <f>IFERROR(__xludf.DUMMYFUNCTION("""COMPUTED_VALUE"""),0.65625)</f>
        <v>0.65625</v>
      </c>
      <c r="G317" s="82">
        <f>IFERROR(__xludf.DUMMYFUNCTION("""COMPUTED_VALUE"""),0.07986111110949423)</f>
        <v>0.07986111111</v>
      </c>
      <c r="H317" s="115">
        <f>IFERROR(__xludf.DUMMYFUNCTION("""COMPUTED_VALUE"""),70.0)</f>
        <v>70</v>
      </c>
      <c r="I317" s="112">
        <f>IFERROR(__xludf.DUMMYFUNCTION("""COMPUTED_VALUE"""),36.52173913117421)</f>
        <v>36.52173913</v>
      </c>
      <c r="J317" s="74" t="str">
        <f>IFERROR(__xludf.DUMMYFUNCTION("""COMPUTED_VALUE"""),"Lunch")</f>
        <v>Lunch</v>
      </c>
      <c r="K317" s="113">
        <f>IFERROR(__xludf.DUMMYFUNCTION("""COMPUTED_VALUE"""),45993.0)</f>
        <v>45993</v>
      </c>
      <c r="L317" s="74" t="str">
        <f>IFERROR(__xludf.DUMMYFUNCTION("""COMPUTED_VALUE"""),"Tuesday")</f>
        <v>Tuesday</v>
      </c>
      <c r="M317" s="74" t="str">
        <f>IFERROR(__xludf.DUMMYFUNCTION("""COMPUTED_VALUE"""),"BF")</f>
        <v>BF</v>
      </c>
      <c r="N317" s="114">
        <f>IFERROR(__xludf.DUMMYFUNCTION("""COMPUTED_VALUE"""),0.9405369601072535)</f>
        <v>0.9405369601</v>
      </c>
      <c r="O317" s="74" t="str">
        <f>IFERROR(__xludf.DUMMYFUNCTION("""COMPUTED_VALUE"""),"")</f>
        <v/>
      </c>
      <c r="P317" s="74" t="str">
        <f>IFERROR(__xludf.DUMMYFUNCTION("""COMPUTED_VALUE"""),"")</f>
        <v/>
      </c>
      <c r="Q317" s="82" t="str">
        <f>IFERROR(__xludf.DUMMYFUNCTION("""COMPUTED_VALUE"""),"")</f>
        <v/>
      </c>
      <c r="R317" s="82" t="str">
        <f>IFERROR(__xludf.DUMMYFUNCTION("""COMPUTED_VALUE"""),"")</f>
        <v/>
      </c>
      <c r="S317" s="63" t="str">
        <f>IFERROR(__xludf.DUMMYFUNCTION("""COMPUTED_VALUE"""),"")</f>
        <v/>
      </c>
      <c r="T317" s="63" t="str">
        <f>IFERROR(__xludf.DUMMYFUNCTION("""COMPUTED_VALUE"""),"")</f>
        <v/>
      </c>
      <c r="U317" s="138" t="str">
        <f>IFERROR(__xludf.DUMMYFUNCTION("""COMPUTED_VALUE"""),"")</f>
        <v/>
      </c>
      <c r="V317" s="82" t="str">
        <f>IFERROR(__xludf.DUMMYFUNCTION("""COMPUTED_VALUE"""),"")</f>
        <v/>
      </c>
      <c r="W317" s="64" t="str">
        <f>IFERROR(__xludf.DUMMYFUNCTION("""COMPUTED_VALUE"""),"")</f>
        <v/>
      </c>
      <c r="X317" s="64" t="str">
        <f>IFERROR(__xludf.DUMMYFUNCTION("""COMPUTED_VALUE"""),"")</f>
        <v/>
      </c>
      <c r="Y317" s="114" t="str">
        <f>IFERROR(__xludf.DUMMYFUNCTION("""COMPUTED_VALUE"""),"")</f>
        <v/>
      </c>
      <c r="Z317" s="118" t="str">
        <f>IFERROR(__xludf.DUMMYFUNCTION("""COMPUTED_VALUE"""),"")</f>
        <v/>
      </c>
      <c r="AA317" s="118" t="str">
        <f>IFERROR(__xludf.DUMMYFUNCTION("""COMPUTED_VALUE"""),"")</f>
        <v/>
      </c>
      <c r="AB317" s="74"/>
    </row>
    <row r="318">
      <c r="A318" s="109">
        <f>IFERROR(__xludf.DUMMYFUNCTION("""COMPUTED_VALUE"""),45993.75017666667)</f>
        <v>45993.75018</v>
      </c>
      <c r="B318" s="81" t="str">
        <f>IFERROR(__xludf.DUMMYFUNCTION("""COMPUTED_VALUE"""),"Kyra Turner")</f>
        <v>Kyra Turner</v>
      </c>
      <c r="C318" s="74" t="b">
        <f>IFERROR(__xludf.DUMMYFUNCTION("""COMPUTED_VALUE"""),FALSE)</f>
        <v>0</v>
      </c>
      <c r="D318" s="137">
        <f>IFERROR(__xludf.DUMMYFUNCTION("""COMPUTED_VALUE"""),0.6875)</f>
        <v>0.6875</v>
      </c>
      <c r="E318" s="82">
        <f>IFERROR(__xludf.DUMMYFUNCTION("""COMPUTED_VALUE"""),0.06111111110658385)</f>
        <v>0.06111111111</v>
      </c>
      <c r="F318" s="137">
        <f>IFERROR(__xludf.DUMMYFUNCTION("""COMPUTED_VALUE"""),0.7486111111065838)</f>
        <v>0.7486111111</v>
      </c>
      <c r="G318" s="82">
        <f>IFERROR(__xludf.DUMMYFUNCTION("""COMPUTED_VALUE"""),0.10208333333139308)</f>
        <v>0.1020833333</v>
      </c>
      <c r="H318" s="115">
        <f>IFERROR(__xludf.DUMMYFUNCTION("""COMPUTED_VALUE"""),76.0)</f>
        <v>76</v>
      </c>
      <c r="I318" s="112">
        <f>IFERROR(__xludf.DUMMYFUNCTION("""COMPUTED_VALUE"""),31.0204081638549)</f>
        <v>31.02040816</v>
      </c>
      <c r="J318" s="74" t="str">
        <f>IFERROR(__xludf.DUMMYFUNCTION("""COMPUTED_VALUE"""),"Dinner")</f>
        <v>Dinner</v>
      </c>
      <c r="K318" s="113">
        <f>IFERROR(__xludf.DUMMYFUNCTION("""COMPUTED_VALUE"""),45993.0)</f>
        <v>45993</v>
      </c>
      <c r="L318" s="74" t="str">
        <f>IFERROR(__xludf.DUMMYFUNCTION("""COMPUTED_VALUE"""),"Tuesday")</f>
        <v>Tuesday</v>
      </c>
      <c r="M318" s="74" t="str">
        <f>IFERROR(__xludf.DUMMYFUNCTION("""COMPUTED_VALUE"""),"BF")</f>
        <v>BF</v>
      </c>
      <c r="N318" s="114">
        <f>IFERROR(__xludf.DUMMYFUNCTION("""COMPUTED_VALUE"""),0.7320712378568697)</f>
        <v>0.7320712379</v>
      </c>
      <c r="O318" s="74" t="str">
        <f>IFERROR(__xludf.DUMMYFUNCTION("""COMPUTED_VALUE"""),"")</f>
        <v/>
      </c>
      <c r="P318" s="74" t="str">
        <f>IFERROR(__xludf.DUMMYFUNCTION("""COMPUTED_VALUE"""),"")</f>
        <v/>
      </c>
      <c r="Q318" s="82" t="str">
        <f>IFERROR(__xludf.DUMMYFUNCTION("""COMPUTED_VALUE"""),"")</f>
        <v/>
      </c>
      <c r="R318" s="82" t="str">
        <f>IFERROR(__xludf.DUMMYFUNCTION("""COMPUTED_VALUE"""),"")</f>
        <v/>
      </c>
      <c r="S318" s="63" t="str">
        <f>IFERROR(__xludf.DUMMYFUNCTION("""COMPUTED_VALUE"""),"")</f>
        <v/>
      </c>
      <c r="T318" s="63" t="str">
        <f>IFERROR(__xludf.DUMMYFUNCTION("""COMPUTED_VALUE"""),"")</f>
        <v/>
      </c>
      <c r="U318" s="138" t="str">
        <f>IFERROR(__xludf.DUMMYFUNCTION("""COMPUTED_VALUE"""),"")</f>
        <v/>
      </c>
      <c r="V318" s="82" t="str">
        <f>IFERROR(__xludf.DUMMYFUNCTION("""COMPUTED_VALUE"""),"")</f>
        <v/>
      </c>
      <c r="W318" s="64" t="str">
        <f>IFERROR(__xludf.DUMMYFUNCTION("""COMPUTED_VALUE"""),"")</f>
        <v/>
      </c>
      <c r="X318" s="64" t="str">
        <f>IFERROR(__xludf.DUMMYFUNCTION("""COMPUTED_VALUE"""),"")</f>
        <v/>
      </c>
      <c r="Y318" s="114" t="str">
        <f>IFERROR(__xludf.DUMMYFUNCTION("""COMPUTED_VALUE"""),"")</f>
        <v/>
      </c>
      <c r="Z318" s="118" t="str">
        <f>IFERROR(__xludf.DUMMYFUNCTION("""COMPUTED_VALUE"""),"")</f>
        <v/>
      </c>
      <c r="AA318" s="118" t="str">
        <f>IFERROR(__xludf.DUMMYFUNCTION("""COMPUTED_VALUE"""),"")</f>
        <v/>
      </c>
      <c r="AB318" s="74"/>
    </row>
    <row r="319">
      <c r="A319" s="109">
        <f>IFERROR(__xludf.DUMMYFUNCTION("""COMPUTED_VALUE"""),45993.791255833334)</f>
        <v>45993.79126</v>
      </c>
      <c r="B319" s="81" t="str">
        <f>IFERROR(__xludf.DUMMYFUNCTION("""COMPUTED_VALUE"""),"Kyra Turner")</f>
        <v>Kyra Turner</v>
      </c>
      <c r="C319" s="74" t="b">
        <f>IFERROR(__xludf.DUMMYFUNCTION("""COMPUTED_VALUE"""),TRUE)</f>
        <v>1</v>
      </c>
      <c r="D319" s="137">
        <f>IFERROR(__xludf.DUMMYFUNCTION("""COMPUTED_VALUE"""),0.7493055555532919)</f>
        <v>0.7493055556</v>
      </c>
      <c r="E319" s="82">
        <f>IFERROR(__xludf.DUMMYFUNCTION("""COMPUTED_VALUE"""),0.04097222222480923)</f>
        <v>0.04097222222</v>
      </c>
      <c r="F319" s="137">
        <f>IFERROR(__xludf.DUMMYFUNCTION("""COMPUTED_VALUE"""),0.7902777777781012)</f>
        <v>0.7902777778</v>
      </c>
      <c r="G319" s="82" t="str">
        <f>IFERROR(__xludf.DUMMYFUNCTION("""COMPUTED_VALUE"""),"")</f>
        <v/>
      </c>
      <c r="H319" s="115">
        <f>IFERROR(__xludf.DUMMYFUNCTION("""COMPUTED_VALUE"""),73.0)</f>
        <v>73</v>
      </c>
      <c r="I319" s="112" t="str">
        <f>IFERROR(__xludf.DUMMYFUNCTION("""COMPUTED_VALUE"""),"")</f>
        <v/>
      </c>
      <c r="J319" s="74" t="str">
        <f>IFERROR(__xludf.DUMMYFUNCTION("""COMPUTED_VALUE"""),"Dinner")</f>
        <v>Dinner</v>
      </c>
      <c r="K319" s="113">
        <f>IFERROR(__xludf.DUMMYFUNCTION("""COMPUTED_VALUE"""),45993.0)</f>
        <v>45993</v>
      </c>
      <c r="L319" s="74" t="str">
        <f>IFERROR(__xludf.DUMMYFUNCTION("""COMPUTED_VALUE"""),"Tuesday")</f>
        <v>Tuesday</v>
      </c>
      <c r="M319" s="74" t="str">
        <f>IFERROR(__xludf.DUMMYFUNCTION("""COMPUTED_VALUE"""),"BF")</f>
        <v>BF</v>
      </c>
      <c r="N319" s="114" t="str">
        <f>IFERROR(__xludf.DUMMYFUNCTION("""COMPUTED_VALUE"""),"")</f>
        <v/>
      </c>
      <c r="O319" s="74" t="str">
        <f>IFERROR(__xludf.DUMMYFUNCTION("""COMPUTED_VALUE"""),"")</f>
        <v/>
      </c>
      <c r="P319" s="74" t="str">
        <f>IFERROR(__xludf.DUMMYFUNCTION("""COMPUTED_VALUE"""),"")</f>
        <v/>
      </c>
      <c r="Q319" s="82" t="str">
        <f>IFERROR(__xludf.DUMMYFUNCTION("""COMPUTED_VALUE"""),"")</f>
        <v/>
      </c>
      <c r="R319" s="82" t="str">
        <f>IFERROR(__xludf.DUMMYFUNCTION("""COMPUTED_VALUE"""),"")</f>
        <v/>
      </c>
      <c r="S319" s="63" t="str">
        <f>IFERROR(__xludf.DUMMYFUNCTION("""COMPUTED_VALUE"""),"")</f>
        <v/>
      </c>
      <c r="T319" s="63" t="str">
        <f>IFERROR(__xludf.DUMMYFUNCTION("""COMPUTED_VALUE"""),"")</f>
        <v/>
      </c>
      <c r="U319" s="138" t="str">
        <f>IFERROR(__xludf.DUMMYFUNCTION("""COMPUTED_VALUE"""),"")</f>
        <v/>
      </c>
      <c r="V319" s="82" t="str">
        <f>IFERROR(__xludf.DUMMYFUNCTION("""COMPUTED_VALUE"""),"")</f>
        <v/>
      </c>
      <c r="W319" s="64" t="str">
        <f>IFERROR(__xludf.DUMMYFUNCTION("""COMPUTED_VALUE"""),"")</f>
        <v/>
      </c>
      <c r="X319" s="64" t="str">
        <f>IFERROR(__xludf.DUMMYFUNCTION("""COMPUTED_VALUE"""),"")</f>
        <v/>
      </c>
      <c r="Y319" s="114" t="str">
        <f>IFERROR(__xludf.DUMMYFUNCTION("""COMPUTED_VALUE"""),"")</f>
        <v/>
      </c>
      <c r="Z319" s="118" t="str">
        <f>IFERROR(__xludf.DUMMYFUNCTION("""COMPUTED_VALUE"""),"")</f>
        <v/>
      </c>
      <c r="AA319" s="118" t="str">
        <f>IFERROR(__xludf.DUMMYFUNCTION("""COMPUTED_VALUE"""),"")</f>
        <v/>
      </c>
      <c r="AB319" s="74"/>
    </row>
    <row r="320">
      <c r="A320" s="109">
        <f>IFERROR(__xludf.DUMMYFUNCTION("""COMPUTED_VALUE"""),45993.936993043986)</f>
        <v>45993.93699</v>
      </c>
      <c r="B320" s="81" t="str">
        <f>IFERROR(__xludf.DUMMYFUNCTION("""COMPUTED_VALUE"""),"Kaylie Forgue")</f>
        <v>Kaylie Forgue</v>
      </c>
      <c r="C320" s="74" t="b">
        <f>IFERROR(__xludf.DUMMYFUNCTION("""COMPUTED_VALUE"""),FALSE)</f>
        <v>0</v>
      </c>
      <c r="D320" s="137">
        <f>IFERROR(__xludf.DUMMYFUNCTION("""COMPUTED_VALUE"""),0.7881944444452529)</f>
        <v>0.7881944444</v>
      </c>
      <c r="E320" s="82">
        <f>IFERROR(__xludf.DUMMYFUNCTION("""COMPUTED_VALUE"""),0.07083333333139308)</f>
        <v>0.07083333333</v>
      </c>
      <c r="F320" s="137">
        <f>IFERROR(__xludf.DUMMYFUNCTION("""COMPUTED_VALUE"""),0.859027777776646)</f>
        <v>0.8590277778</v>
      </c>
      <c r="G320" s="82">
        <f>IFERROR(__xludf.DUMMYFUNCTION("""COMPUTED_VALUE"""),0.07083333333139308)</f>
        <v>0.07083333333</v>
      </c>
      <c r="H320" s="115">
        <f>IFERROR(__xludf.DUMMYFUNCTION("""COMPUTED_VALUE"""),105.0)</f>
        <v>105</v>
      </c>
      <c r="I320" s="112">
        <f>IFERROR(__xludf.DUMMYFUNCTION("""COMPUTED_VALUE"""),61.76470588404479)</f>
        <v>61.76470588</v>
      </c>
      <c r="J320" s="74" t="str">
        <f>IFERROR(__xludf.DUMMYFUNCTION("""COMPUTED_VALUE"""),"Dinner")</f>
        <v>Dinner</v>
      </c>
      <c r="K320" s="113">
        <f>IFERROR(__xludf.DUMMYFUNCTION("""COMPUTED_VALUE"""),45993.0)</f>
        <v>45993</v>
      </c>
      <c r="L320" s="74" t="str">
        <f>IFERROR(__xludf.DUMMYFUNCTION("""COMPUTED_VALUE"""),"Tuesday")</f>
        <v>Tuesday</v>
      </c>
      <c r="M320" s="74" t="str">
        <f>IFERROR(__xludf.DUMMYFUNCTION("""COMPUTED_VALUE"""),"BF")</f>
        <v>BF</v>
      </c>
      <c r="N320" s="114">
        <f>IFERROR(__xludf.DUMMYFUNCTION("""COMPUTED_VALUE"""),1.4576263617667096)</f>
        <v>1.457626362</v>
      </c>
      <c r="O320" s="74">
        <f>IFERROR(__xludf.DUMMYFUNCTION("""COMPUTED_VALUE"""),135.0)</f>
        <v>135</v>
      </c>
      <c r="P320" s="74">
        <f>IFERROR(__xludf.DUMMYFUNCTION("""COMPUTED_VALUE"""),586.0)</f>
        <v>586</v>
      </c>
      <c r="Q320" s="82">
        <f>IFERROR(__xludf.DUMMYFUNCTION("""COMPUTED_VALUE"""),0.15625)</f>
        <v>0.15625</v>
      </c>
      <c r="R320" s="82">
        <f>IFERROR(__xludf.DUMMYFUNCTION("""COMPUTED_VALUE"""),0.4923611111007631)</f>
        <v>0.4923611111</v>
      </c>
      <c r="S320" s="63">
        <f>IFERROR(__xludf.DUMMYFUNCTION("""COMPUTED_VALUE"""),36.0)</f>
        <v>36</v>
      </c>
      <c r="T320" s="63">
        <f>IFERROR(__xludf.DUMMYFUNCTION("""COMPUTED_VALUE"""),46.33131461102005)</f>
        <v>46.33131461</v>
      </c>
      <c r="U320" s="138">
        <f>IFERROR(__xludf.DUMMYFUNCTION("""COMPUTED_VALUE"""),721.0)</f>
        <v>721</v>
      </c>
      <c r="V320" s="82">
        <f>IFERROR(__xludf.DUMMYFUNCTION("""COMPUTED_VALUE"""),0.6486111111007631)</f>
        <v>0.6486111111</v>
      </c>
      <c r="W320" s="64">
        <f>IFERROR(__xludf.DUMMYFUNCTION("""COMPUTED_VALUE"""),46.316916488961645)</f>
        <v>46.31691649</v>
      </c>
      <c r="X320" s="64">
        <f>IFERROR(__xludf.DUMMYFUNCTION("""COMPUTED_VALUE"""),44.85541252373147)</f>
        <v>44.85541252</v>
      </c>
      <c r="Y320" s="114">
        <f>IFERROR(__xludf.DUMMYFUNCTION("""COMPUTED_VALUE"""),0.8846932569504993)</f>
        <v>0.884693257</v>
      </c>
      <c r="Z320" s="118" t="str">
        <f>IFERROR(__xludf.DUMMYFUNCTION("""COMPUTED_VALUE"""),"")</f>
        <v/>
      </c>
      <c r="AA320" s="118" t="str">
        <f>IFERROR(__xludf.DUMMYFUNCTION("""COMPUTED_VALUE"""),"")</f>
        <v/>
      </c>
      <c r="AB320" s="74"/>
    </row>
    <row r="321">
      <c r="A321" s="109">
        <f>IFERROR(__xludf.DUMMYFUNCTION("""COMPUTED_VALUE"""),45994.63012290509)</f>
        <v>45994.63012</v>
      </c>
      <c r="B321" s="81" t="str">
        <f>IFERROR(__xludf.DUMMYFUNCTION("""COMPUTED_VALUE"""),"Brynn Hornig")</f>
        <v>Brynn Hornig</v>
      </c>
      <c r="C321" s="74" t="b">
        <f>IFERROR(__xludf.DUMMYFUNCTION("""COMPUTED_VALUE"""),FALSE)</f>
        <v>0</v>
      </c>
      <c r="D321" s="137">
        <f>IFERROR(__xludf.DUMMYFUNCTION("""COMPUTED_VALUE"""),0.5833333333357587)</f>
        <v>0.5833333333</v>
      </c>
      <c r="E321" s="82">
        <f>IFERROR(__xludf.DUMMYFUNCTION("""COMPUTED_VALUE"""),0.052083333328482695)</f>
        <v>0.05208333333</v>
      </c>
      <c r="F321" s="137">
        <f>IFERROR(__xludf.DUMMYFUNCTION("""COMPUTED_VALUE"""),0.6354166666642413)</f>
        <v>0.6354166667</v>
      </c>
      <c r="G321" s="82">
        <f>IFERROR(__xludf.DUMMYFUNCTION("""COMPUTED_VALUE"""),0.052083333328482695)</f>
        <v>0.05208333333</v>
      </c>
      <c r="H321" s="115">
        <f>IFERROR(__xludf.DUMMYFUNCTION("""COMPUTED_VALUE"""),56.0)</f>
        <v>56</v>
      </c>
      <c r="I321" s="112">
        <f>IFERROR(__xludf.DUMMYFUNCTION("""COMPUTED_VALUE"""),44.800000004172325)</f>
        <v>44.8</v>
      </c>
      <c r="J321" s="74" t="str">
        <f>IFERROR(__xludf.DUMMYFUNCTION("""COMPUTED_VALUE"""),"Lunch")</f>
        <v>Lunch</v>
      </c>
      <c r="K321" s="113">
        <f>IFERROR(__xludf.DUMMYFUNCTION("""COMPUTED_VALUE"""),45994.0)</f>
        <v>45994</v>
      </c>
      <c r="L321" s="74" t="str">
        <f>IFERROR(__xludf.DUMMYFUNCTION("""COMPUTED_VALUE"""),"Wednesday")</f>
        <v>Wednesday</v>
      </c>
      <c r="M321" s="74" t="str">
        <f>IFERROR(__xludf.DUMMYFUNCTION("""COMPUTED_VALUE"""),"MF")</f>
        <v>MF</v>
      </c>
      <c r="N321" s="114">
        <f>IFERROR(__xludf.DUMMYFUNCTION("""COMPUTED_VALUE"""),0.9316089768626021)</f>
        <v>0.9316089769</v>
      </c>
      <c r="O321" s="74" t="str">
        <f>IFERROR(__xludf.DUMMYFUNCTION("""COMPUTED_VALUE"""),"")</f>
        <v/>
      </c>
      <c r="P321" s="74" t="str">
        <f>IFERROR(__xludf.DUMMYFUNCTION("""COMPUTED_VALUE"""),"")</f>
        <v/>
      </c>
      <c r="Q321" s="82" t="str">
        <f>IFERROR(__xludf.DUMMYFUNCTION("""COMPUTED_VALUE"""),"")</f>
        <v/>
      </c>
      <c r="R321" s="82" t="str">
        <f>IFERROR(__xludf.DUMMYFUNCTION("""COMPUTED_VALUE"""),"")</f>
        <v/>
      </c>
      <c r="S321" s="63" t="str">
        <f>IFERROR(__xludf.DUMMYFUNCTION("""COMPUTED_VALUE"""),"")</f>
        <v/>
      </c>
      <c r="T321" s="63" t="str">
        <f>IFERROR(__xludf.DUMMYFUNCTION("""COMPUTED_VALUE"""),"")</f>
        <v/>
      </c>
      <c r="U321" s="138" t="str">
        <f>IFERROR(__xludf.DUMMYFUNCTION("""COMPUTED_VALUE"""),"")</f>
        <v/>
      </c>
      <c r="V321" s="82" t="str">
        <f>IFERROR(__xludf.DUMMYFUNCTION("""COMPUTED_VALUE"""),"")</f>
        <v/>
      </c>
      <c r="W321" s="64" t="str">
        <f>IFERROR(__xludf.DUMMYFUNCTION("""COMPUTED_VALUE"""),"")</f>
        <v/>
      </c>
      <c r="X321" s="64" t="str">
        <f>IFERROR(__xludf.DUMMYFUNCTION("""COMPUTED_VALUE"""),"")</f>
        <v/>
      </c>
      <c r="Y321" s="114" t="str">
        <f>IFERROR(__xludf.DUMMYFUNCTION("""COMPUTED_VALUE"""),"")</f>
        <v/>
      </c>
      <c r="Z321" s="118" t="str">
        <f>IFERROR(__xludf.DUMMYFUNCTION("""COMPUTED_VALUE"""),"")</f>
        <v/>
      </c>
      <c r="AA321" s="118" t="str">
        <f>IFERROR(__xludf.DUMMYFUNCTION("""COMPUTED_VALUE"""),"")</f>
        <v/>
      </c>
      <c r="AB321" s="74"/>
    </row>
    <row r="322">
      <c r="A322" s="109">
        <f>IFERROR(__xludf.DUMMYFUNCTION("""COMPUTED_VALUE"""),45994.71561569444)</f>
        <v>45994.71562</v>
      </c>
      <c r="B322" s="81" t="str">
        <f>IFERROR(__xludf.DUMMYFUNCTION("""COMPUTED_VALUE"""),"Orpheus Wilson")</f>
        <v>Orpheus Wilson</v>
      </c>
      <c r="C322" s="74" t="b">
        <f>IFERROR(__xludf.DUMMYFUNCTION("""COMPUTED_VALUE"""),FALSE)</f>
        <v>0</v>
      </c>
      <c r="D322" s="137">
        <f>IFERROR(__xludf.DUMMYFUNCTION("""COMPUTED_VALUE"""),0.6805555555547471)</f>
        <v>0.6805555556</v>
      </c>
      <c r="E322" s="82">
        <f>IFERROR(__xludf.DUMMYFUNCTION("""COMPUTED_VALUE"""),0.02916666666715173)</f>
        <v>0.02916666667</v>
      </c>
      <c r="F322" s="137">
        <f>IFERROR(__xludf.DUMMYFUNCTION("""COMPUTED_VALUE"""),0.7097222222218988)</f>
        <v>0.7097222222</v>
      </c>
      <c r="G322" s="82">
        <f>IFERROR(__xludf.DUMMYFUNCTION("""COMPUTED_VALUE"""),0.0625)</f>
        <v>0.0625</v>
      </c>
      <c r="H322" s="115">
        <f>IFERROR(__xludf.DUMMYFUNCTION("""COMPUTED_VALUE"""),105.0)</f>
        <v>105</v>
      </c>
      <c r="I322" s="112">
        <f>IFERROR(__xludf.DUMMYFUNCTION("""COMPUTED_VALUE"""),70.0)</f>
        <v>70</v>
      </c>
      <c r="J322" s="74" t="str">
        <f>IFERROR(__xludf.DUMMYFUNCTION("""COMPUTED_VALUE"""),"Dinner")</f>
        <v>Dinner</v>
      </c>
      <c r="K322" s="113">
        <f>IFERROR(__xludf.DUMMYFUNCTION("""COMPUTED_VALUE"""),45994.0)</f>
        <v>45994</v>
      </c>
      <c r="L322" s="74" t="str">
        <f>IFERROR(__xludf.DUMMYFUNCTION("""COMPUTED_VALUE"""),"Wednesday")</f>
        <v>Wednesday</v>
      </c>
      <c r="M322" s="74" t="str">
        <f>IFERROR(__xludf.DUMMYFUNCTION("""COMPUTED_VALUE"""),"MF")</f>
        <v>MF</v>
      </c>
      <c r="N322" s="114">
        <f>IFERROR(__xludf.DUMMYFUNCTION("""COMPUTED_VALUE"""),1.3793490308704446)</f>
        <v>1.379349031</v>
      </c>
      <c r="O322" s="74" t="str">
        <f>IFERROR(__xludf.DUMMYFUNCTION("""COMPUTED_VALUE"""),"")</f>
        <v/>
      </c>
      <c r="P322" s="74" t="str">
        <f>IFERROR(__xludf.DUMMYFUNCTION("""COMPUTED_VALUE"""),"")</f>
        <v/>
      </c>
      <c r="Q322" s="82" t="str">
        <f>IFERROR(__xludf.DUMMYFUNCTION("""COMPUTED_VALUE"""),"")</f>
        <v/>
      </c>
      <c r="R322" s="82" t="str">
        <f>IFERROR(__xludf.DUMMYFUNCTION("""COMPUTED_VALUE"""),"")</f>
        <v/>
      </c>
      <c r="S322" s="63" t="str">
        <f>IFERROR(__xludf.DUMMYFUNCTION("""COMPUTED_VALUE"""),"")</f>
        <v/>
      </c>
      <c r="T322" s="63" t="str">
        <f>IFERROR(__xludf.DUMMYFUNCTION("""COMPUTED_VALUE"""),"")</f>
        <v/>
      </c>
      <c r="U322" s="138" t="str">
        <f>IFERROR(__xludf.DUMMYFUNCTION("""COMPUTED_VALUE"""),"")</f>
        <v/>
      </c>
      <c r="V322" s="82" t="str">
        <f>IFERROR(__xludf.DUMMYFUNCTION("""COMPUTED_VALUE"""),"")</f>
        <v/>
      </c>
      <c r="W322" s="64" t="str">
        <f>IFERROR(__xludf.DUMMYFUNCTION("""COMPUTED_VALUE"""),"")</f>
        <v/>
      </c>
      <c r="X322" s="64" t="str">
        <f>IFERROR(__xludf.DUMMYFUNCTION("""COMPUTED_VALUE"""),"")</f>
        <v/>
      </c>
      <c r="Y322" s="114" t="str">
        <f>IFERROR(__xludf.DUMMYFUNCTION("""COMPUTED_VALUE"""),"")</f>
        <v/>
      </c>
      <c r="Z322" s="118" t="str">
        <f>IFERROR(__xludf.DUMMYFUNCTION("""COMPUTED_VALUE"""),"")</f>
        <v/>
      </c>
      <c r="AA322" s="118" t="str">
        <f>IFERROR(__xludf.DUMMYFUNCTION("""COMPUTED_VALUE"""),"")</f>
        <v/>
      </c>
      <c r="AB322" s="74"/>
    </row>
    <row r="323">
      <c r="A323" s="109">
        <f>IFERROR(__xludf.DUMMYFUNCTION("""COMPUTED_VALUE"""),45994.75331414352)</f>
        <v>45994.75331</v>
      </c>
      <c r="B323" s="81" t="str">
        <f>IFERROR(__xludf.DUMMYFUNCTION("""COMPUTED_VALUE"""),"Orpheus Wilson")</f>
        <v>Orpheus Wilson</v>
      </c>
      <c r="C323" s="74" t="b">
        <f>IFERROR(__xludf.DUMMYFUNCTION("""COMPUTED_VALUE"""),TRUE)</f>
        <v>1</v>
      </c>
      <c r="D323" s="137">
        <f>IFERROR(__xludf.DUMMYFUNCTION("""COMPUTED_VALUE"""),0.7166666666671517)</f>
        <v>0.7166666667</v>
      </c>
      <c r="E323" s="82">
        <f>IFERROR(__xludf.DUMMYFUNCTION("""COMPUTED_VALUE"""),0.03333333333284827)</f>
        <v>0.03333333333</v>
      </c>
      <c r="F323" s="137">
        <f>IFERROR(__xludf.DUMMYFUNCTION("""COMPUTED_VALUE"""),0.75)</f>
        <v>0.75</v>
      </c>
      <c r="G323" s="82" t="str">
        <f>IFERROR(__xludf.DUMMYFUNCTION("""COMPUTED_VALUE"""),"")</f>
        <v/>
      </c>
      <c r="H323" s="115">
        <f>IFERROR(__xludf.DUMMYFUNCTION("""COMPUTED_VALUE"""),121.0)</f>
        <v>121</v>
      </c>
      <c r="I323" s="112" t="str">
        <f>IFERROR(__xludf.DUMMYFUNCTION("""COMPUTED_VALUE"""),"")</f>
        <v/>
      </c>
      <c r="J323" s="74" t="str">
        <f>IFERROR(__xludf.DUMMYFUNCTION("""COMPUTED_VALUE"""),"Dinner")</f>
        <v>Dinner</v>
      </c>
      <c r="K323" s="113">
        <f>IFERROR(__xludf.DUMMYFUNCTION("""COMPUTED_VALUE"""),45994.0)</f>
        <v>45994</v>
      </c>
      <c r="L323" s="74" t="str">
        <f>IFERROR(__xludf.DUMMYFUNCTION("""COMPUTED_VALUE"""),"Wednesday")</f>
        <v>Wednesday</v>
      </c>
      <c r="M323" s="74" t="str">
        <f>IFERROR(__xludf.DUMMYFUNCTION("""COMPUTED_VALUE"""),"MF")</f>
        <v>MF</v>
      </c>
      <c r="N323" s="114" t="str">
        <f>IFERROR(__xludf.DUMMYFUNCTION("""COMPUTED_VALUE"""),"")</f>
        <v/>
      </c>
      <c r="O323" s="74">
        <f>IFERROR(__xludf.DUMMYFUNCTION("""COMPUTED_VALUE"""),282.0)</f>
        <v>282</v>
      </c>
      <c r="P323" s="74" t="str">
        <f>IFERROR(__xludf.DUMMYFUNCTION("""COMPUTED_VALUE"""),"")</f>
        <v/>
      </c>
      <c r="Q323" s="82">
        <f>IFERROR(__xludf.DUMMYFUNCTION("""COMPUTED_VALUE"""),0.1145833333284827)</f>
        <v>0.1145833333</v>
      </c>
      <c r="R323" s="82" t="str">
        <f>IFERROR(__xludf.DUMMYFUNCTION("""COMPUTED_VALUE"""),"")</f>
        <v/>
      </c>
      <c r="S323" s="63">
        <f>IFERROR(__xludf.DUMMYFUNCTION("""COMPUTED_VALUE"""),57.40000000208616)</f>
        <v>57.4</v>
      </c>
      <c r="T323" s="63" t="str">
        <f>IFERROR(__xludf.DUMMYFUNCTION("""COMPUTED_VALUE"""),"")</f>
        <v/>
      </c>
      <c r="U323" s="138">
        <f>IFERROR(__xludf.DUMMYFUNCTION("""COMPUTED_VALUE"""),282.0)</f>
        <v>282</v>
      </c>
      <c r="V323" s="82">
        <f>IFERROR(__xludf.DUMMYFUNCTION("""COMPUTED_VALUE"""),0.1145833333284827)</f>
        <v>0.1145833333</v>
      </c>
      <c r="W323" s="64">
        <f>IFERROR(__xludf.DUMMYFUNCTION("""COMPUTED_VALUE"""),102.54545454979558)</f>
        <v>102.5454545</v>
      </c>
      <c r="X323" s="64">
        <f>IFERROR(__xludf.DUMMYFUNCTION("""COMPUTED_VALUE"""),57.40000000208616)</f>
        <v>57.4</v>
      </c>
      <c r="Y323" s="114">
        <f>IFERROR(__xludf.DUMMYFUNCTION("""COMPUTED_VALUE"""),0.8288110128348407)</f>
        <v>0.8288110128</v>
      </c>
      <c r="Z323" s="118" t="str">
        <f>IFERROR(__xludf.DUMMYFUNCTION("""COMPUTED_VALUE"""),"")</f>
        <v/>
      </c>
      <c r="AA323" s="118" t="str">
        <f>IFERROR(__xludf.DUMMYFUNCTION("""COMPUTED_VALUE"""),"")</f>
        <v/>
      </c>
      <c r="AB323" s="74"/>
    </row>
    <row r="324">
      <c r="A324" s="109">
        <f>IFERROR(__xludf.DUMMYFUNCTION("""COMPUTED_VALUE"""),45995.4357283912)</f>
        <v>45995.43573</v>
      </c>
      <c r="B324" s="81" t="str">
        <f>IFERROR(__xludf.DUMMYFUNCTION("""COMPUTED_VALUE"""),"Evan Morgan")</f>
        <v>Evan Morgan</v>
      </c>
      <c r="C324" s="74" t="b">
        <f>IFERROR(__xludf.DUMMYFUNCTION("""COMPUTED_VALUE"""),FALSE)</f>
        <v>0</v>
      </c>
      <c r="D324" s="137">
        <f>IFERROR(__xludf.DUMMYFUNCTION("""COMPUTED_VALUE"""),0.29166666666424135)</f>
        <v>0.2916666667</v>
      </c>
      <c r="E324" s="82">
        <f>IFERROR(__xludf.DUMMYFUNCTION("""COMPUTED_VALUE"""),0.1423611111167702)</f>
        <v>0.1423611111</v>
      </c>
      <c r="F324" s="137">
        <f>IFERROR(__xludf.DUMMYFUNCTION("""COMPUTED_VALUE"""),0.43402777778101154)</f>
        <v>0.4340277778</v>
      </c>
      <c r="G324" s="82">
        <f>IFERROR(__xludf.DUMMYFUNCTION("""COMPUTED_VALUE"""),0.1423611111167702)</f>
        <v>0.1423611111</v>
      </c>
      <c r="H324" s="115">
        <f>IFERROR(__xludf.DUMMYFUNCTION("""COMPUTED_VALUE"""),97.0)</f>
        <v>97</v>
      </c>
      <c r="I324" s="112">
        <f>IFERROR(__xludf.DUMMYFUNCTION("""COMPUTED_VALUE"""),28.390243901310466)</f>
        <v>28.3902439</v>
      </c>
      <c r="J324" s="74" t="str">
        <f>IFERROR(__xludf.DUMMYFUNCTION("""COMPUTED_VALUE"""),"Breakfast")</f>
        <v>Breakfast</v>
      </c>
      <c r="K324" s="113">
        <f>IFERROR(__xludf.DUMMYFUNCTION("""COMPUTED_VALUE"""),45995.0)</f>
        <v>45995</v>
      </c>
      <c r="L324" s="74" t="str">
        <f>IFERROR(__xludf.DUMMYFUNCTION("""COMPUTED_VALUE"""),"Thursday")</f>
        <v>Thursday</v>
      </c>
      <c r="M324" s="74" t="str">
        <f>IFERROR(__xludf.DUMMYFUNCTION("""COMPUTED_VALUE"""),"BF")</f>
        <v>BF</v>
      </c>
      <c r="N324" s="114">
        <f>IFERROR(__xludf.DUMMYFUNCTION("""COMPUTED_VALUE"""),1.2023601576997827)</f>
        <v>1.202360158</v>
      </c>
      <c r="O324" s="74" t="str">
        <f>IFERROR(__xludf.DUMMYFUNCTION("""COMPUTED_VALUE"""),"")</f>
        <v/>
      </c>
      <c r="P324" s="74" t="str">
        <f>IFERROR(__xludf.DUMMYFUNCTION("""COMPUTED_VALUE"""),"")</f>
        <v/>
      </c>
      <c r="Q324" s="82" t="str">
        <f>IFERROR(__xludf.DUMMYFUNCTION("""COMPUTED_VALUE"""),"")</f>
        <v/>
      </c>
      <c r="R324" s="82" t="str">
        <f>IFERROR(__xludf.DUMMYFUNCTION("""COMPUTED_VALUE"""),"")</f>
        <v/>
      </c>
      <c r="S324" s="63" t="str">
        <f>IFERROR(__xludf.DUMMYFUNCTION("""COMPUTED_VALUE"""),"")</f>
        <v/>
      </c>
      <c r="T324" s="63" t="str">
        <f>IFERROR(__xludf.DUMMYFUNCTION("""COMPUTED_VALUE"""),"")</f>
        <v/>
      </c>
      <c r="U324" s="138" t="str">
        <f>IFERROR(__xludf.DUMMYFUNCTION("""COMPUTED_VALUE"""),"")</f>
        <v/>
      </c>
      <c r="V324" s="82" t="str">
        <f>IFERROR(__xludf.DUMMYFUNCTION("""COMPUTED_VALUE"""),"")</f>
        <v/>
      </c>
      <c r="W324" s="64" t="str">
        <f>IFERROR(__xludf.DUMMYFUNCTION("""COMPUTED_VALUE"""),"")</f>
        <v/>
      </c>
      <c r="X324" s="64" t="str">
        <f>IFERROR(__xludf.DUMMYFUNCTION("""COMPUTED_VALUE"""),"")</f>
        <v/>
      </c>
      <c r="Y324" s="114" t="str">
        <f>IFERROR(__xludf.DUMMYFUNCTION("""COMPUTED_VALUE"""),"")</f>
        <v/>
      </c>
      <c r="Z324" s="118" t="str">
        <f>IFERROR(__xludf.DUMMYFUNCTION("""COMPUTED_VALUE"""),"")</f>
        <v/>
      </c>
      <c r="AA324" s="118" t="str">
        <f>IFERROR(__xludf.DUMMYFUNCTION("""COMPUTED_VALUE"""),"")</f>
        <v/>
      </c>
      <c r="AB324" s="74"/>
    </row>
    <row r="325">
      <c r="A325" s="109">
        <f>IFERROR(__xludf.DUMMYFUNCTION("""COMPUTED_VALUE"""),45995.55992611111)</f>
        <v>45995.55993</v>
      </c>
      <c r="B325" s="81" t="str">
        <f>IFERROR(__xludf.DUMMYFUNCTION("""COMPUTED_VALUE"""),"Maureen Surgot")</f>
        <v>Maureen Surgot</v>
      </c>
      <c r="C325" s="74" t="b">
        <f>IFERROR(__xludf.DUMMYFUNCTION("""COMPUTED_VALUE"""),FALSE)</f>
        <v>0</v>
      </c>
      <c r="D325" s="137">
        <f>IFERROR(__xludf.DUMMYFUNCTION("""COMPUTED_VALUE"""),0.47916666666424135)</f>
        <v>0.4791666667</v>
      </c>
      <c r="E325" s="82">
        <f>IFERROR(__xludf.DUMMYFUNCTION("""COMPUTED_VALUE"""),0.08333333333575865)</f>
        <v>0.08333333334</v>
      </c>
      <c r="F325" s="137">
        <f>IFERROR(__xludf.DUMMYFUNCTION("""COMPUTED_VALUE"""),0.5625)</f>
        <v>0.5625</v>
      </c>
      <c r="G325" s="82">
        <f>IFERROR(__xludf.DUMMYFUNCTION("""COMPUTED_VALUE"""),0.08333333333575865)</f>
        <v>0.08333333334</v>
      </c>
      <c r="H325" s="115">
        <f>IFERROR(__xludf.DUMMYFUNCTION("""COMPUTED_VALUE"""),82.0)</f>
        <v>82</v>
      </c>
      <c r="I325" s="112">
        <f>IFERROR(__xludf.DUMMYFUNCTION("""COMPUTED_VALUE"""),40.99999999880674)</f>
        <v>41</v>
      </c>
      <c r="J325" s="74" t="str">
        <f>IFERROR(__xludf.DUMMYFUNCTION("""COMPUTED_VALUE"""),"Lunch")</f>
        <v>Lunch</v>
      </c>
      <c r="K325" s="113">
        <f>IFERROR(__xludf.DUMMYFUNCTION("""COMPUTED_VALUE"""),45995.0)</f>
        <v>45995</v>
      </c>
      <c r="L325" s="74" t="str">
        <f>IFERROR(__xludf.DUMMYFUNCTION("""COMPUTED_VALUE"""),"Thursday")</f>
        <v>Thursday</v>
      </c>
      <c r="M325" s="74" t="str">
        <f>IFERROR(__xludf.DUMMYFUNCTION("""COMPUTED_VALUE"""),"MF")</f>
        <v>MF</v>
      </c>
      <c r="N325" s="114">
        <f>IFERROR(__xludf.DUMMYFUNCTION("""COMPUTED_VALUE"""),0.8525885724709322)</f>
        <v>0.8525885725</v>
      </c>
      <c r="O325" s="74" t="str">
        <f>IFERROR(__xludf.DUMMYFUNCTION("""COMPUTED_VALUE"""),"")</f>
        <v/>
      </c>
      <c r="P325" s="74" t="str">
        <f>IFERROR(__xludf.DUMMYFUNCTION("""COMPUTED_VALUE"""),"")</f>
        <v/>
      </c>
      <c r="Q325" s="82" t="str">
        <f>IFERROR(__xludf.DUMMYFUNCTION("""COMPUTED_VALUE"""),"")</f>
        <v/>
      </c>
      <c r="R325" s="82" t="str">
        <f>IFERROR(__xludf.DUMMYFUNCTION("""COMPUTED_VALUE"""),"")</f>
        <v/>
      </c>
      <c r="S325" s="63" t="str">
        <f>IFERROR(__xludf.DUMMYFUNCTION("""COMPUTED_VALUE"""),"")</f>
        <v/>
      </c>
      <c r="T325" s="63" t="str">
        <f>IFERROR(__xludf.DUMMYFUNCTION("""COMPUTED_VALUE"""),"")</f>
        <v/>
      </c>
      <c r="U325" s="138" t="str">
        <f>IFERROR(__xludf.DUMMYFUNCTION("""COMPUTED_VALUE"""),"")</f>
        <v/>
      </c>
      <c r="V325" s="82" t="str">
        <f>IFERROR(__xludf.DUMMYFUNCTION("""COMPUTED_VALUE"""),"")</f>
        <v/>
      </c>
      <c r="W325" s="64" t="str">
        <f>IFERROR(__xludf.DUMMYFUNCTION("""COMPUTED_VALUE"""),"")</f>
        <v/>
      </c>
      <c r="X325" s="64" t="str">
        <f>IFERROR(__xludf.DUMMYFUNCTION("""COMPUTED_VALUE"""),"")</f>
        <v/>
      </c>
      <c r="Y325" s="114" t="str">
        <f>IFERROR(__xludf.DUMMYFUNCTION("""COMPUTED_VALUE"""),"")</f>
        <v/>
      </c>
      <c r="Z325" s="118" t="str">
        <f>IFERROR(__xludf.DUMMYFUNCTION("""COMPUTED_VALUE"""),"")</f>
        <v/>
      </c>
      <c r="AA325" s="118" t="str">
        <f>IFERROR(__xludf.DUMMYFUNCTION("""COMPUTED_VALUE"""),"")</f>
        <v/>
      </c>
      <c r="AB325" s="74"/>
    </row>
    <row r="326">
      <c r="A326" s="109">
        <f>IFERROR(__xludf.DUMMYFUNCTION("""COMPUTED_VALUE"""),45995.57763167824)</f>
        <v>45995.57763</v>
      </c>
      <c r="B326" s="81" t="str">
        <f>IFERROR(__xludf.DUMMYFUNCTION("""COMPUTED_VALUE"""),"Greta Traynor")</f>
        <v>Greta Traynor</v>
      </c>
      <c r="C326" s="74" t="b">
        <f>IFERROR(__xludf.DUMMYFUNCTION("""COMPUTED_VALUE"""),FALSE)</f>
        <v>0</v>
      </c>
      <c r="D326" s="137">
        <f>IFERROR(__xludf.DUMMYFUNCTION("""COMPUTED_VALUE"""),0.5222222222218988)</f>
        <v>0.5222222222</v>
      </c>
      <c r="E326" s="82">
        <f>IFERROR(__xludf.DUMMYFUNCTION("""COMPUTED_VALUE"""),0.047916666662786156)</f>
        <v>0.04791666666</v>
      </c>
      <c r="F326" s="137">
        <f>IFERROR(__xludf.DUMMYFUNCTION("""COMPUTED_VALUE"""),0.570138888884685)</f>
        <v>0.5701388889</v>
      </c>
      <c r="G326" s="82">
        <f>IFERROR(__xludf.DUMMYFUNCTION("""COMPUTED_VALUE"""),0.047916666662786156)</f>
        <v>0.04791666666</v>
      </c>
      <c r="H326" s="115">
        <f>IFERROR(__xludf.DUMMYFUNCTION("""COMPUTED_VALUE"""),61.0)</f>
        <v>61</v>
      </c>
      <c r="I326" s="112">
        <f>IFERROR(__xludf.DUMMYFUNCTION("""COMPUTED_VALUE"""),53.04347826516527)</f>
        <v>53.04347827</v>
      </c>
      <c r="J326" s="74" t="str">
        <f>IFERROR(__xludf.DUMMYFUNCTION("""COMPUTED_VALUE"""),"Lunch")</f>
        <v>Lunch</v>
      </c>
      <c r="K326" s="113">
        <f>IFERROR(__xludf.DUMMYFUNCTION("""COMPUTED_VALUE"""),45995.0)</f>
        <v>45995</v>
      </c>
      <c r="L326" s="74" t="str">
        <f>IFERROR(__xludf.DUMMYFUNCTION("""COMPUTED_VALUE"""),"Thursday")</f>
        <v>Thursday</v>
      </c>
      <c r="M326" s="74" t="str">
        <f>IFERROR(__xludf.DUMMYFUNCTION("""COMPUTED_VALUE"""),"BF")</f>
        <v>BF</v>
      </c>
      <c r="N326" s="114">
        <f>IFERROR(__xludf.DUMMYFUNCTION("""COMPUTED_VALUE"""),1.3660179659530285)</f>
        <v>1.366017966</v>
      </c>
      <c r="O326" s="74" t="str">
        <f>IFERROR(__xludf.DUMMYFUNCTION("""COMPUTED_VALUE"""),"")</f>
        <v/>
      </c>
      <c r="P326" s="74" t="str">
        <f>IFERROR(__xludf.DUMMYFUNCTION("""COMPUTED_VALUE"""),"")</f>
        <v/>
      </c>
      <c r="Q326" s="82" t="str">
        <f>IFERROR(__xludf.DUMMYFUNCTION("""COMPUTED_VALUE"""),"")</f>
        <v/>
      </c>
      <c r="R326" s="82" t="str">
        <f>IFERROR(__xludf.DUMMYFUNCTION("""COMPUTED_VALUE"""),"")</f>
        <v/>
      </c>
      <c r="S326" s="63" t="str">
        <f>IFERROR(__xludf.DUMMYFUNCTION("""COMPUTED_VALUE"""),"")</f>
        <v/>
      </c>
      <c r="T326" s="63" t="str">
        <f>IFERROR(__xludf.DUMMYFUNCTION("""COMPUTED_VALUE"""),"")</f>
        <v/>
      </c>
      <c r="U326" s="138" t="str">
        <f>IFERROR(__xludf.DUMMYFUNCTION("""COMPUTED_VALUE"""),"")</f>
        <v/>
      </c>
      <c r="V326" s="82" t="str">
        <f>IFERROR(__xludf.DUMMYFUNCTION("""COMPUTED_VALUE"""),"")</f>
        <v/>
      </c>
      <c r="W326" s="64" t="str">
        <f>IFERROR(__xludf.DUMMYFUNCTION("""COMPUTED_VALUE"""),"")</f>
        <v/>
      </c>
      <c r="X326" s="64" t="str">
        <f>IFERROR(__xludf.DUMMYFUNCTION("""COMPUTED_VALUE"""),"")</f>
        <v/>
      </c>
      <c r="Y326" s="114" t="str">
        <f>IFERROR(__xludf.DUMMYFUNCTION("""COMPUTED_VALUE"""),"")</f>
        <v/>
      </c>
      <c r="Z326" s="118" t="str">
        <f>IFERROR(__xludf.DUMMYFUNCTION("""COMPUTED_VALUE"""),"")</f>
        <v/>
      </c>
      <c r="AA326" s="118" t="str">
        <f>IFERROR(__xludf.DUMMYFUNCTION("""COMPUTED_VALUE"""),"")</f>
        <v/>
      </c>
      <c r="AB326" s="74"/>
    </row>
    <row r="327">
      <c r="A327" s="109">
        <f>IFERROR(__xludf.DUMMYFUNCTION("""COMPUTED_VALUE"""),45995.60812497685)</f>
        <v>45995.60812</v>
      </c>
      <c r="B327" s="81" t="str">
        <f>IFERROR(__xludf.DUMMYFUNCTION("""COMPUTED_VALUE"""),"Brynn Hornig")</f>
        <v>Brynn Hornig</v>
      </c>
      <c r="C327" s="74" t="b">
        <f>IFERROR(__xludf.DUMMYFUNCTION("""COMPUTED_VALUE"""),FALSE)</f>
        <v>0</v>
      </c>
      <c r="D327" s="137">
        <f>IFERROR(__xludf.DUMMYFUNCTION("""COMPUTED_VALUE"""),0.5625)</f>
        <v>0.5625</v>
      </c>
      <c r="E327" s="82">
        <f>IFERROR(__xludf.DUMMYFUNCTION("""COMPUTED_VALUE"""),0.04444444444379769)</f>
        <v>0.04444444444</v>
      </c>
      <c r="F327" s="137">
        <f>IFERROR(__xludf.DUMMYFUNCTION("""COMPUTED_VALUE"""),0.6069444444437977)</f>
        <v>0.6069444444</v>
      </c>
      <c r="G327" s="82">
        <f>IFERROR(__xludf.DUMMYFUNCTION("""COMPUTED_VALUE"""),0.07569444444379769)</f>
        <v>0.07569444444</v>
      </c>
      <c r="H327" s="115">
        <f>IFERROR(__xludf.DUMMYFUNCTION("""COMPUTED_VALUE"""),58.0)</f>
        <v>58</v>
      </c>
      <c r="I327" s="112">
        <f>IFERROR(__xludf.DUMMYFUNCTION("""COMPUTED_VALUE"""),31.926605504859946)</f>
        <v>31.9266055</v>
      </c>
      <c r="J327" s="74" t="str">
        <f>IFERROR(__xludf.DUMMYFUNCTION("""COMPUTED_VALUE"""),"Lunch")</f>
        <v>Lunch</v>
      </c>
      <c r="K327" s="113">
        <f>IFERROR(__xludf.DUMMYFUNCTION("""COMPUTED_VALUE"""),45995.0)</f>
        <v>45995</v>
      </c>
      <c r="L327" s="74" t="str">
        <f>IFERROR(__xludf.DUMMYFUNCTION("""COMPUTED_VALUE"""),"Thursday")</f>
        <v>Thursday</v>
      </c>
      <c r="M327" s="74" t="str">
        <f>IFERROR(__xludf.DUMMYFUNCTION("""COMPUTED_VALUE"""),"MF")</f>
        <v>MF</v>
      </c>
      <c r="N327" s="114">
        <f>IFERROR(__xludf.DUMMYFUNCTION("""COMPUTED_VALUE"""),0.6639087563908137)</f>
        <v>0.6639087564</v>
      </c>
      <c r="O327" s="74" t="str">
        <f>IFERROR(__xludf.DUMMYFUNCTION("""COMPUTED_VALUE"""),"")</f>
        <v/>
      </c>
      <c r="P327" s="74" t="str">
        <f>IFERROR(__xludf.DUMMYFUNCTION("""COMPUTED_VALUE"""),"")</f>
        <v/>
      </c>
      <c r="Q327" s="82" t="str">
        <f>IFERROR(__xludf.DUMMYFUNCTION("""COMPUTED_VALUE"""),"")</f>
        <v/>
      </c>
      <c r="R327" s="82" t="str">
        <f>IFERROR(__xludf.DUMMYFUNCTION("""COMPUTED_VALUE"""),"")</f>
        <v/>
      </c>
      <c r="S327" s="63" t="str">
        <f>IFERROR(__xludf.DUMMYFUNCTION("""COMPUTED_VALUE"""),"")</f>
        <v/>
      </c>
      <c r="T327" s="63" t="str">
        <f>IFERROR(__xludf.DUMMYFUNCTION("""COMPUTED_VALUE"""),"")</f>
        <v/>
      </c>
      <c r="U327" s="138" t="str">
        <f>IFERROR(__xludf.DUMMYFUNCTION("""COMPUTED_VALUE"""),"")</f>
        <v/>
      </c>
      <c r="V327" s="82" t="str">
        <f>IFERROR(__xludf.DUMMYFUNCTION("""COMPUTED_VALUE"""),"")</f>
        <v/>
      </c>
      <c r="W327" s="64" t="str">
        <f>IFERROR(__xludf.DUMMYFUNCTION("""COMPUTED_VALUE"""),"")</f>
        <v/>
      </c>
      <c r="X327" s="64" t="str">
        <f>IFERROR(__xludf.DUMMYFUNCTION("""COMPUTED_VALUE"""),"")</f>
        <v/>
      </c>
      <c r="Y327" s="114" t="str">
        <f>IFERROR(__xludf.DUMMYFUNCTION("""COMPUTED_VALUE"""),"")</f>
        <v/>
      </c>
      <c r="Z327" s="118" t="str">
        <f>IFERROR(__xludf.DUMMYFUNCTION("""COMPUTED_VALUE"""),"")</f>
        <v/>
      </c>
      <c r="AA327" s="118" t="str">
        <f>IFERROR(__xludf.DUMMYFUNCTION("""COMPUTED_VALUE"""),"")</f>
        <v/>
      </c>
      <c r="AB327" s="74"/>
    </row>
    <row r="328">
      <c r="A328" s="109">
        <f>IFERROR(__xludf.DUMMYFUNCTION("""COMPUTED_VALUE"""),45995.63317320602)</f>
        <v>45995.63317</v>
      </c>
      <c r="B328" s="81" t="str">
        <f>IFERROR(__xludf.DUMMYFUNCTION("""COMPUTED_VALUE"""),"Brynn Hornig")</f>
        <v>Brynn Hornig</v>
      </c>
      <c r="C328" s="74" t="b">
        <f>IFERROR(__xludf.DUMMYFUNCTION("""COMPUTED_VALUE"""),TRUE)</f>
        <v>1</v>
      </c>
      <c r="D328" s="137">
        <f>IFERROR(__xludf.DUMMYFUNCTION("""COMPUTED_VALUE"""),0.6041666666642413)</f>
        <v>0.6041666667</v>
      </c>
      <c r="E328" s="82">
        <f>IFERROR(__xludf.DUMMYFUNCTION("""COMPUTED_VALUE"""),0.03125)</f>
        <v>0.03125</v>
      </c>
      <c r="F328" s="137">
        <f>IFERROR(__xludf.DUMMYFUNCTION("""COMPUTED_VALUE"""),0.6354166666642413)</f>
        <v>0.6354166667</v>
      </c>
      <c r="G328" s="82" t="str">
        <f>IFERROR(__xludf.DUMMYFUNCTION("""COMPUTED_VALUE"""),"")</f>
        <v/>
      </c>
      <c r="H328" s="115">
        <f>IFERROR(__xludf.DUMMYFUNCTION("""COMPUTED_VALUE"""),16.0)</f>
        <v>16</v>
      </c>
      <c r="I328" s="112" t="str">
        <f>IFERROR(__xludf.DUMMYFUNCTION("""COMPUTED_VALUE"""),"")</f>
        <v/>
      </c>
      <c r="J328" s="74" t="str">
        <f>IFERROR(__xludf.DUMMYFUNCTION("""COMPUTED_VALUE"""),"Lunch")</f>
        <v>Lunch</v>
      </c>
      <c r="K328" s="113">
        <f>IFERROR(__xludf.DUMMYFUNCTION("""COMPUTED_VALUE"""),45995.0)</f>
        <v>45995</v>
      </c>
      <c r="L328" s="74" t="str">
        <f>IFERROR(__xludf.DUMMYFUNCTION("""COMPUTED_VALUE"""),"Thursday")</f>
        <v>Thursday</v>
      </c>
      <c r="M328" s="74" t="str">
        <f>IFERROR(__xludf.DUMMYFUNCTION("""COMPUTED_VALUE"""),"MF")</f>
        <v>MF</v>
      </c>
      <c r="N328" s="114" t="str">
        <f>IFERROR(__xludf.DUMMYFUNCTION("""COMPUTED_VALUE"""),"")</f>
        <v/>
      </c>
      <c r="O328" s="74" t="str">
        <f>IFERROR(__xludf.DUMMYFUNCTION("""COMPUTED_VALUE"""),"")</f>
        <v/>
      </c>
      <c r="P328" s="74" t="str">
        <f>IFERROR(__xludf.DUMMYFUNCTION("""COMPUTED_VALUE"""),"")</f>
        <v/>
      </c>
      <c r="Q328" s="82" t="str">
        <f>IFERROR(__xludf.DUMMYFUNCTION("""COMPUTED_VALUE"""),"")</f>
        <v/>
      </c>
      <c r="R328" s="82" t="str">
        <f>IFERROR(__xludf.DUMMYFUNCTION("""COMPUTED_VALUE"""),"")</f>
        <v/>
      </c>
      <c r="S328" s="63" t="str">
        <f>IFERROR(__xludf.DUMMYFUNCTION("""COMPUTED_VALUE"""),"")</f>
        <v/>
      </c>
      <c r="T328" s="63" t="str">
        <f>IFERROR(__xludf.DUMMYFUNCTION("""COMPUTED_VALUE"""),"")</f>
        <v/>
      </c>
      <c r="U328" s="138" t="str">
        <f>IFERROR(__xludf.DUMMYFUNCTION("""COMPUTED_VALUE"""),"")</f>
        <v/>
      </c>
      <c r="V328" s="82" t="str">
        <f>IFERROR(__xludf.DUMMYFUNCTION("""COMPUTED_VALUE"""),"")</f>
        <v/>
      </c>
      <c r="W328" s="64" t="str">
        <f>IFERROR(__xludf.DUMMYFUNCTION("""COMPUTED_VALUE"""),"")</f>
        <v/>
      </c>
      <c r="X328" s="64" t="str">
        <f>IFERROR(__xludf.DUMMYFUNCTION("""COMPUTED_VALUE"""),"")</f>
        <v/>
      </c>
      <c r="Y328" s="114" t="str">
        <f>IFERROR(__xludf.DUMMYFUNCTION("""COMPUTED_VALUE"""),"")</f>
        <v/>
      </c>
      <c r="Z328" s="118" t="str">
        <f>IFERROR(__xludf.DUMMYFUNCTION("""COMPUTED_VALUE"""),"")</f>
        <v/>
      </c>
      <c r="AA328" s="118" t="str">
        <f>IFERROR(__xludf.DUMMYFUNCTION("""COMPUTED_VALUE"""),"")</f>
        <v/>
      </c>
      <c r="AB328" s="74"/>
    </row>
    <row r="329">
      <c r="A329" s="109">
        <f>IFERROR(__xludf.DUMMYFUNCTION("""COMPUTED_VALUE"""),45995.65524061343)</f>
        <v>45995.65524</v>
      </c>
      <c r="B329" s="81" t="str">
        <f>IFERROR(__xludf.DUMMYFUNCTION("""COMPUTED_VALUE"""),"Emmett Khan")</f>
        <v>Emmett Khan</v>
      </c>
      <c r="C329" s="74" t="b">
        <f>IFERROR(__xludf.DUMMYFUNCTION("""COMPUTED_VALUE"""),FALSE)</f>
        <v>0</v>
      </c>
      <c r="D329" s="137">
        <f>IFERROR(__xludf.DUMMYFUNCTION("""COMPUTED_VALUE"""),0.5833333333357587)</f>
        <v>0.5833333333</v>
      </c>
      <c r="E329" s="82">
        <f>IFERROR(__xludf.DUMMYFUNCTION("""COMPUTED_VALUE"""),0.07291666666424135)</f>
        <v>0.07291666666</v>
      </c>
      <c r="F329" s="137">
        <f>IFERROR(__xludf.DUMMYFUNCTION("""COMPUTED_VALUE"""),0.65625)</f>
        <v>0.65625</v>
      </c>
      <c r="G329" s="82">
        <f>IFERROR(__xludf.DUMMYFUNCTION("""COMPUTED_VALUE"""),0.15625)</f>
        <v>0.15625</v>
      </c>
      <c r="H329" s="115">
        <f>IFERROR(__xludf.DUMMYFUNCTION("""COMPUTED_VALUE"""),78.0)</f>
        <v>78</v>
      </c>
      <c r="I329" s="112">
        <f>IFERROR(__xludf.DUMMYFUNCTION("""COMPUTED_VALUE"""),20.8)</f>
        <v>20.8</v>
      </c>
      <c r="J329" s="74" t="str">
        <f>IFERROR(__xludf.DUMMYFUNCTION("""COMPUTED_VALUE"""),"Lunch")</f>
        <v>Lunch</v>
      </c>
      <c r="K329" s="113">
        <f>IFERROR(__xludf.DUMMYFUNCTION("""COMPUTED_VALUE"""),45995.0)</f>
        <v>45995</v>
      </c>
      <c r="L329" s="74" t="str">
        <f>IFERROR(__xludf.DUMMYFUNCTION("""COMPUTED_VALUE"""),"Thursday")</f>
        <v>Thursday</v>
      </c>
      <c r="M329" s="74" t="str">
        <f>IFERROR(__xludf.DUMMYFUNCTION("""COMPUTED_VALUE"""),"BF")</f>
        <v>BF</v>
      </c>
      <c r="N329" s="114">
        <f>IFERROR(__xludf.DUMMYFUNCTION("""COMPUTED_VALUE"""),0.5356581925073813)</f>
        <v>0.5356581925</v>
      </c>
      <c r="O329" s="74" t="str">
        <f>IFERROR(__xludf.DUMMYFUNCTION("""COMPUTED_VALUE"""),"")</f>
        <v/>
      </c>
      <c r="P329" s="74" t="str">
        <f>IFERROR(__xludf.DUMMYFUNCTION("""COMPUTED_VALUE"""),"")</f>
        <v/>
      </c>
      <c r="Q329" s="82" t="str">
        <f>IFERROR(__xludf.DUMMYFUNCTION("""COMPUTED_VALUE"""),"")</f>
        <v/>
      </c>
      <c r="R329" s="82" t="str">
        <f>IFERROR(__xludf.DUMMYFUNCTION("""COMPUTED_VALUE"""),"")</f>
        <v/>
      </c>
      <c r="S329" s="63" t="str">
        <f>IFERROR(__xludf.DUMMYFUNCTION("""COMPUTED_VALUE"""),"")</f>
        <v/>
      </c>
      <c r="T329" s="63" t="str">
        <f>IFERROR(__xludf.DUMMYFUNCTION("""COMPUTED_VALUE"""),"")</f>
        <v/>
      </c>
      <c r="U329" s="138" t="str">
        <f>IFERROR(__xludf.DUMMYFUNCTION("""COMPUTED_VALUE"""),"")</f>
        <v/>
      </c>
      <c r="V329" s="82" t="str">
        <f>IFERROR(__xludf.DUMMYFUNCTION("""COMPUTED_VALUE"""),"")</f>
        <v/>
      </c>
      <c r="W329" s="64" t="str">
        <f>IFERROR(__xludf.DUMMYFUNCTION("""COMPUTED_VALUE"""),"")</f>
        <v/>
      </c>
      <c r="X329" s="64" t="str">
        <f>IFERROR(__xludf.DUMMYFUNCTION("""COMPUTED_VALUE"""),"")</f>
        <v/>
      </c>
      <c r="Y329" s="114" t="str">
        <f>IFERROR(__xludf.DUMMYFUNCTION("""COMPUTED_VALUE"""),"")</f>
        <v/>
      </c>
      <c r="Z329" s="118" t="str">
        <f>IFERROR(__xludf.DUMMYFUNCTION("""COMPUTED_VALUE"""),"")</f>
        <v/>
      </c>
      <c r="AA329" s="118" t="str">
        <f>IFERROR(__xludf.DUMMYFUNCTION("""COMPUTED_VALUE"""),"")</f>
        <v/>
      </c>
      <c r="AB329" s="74"/>
    </row>
    <row r="330">
      <c r="A330" s="109">
        <f>IFERROR(__xludf.DUMMYFUNCTION("""COMPUTED_VALUE"""),45995.767923692125)</f>
        <v>45995.76792</v>
      </c>
      <c r="B330" s="81" t="str">
        <f>IFERROR(__xludf.DUMMYFUNCTION("""COMPUTED_VALUE"""),"Emmett Khan")</f>
        <v>Emmett Khan</v>
      </c>
      <c r="C330" s="74" t="b">
        <f>IFERROR(__xludf.DUMMYFUNCTION("""COMPUTED_VALUE"""),TRUE)</f>
        <v>1</v>
      </c>
      <c r="D330" s="137">
        <f>IFERROR(__xludf.DUMMYFUNCTION("""COMPUTED_VALUE"""),0.6875)</f>
        <v>0.6875</v>
      </c>
      <c r="E330" s="82">
        <f>IFERROR(__xludf.DUMMYFUNCTION("""COMPUTED_VALUE"""),0.08333333333575865)</f>
        <v>0.08333333334</v>
      </c>
      <c r="F330" s="137">
        <f>IFERROR(__xludf.DUMMYFUNCTION("""COMPUTED_VALUE"""),0.7708333333357587)</f>
        <v>0.7708333333</v>
      </c>
      <c r="G330" s="82" t="str">
        <f>IFERROR(__xludf.DUMMYFUNCTION("""COMPUTED_VALUE"""),"")</f>
        <v/>
      </c>
      <c r="H330" s="115">
        <f>IFERROR(__xludf.DUMMYFUNCTION("""COMPUTED_VALUE"""),100.0)</f>
        <v>100</v>
      </c>
      <c r="I330" s="112" t="str">
        <f>IFERROR(__xludf.DUMMYFUNCTION("""COMPUTED_VALUE"""),"")</f>
        <v/>
      </c>
      <c r="J330" s="74" t="str">
        <f>IFERROR(__xludf.DUMMYFUNCTION("""COMPUTED_VALUE"""),"Dinner")</f>
        <v>Dinner</v>
      </c>
      <c r="K330" s="113">
        <f>IFERROR(__xludf.DUMMYFUNCTION("""COMPUTED_VALUE"""),45995.0)</f>
        <v>45995</v>
      </c>
      <c r="L330" s="74" t="str">
        <f>IFERROR(__xludf.DUMMYFUNCTION("""COMPUTED_VALUE"""),"Thursday")</f>
        <v>Thursday</v>
      </c>
      <c r="M330" s="74" t="str">
        <f>IFERROR(__xludf.DUMMYFUNCTION("""COMPUTED_VALUE"""),"BF")</f>
        <v>BF</v>
      </c>
      <c r="N330" s="114" t="str">
        <f>IFERROR(__xludf.DUMMYFUNCTION("""COMPUTED_VALUE"""),"")</f>
        <v/>
      </c>
      <c r="O330" s="74">
        <f>IFERROR(__xludf.DUMMYFUNCTION("""COMPUTED_VALUE"""),156.0)</f>
        <v>156</v>
      </c>
      <c r="P330" s="74">
        <f>IFERROR(__xludf.DUMMYFUNCTION("""COMPUTED_VALUE"""),336.0)</f>
        <v>336</v>
      </c>
      <c r="Q330" s="82">
        <f>IFERROR(__xludf.DUMMYFUNCTION("""COMPUTED_VALUE"""),0.15902777777955635)</f>
        <v>0.1590277778</v>
      </c>
      <c r="R330" s="82">
        <f>IFERROR(__xludf.DUMMYFUNCTION("""COMPUTED_VALUE"""),0.34652777777955635)</f>
        <v>0.3465277778</v>
      </c>
      <c r="S330" s="63">
        <f>IFERROR(__xludf.DUMMYFUNCTION("""COMPUTED_VALUE"""),36.463302751833346)</f>
        <v>36.46330275</v>
      </c>
      <c r="T330" s="63">
        <f>IFERROR(__xludf.DUMMYFUNCTION("""COMPUTED_VALUE"""),34.077907388825246)</f>
        <v>34.07790739</v>
      </c>
      <c r="U330" s="138">
        <f>IFERROR(__xludf.DUMMYFUNCTION("""COMPUTED_VALUE"""),492.0)</f>
        <v>492</v>
      </c>
      <c r="V330" s="82">
        <f>IFERROR(__xludf.DUMMYFUNCTION("""COMPUTED_VALUE"""),0.5055555555591127)</f>
        <v>0.5055555556</v>
      </c>
      <c r="W330" s="64">
        <f>IFERROR(__xludf.DUMMYFUNCTION("""COMPUTED_VALUE"""),40.54945054916524)</f>
        <v>40.54945055</v>
      </c>
      <c r="X330" s="64">
        <f>IFERROR(__xludf.DUMMYFUNCTION("""COMPUTED_VALUE"""),35.03206553402849)</f>
        <v>35.03206553</v>
      </c>
      <c r="Y330" s="114">
        <f>IFERROR(__xludf.DUMMYFUNCTION("""COMPUTED_VALUE"""),0.6439919972084677)</f>
        <v>0.6439919972</v>
      </c>
      <c r="Z330" s="118" t="str">
        <f>IFERROR(__xludf.DUMMYFUNCTION("""COMPUTED_VALUE"""),"")</f>
        <v/>
      </c>
      <c r="AA330" s="118" t="str">
        <f>IFERROR(__xludf.DUMMYFUNCTION("""COMPUTED_VALUE"""),"")</f>
        <v/>
      </c>
      <c r="AB330" s="74"/>
    </row>
    <row r="331">
      <c r="A331" s="109">
        <f>IFERROR(__xludf.DUMMYFUNCTION("""COMPUTED_VALUE"""),45996.59233339121)</f>
        <v>45996.59233</v>
      </c>
      <c r="B331" s="81" t="str">
        <f>IFERROR(__xludf.DUMMYFUNCTION("""COMPUTED_VALUE"""),"Greta Traynor")</f>
        <v>Greta Traynor</v>
      </c>
      <c r="C331" s="74" t="b">
        <f>IFERROR(__xludf.DUMMYFUNCTION("""COMPUTED_VALUE"""),FALSE)</f>
        <v>0</v>
      </c>
      <c r="D331" s="137">
        <f>IFERROR(__xludf.DUMMYFUNCTION("""COMPUTED_VALUE"""),0.5444444444437977)</f>
        <v>0.5444444444</v>
      </c>
      <c r="E331" s="82">
        <f>IFERROR(__xludf.DUMMYFUNCTION("""COMPUTED_VALUE"""),0.04652777777664596)</f>
        <v>0.04652777778</v>
      </c>
      <c r="F331" s="137">
        <f>IFERROR(__xludf.DUMMYFUNCTION("""COMPUTED_VALUE"""),0.5909722222204437)</f>
        <v>0.5909722222</v>
      </c>
      <c r="G331" s="82">
        <f>IFERROR(__xludf.DUMMYFUNCTION("""COMPUTED_VALUE"""),0.04652777777664596)</f>
        <v>0.04652777778</v>
      </c>
      <c r="H331" s="115">
        <f>IFERROR(__xludf.DUMMYFUNCTION("""COMPUTED_VALUE"""),42.0)</f>
        <v>42</v>
      </c>
      <c r="I331" s="112">
        <f>IFERROR(__xludf.DUMMYFUNCTION("""COMPUTED_VALUE"""),37.61194029942239)</f>
        <v>37.6119403</v>
      </c>
      <c r="J331" s="74" t="str">
        <f>IFERROR(__xludf.DUMMYFUNCTION("""COMPUTED_VALUE"""),"Lunch")</f>
        <v>Lunch</v>
      </c>
      <c r="K331" s="113">
        <f>IFERROR(__xludf.DUMMYFUNCTION("""COMPUTED_VALUE"""),45996.0)</f>
        <v>45996</v>
      </c>
      <c r="L331" s="74" t="str">
        <f>IFERROR(__xludf.DUMMYFUNCTION("""COMPUTED_VALUE"""),"Friday")</f>
        <v>Friday</v>
      </c>
      <c r="M331" s="74" t="str">
        <f>IFERROR(__xludf.DUMMYFUNCTION("""COMPUTED_VALUE"""),"BF")</f>
        <v>BF</v>
      </c>
      <c r="N331" s="114">
        <f>IFERROR(__xludf.DUMMYFUNCTION("""COMPUTED_VALUE"""),0.9686126902636603)</f>
        <v>0.9686126903</v>
      </c>
      <c r="O331" s="74" t="str">
        <f>IFERROR(__xludf.DUMMYFUNCTION("""COMPUTED_VALUE"""),"")</f>
        <v/>
      </c>
      <c r="P331" s="74" t="str">
        <f>IFERROR(__xludf.DUMMYFUNCTION("""COMPUTED_VALUE"""),"")</f>
        <v/>
      </c>
      <c r="Q331" s="82" t="str">
        <f>IFERROR(__xludf.DUMMYFUNCTION("""COMPUTED_VALUE"""),"")</f>
        <v/>
      </c>
      <c r="R331" s="82" t="str">
        <f>IFERROR(__xludf.DUMMYFUNCTION("""COMPUTED_VALUE"""),"")</f>
        <v/>
      </c>
      <c r="S331" s="63" t="str">
        <f>IFERROR(__xludf.DUMMYFUNCTION("""COMPUTED_VALUE"""),"")</f>
        <v/>
      </c>
      <c r="T331" s="63" t="str">
        <f>IFERROR(__xludf.DUMMYFUNCTION("""COMPUTED_VALUE"""),"")</f>
        <v/>
      </c>
      <c r="U331" s="138" t="str">
        <f>IFERROR(__xludf.DUMMYFUNCTION("""COMPUTED_VALUE"""),"")</f>
        <v/>
      </c>
      <c r="V331" s="82" t="str">
        <f>IFERROR(__xludf.DUMMYFUNCTION("""COMPUTED_VALUE"""),"")</f>
        <v/>
      </c>
      <c r="W331" s="64" t="str">
        <f>IFERROR(__xludf.DUMMYFUNCTION("""COMPUTED_VALUE"""),"")</f>
        <v/>
      </c>
      <c r="X331" s="64" t="str">
        <f>IFERROR(__xludf.DUMMYFUNCTION("""COMPUTED_VALUE"""),"")</f>
        <v/>
      </c>
      <c r="Y331" s="114" t="str">
        <f>IFERROR(__xludf.DUMMYFUNCTION("""COMPUTED_VALUE"""),"")</f>
        <v/>
      </c>
      <c r="Z331" s="118" t="str">
        <f>IFERROR(__xludf.DUMMYFUNCTION("""COMPUTED_VALUE"""),"")</f>
        <v/>
      </c>
      <c r="AA331" s="118" t="str">
        <f>IFERROR(__xludf.DUMMYFUNCTION("""COMPUTED_VALUE"""),"")</f>
        <v/>
      </c>
      <c r="AB331" s="74"/>
    </row>
    <row r="332">
      <c r="A332" s="109">
        <f>IFERROR(__xludf.DUMMYFUNCTION("""COMPUTED_VALUE"""),45996.63209414352)</f>
        <v>45996.63209</v>
      </c>
      <c r="B332" s="81" t="str">
        <f>IFERROR(__xludf.DUMMYFUNCTION("""COMPUTED_VALUE"""),"Brynn Hornig")</f>
        <v>Brynn Hornig</v>
      </c>
      <c r="C332" s="74" t="b">
        <f>IFERROR(__xludf.DUMMYFUNCTION("""COMPUTED_VALUE"""),FALSE)</f>
        <v>0</v>
      </c>
      <c r="D332" s="137">
        <f>IFERROR(__xludf.DUMMYFUNCTION("""COMPUTED_VALUE"""),0.5520833333357587)</f>
        <v>0.5520833333</v>
      </c>
      <c r="E332" s="82">
        <f>IFERROR(__xludf.DUMMYFUNCTION("""COMPUTED_VALUE"""),0.0833333333284827)</f>
        <v>0.08333333333</v>
      </c>
      <c r="F332" s="137">
        <f>IFERROR(__xludf.DUMMYFUNCTION("""COMPUTED_VALUE"""),0.6354166666642413)</f>
        <v>0.6354166667</v>
      </c>
      <c r="G332" s="82">
        <f>IFERROR(__xludf.DUMMYFUNCTION("""COMPUTED_VALUE"""),0.0833333333284827)</f>
        <v>0.08333333333</v>
      </c>
      <c r="H332" s="115">
        <f>IFERROR(__xludf.DUMMYFUNCTION("""COMPUTED_VALUE"""),144.0)</f>
        <v>144</v>
      </c>
      <c r="I332" s="112">
        <f>IFERROR(__xludf.DUMMYFUNCTION("""COMPUTED_VALUE"""),72.00000000419095)</f>
        <v>72</v>
      </c>
      <c r="J332" s="74" t="str">
        <f>IFERROR(__xludf.DUMMYFUNCTION("""COMPUTED_VALUE"""),"Lunch")</f>
        <v>Lunch</v>
      </c>
      <c r="K332" s="113">
        <f>IFERROR(__xludf.DUMMYFUNCTION("""COMPUTED_VALUE"""),45996.0)</f>
        <v>45996</v>
      </c>
      <c r="L332" s="74" t="str">
        <f>IFERROR(__xludf.DUMMYFUNCTION("""COMPUTED_VALUE"""),"Friday")</f>
        <v>Friday</v>
      </c>
      <c r="M332" s="74" t="str">
        <f>IFERROR(__xludf.DUMMYFUNCTION("""COMPUTED_VALUE"""),"MF")</f>
        <v>MF</v>
      </c>
      <c r="N332" s="114">
        <f>IFERROR(__xludf.DUMMYFUNCTION("""COMPUTED_VALUE"""),1.4972287127626063)</f>
        <v>1.497228713</v>
      </c>
      <c r="O332" s="74" t="str">
        <f>IFERROR(__xludf.DUMMYFUNCTION("""COMPUTED_VALUE"""),"")</f>
        <v/>
      </c>
      <c r="P332" s="74" t="str">
        <f>IFERROR(__xludf.DUMMYFUNCTION("""COMPUTED_VALUE"""),"")</f>
        <v/>
      </c>
      <c r="Q332" s="82" t="str">
        <f>IFERROR(__xludf.DUMMYFUNCTION("""COMPUTED_VALUE"""),"")</f>
        <v/>
      </c>
      <c r="R332" s="82" t="str">
        <f>IFERROR(__xludf.DUMMYFUNCTION("""COMPUTED_VALUE"""),"")</f>
        <v/>
      </c>
      <c r="S332" s="63" t="str">
        <f>IFERROR(__xludf.DUMMYFUNCTION("""COMPUTED_VALUE"""),"")</f>
        <v/>
      </c>
      <c r="T332" s="63" t="str">
        <f>IFERROR(__xludf.DUMMYFUNCTION("""COMPUTED_VALUE"""),"")</f>
        <v/>
      </c>
      <c r="U332" s="138" t="str">
        <f>IFERROR(__xludf.DUMMYFUNCTION("""COMPUTED_VALUE"""),"")</f>
        <v/>
      </c>
      <c r="V332" s="82" t="str">
        <f>IFERROR(__xludf.DUMMYFUNCTION("""COMPUTED_VALUE"""),"")</f>
        <v/>
      </c>
      <c r="W332" s="64" t="str">
        <f>IFERROR(__xludf.DUMMYFUNCTION("""COMPUTED_VALUE"""),"")</f>
        <v/>
      </c>
      <c r="X332" s="64" t="str">
        <f>IFERROR(__xludf.DUMMYFUNCTION("""COMPUTED_VALUE"""),"")</f>
        <v/>
      </c>
      <c r="Y332" s="114" t="str">
        <f>IFERROR(__xludf.DUMMYFUNCTION("""COMPUTED_VALUE"""),"")</f>
        <v/>
      </c>
      <c r="Z332" s="118" t="str">
        <f>IFERROR(__xludf.DUMMYFUNCTION("""COMPUTED_VALUE"""),"")</f>
        <v/>
      </c>
      <c r="AA332" s="118" t="str">
        <f>IFERROR(__xludf.DUMMYFUNCTION("""COMPUTED_VALUE"""),"")</f>
        <v/>
      </c>
      <c r="AB332" s="74"/>
    </row>
    <row r="333">
      <c r="A333" s="109">
        <f>IFERROR(__xludf.DUMMYFUNCTION("""COMPUTED_VALUE"""),45996.756024965274)</f>
        <v>45996.75602</v>
      </c>
      <c r="B333" s="81" t="str">
        <f>IFERROR(__xludf.DUMMYFUNCTION("""COMPUTED_VALUE"""),"Emmett Khan")</f>
        <v>Emmett Khan</v>
      </c>
      <c r="C333" s="74" t="b">
        <f>IFERROR(__xludf.DUMMYFUNCTION("""COMPUTED_VALUE"""),FALSE)</f>
        <v>0</v>
      </c>
      <c r="D333" s="137">
        <f>IFERROR(__xludf.DUMMYFUNCTION("""COMPUTED_VALUE"""),0.6666666666642413)</f>
        <v>0.6666666667</v>
      </c>
      <c r="E333" s="82">
        <f>IFERROR(__xludf.DUMMYFUNCTION("""COMPUTED_VALUE"""),0.09375)</f>
        <v>0.09375</v>
      </c>
      <c r="F333" s="137">
        <f>IFERROR(__xludf.DUMMYFUNCTION("""COMPUTED_VALUE"""),0.7604166666642413)</f>
        <v>0.7604166667</v>
      </c>
      <c r="G333" s="82">
        <f>IFERROR(__xludf.DUMMYFUNCTION("""COMPUTED_VALUE"""),0.09375)</f>
        <v>0.09375</v>
      </c>
      <c r="H333" s="115">
        <f>IFERROR(__xludf.DUMMYFUNCTION("""COMPUTED_VALUE"""),165.0)</f>
        <v>165</v>
      </c>
      <c r="I333" s="112">
        <f>IFERROR(__xludf.DUMMYFUNCTION("""COMPUTED_VALUE"""),73.33333333333333)</f>
        <v>73.33333333</v>
      </c>
      <c r="J333" s="74" t="str">
        <f>IFERROR(__xludf.DUMMYFUNCTION("""COMPUTED_VALUE"""),"Dinner")</f>
        <v>Dinner</v>
      </c>
      <c r="K333" s="113">
        <f>IFERROR(__xludf.DUMMYFUNCTION("""COMPUTED_VALUE"""),45996.0)</f>
        <v>45996</v>
      </c>
      <c r="L333" s="74" t="str">
        <f>IFERROR(__xludf.DUMMYFUNCTION("""COMPUTED_VALUE"""),"Friday")</f>
        <v>Friday</v>
      </c>
      <c r="M333" s="74" t="str">
        <f>IFERROR(__xludf.DUMMYFUNCTION("""COMPUTED_VALUE"""),"MF")</f>
        <v>MF</v>
      </c>
      <c r="N333" s="114">
        <f>IFERROR(__xludf.DUMMYFUNCTION("""COMPUTED_VALUE"""),1.4450323180547515)</f>
        <v>1.445032318</v>
      </c>
      <c r="O333" s="74">
        <f>IFERROR(__xludf.DUMMYFUNCTION("""COMPUTED_VALUE"""),309.0)</f>
        <v>309</v>
      </c>
      <c r="P333" s="74">
        <f>IFERROR(__xludf.DUMMYFUNCTION("""COMPUTED_VALUE"""),42.0)</f>
        <v>42</v>
      </c>
      <c r="Q333" s="82">
        <f>IFERROR(__xludf.DUMMYFUNCTION("""COMPUTED_VALUE"""),0.1770833333284827)</f>
        <v>0.1770833333</v>
      </c>
      <c r="R333" s="82">
        <f>IFERROR(__xludf.DUMMYFUNCTION("""COMPUTED_VALUE"""),0.04652777777664596)</f>
        <v>0.04652777778</v>
      </c>
      <c r="S333" s="63">
        <f>IFERROR(__xludf.DUMMYFUNCTION("""COMPUTED_VALUE"""),72.66666666876213)</f>
        <v>72.66666667</v>
      </c>
      <c r="T333" s="63">
        <f>IFERROR(__xludf.DUMMYFUNCTION("""COMPUTED_VALUE"""),37.61194029942239)</f>
        <v>37.6119403</v>
      </c>
      <c r="U333" s="138">
        <f>IFERROR(__xludf.DUMMYFUNCTION("""COMPUTED_VALUE"""),351.0)</f>
        <v>351</v>
      </c>
      <c r="V333" s="82">
        <f>IFERROR(__xludf.DUMMYFUNCTION("""COMPUTED_VALUE"""),0.22361111110512866)</f>
        <v>0.2236111111</v>
      </c>
      <c r="W333" s="64">
        <f>IFERROR(__xludf.DUMMYFUNCTION("""COMPUTED_VALUE"""),65.40372670982434)</f>
        <v>65.40372671</v>
      </c>
      <c r="X333" s="64">
        <f>IFERROR(__xludf.DUMMYFUNCTION("""COMPUTED_VALUE"""),60.98175787898223)</f>
        <v>60.98175788</v>
      </c>
      <c r="Y333" s="114">
        <f>IFERROR(__xludf.DUMMYFUNCTION("""COMPUTED_VALUE"""),1.338831384559806)</f>
        <v>1.338831385</v>
      </c>
      <c r="Z333" s="118" t="str">
        <f>IFERROR(__xludf.DUMMYFUNCTION("""COMPUTED_VALUE"""),"")</f>
        <v/>
      </c>
      <c r="AA333" s="118" t="str">
        <f>IFERROR(__xludf.DUMMYFUNCTION("""COMPUTED_VALUE"""),"")</f>
        <v/>
      </c>
      <c r="AB333" s="74"/>
    </row>
    <row r="334">
      <c r="A334" s="109">
        <f>IFERROR(__xludf.DUMMYFUNCTION("""COMPUTED_VALUE"""),45999.51320556713)</f>
        <v>45999.51321</v>
      </c>
      <c r="B334" s="81" t="str">
        <f>IFERROR(__xludf.DUMMYFUNCTION("""COMPUTED_VALUE"""),"Oluwatimilehin Shodipe")</f>
        <v>Oluwatimilehin Shodipe</v>
      </c>
      <c r="C334" s="74" t="b">
        <f>IFERROR(__xludf.DUMMYFUNCTION("""COMPUTED_VALUE"""),FALSE)</f>
        <v>0</v>
      </c>
      <c r="D334" s="137">
        <f>IFERROR(__xludf.DUMMYFUNCTION("""COMPUTED_VALUE"""),0.43888888889341615)</f>
        <v>0.4388888889</v>
      </c>
      <c r="E334" s="82">
        <f>IFERROR(__xludf.DUMMYFUNCTION("""COMPUTED_VALUE"""),0.06111111110658385)</f>
        <v>0.06111111111</v>
      </c>
      <c r="F334" s="137">
        <f>IFERROR(__xludf.DUMMYFUNCTION("""COMPUTED_VALUE"""),0.5)</f>
        <v>0.5</v>
      </c>
      <c r="G334" s="82">
        <f>IFERROR(__xludf.DUMMYFUNCTION("""COMPUTED_VALUE"""),0.11666666666133096)</f>
        <v>0.1166666667</v>
      </c>
      <c r="H334" s="115">
        <f>IFERROR(__xludf.DUMMYFUNCTION("""COMPUTED_VALUE"""),86.0)</f>
        <v>86</v>
      </c>
      <c r="I334" s="112">
        <f>IFERROR(__xludf.DUMMYFUNCTION("""COMPUTED_VALUE"""),30.71428571569042)</f>
        <v>30.71428572</v>
      </c>
      <c r="J334" s="74" t="str">
        <f>IFERROR(__xludf.DUMMYFUNCTION("""COMPUTED_VALUE"""),"Breakfast/Lunch")</f>
        <v>Breakfast/Lunch</v>
      </c>
      <c r="K334" s="113">
        <f>IFERROR(__xludf.DUMMYFUNCTION("""COMPUTED_VALUE"""),45999.0)</f>
        <v>45999</v>
      </c>
      <c r="L334" s="74" t="str">
        <f>IFERROR(__xludf.DUMMYFUNCTION("""COMPUTED_VALUE"""),"Monday")</f>
        <v>Monday</v>
      </c>
      <c r="M334" s="74" t="str">
        <f>IFERROR(__xludf.DUMMYFUNCTION("""COMPUTED_VALUE"""),"BF")</f>
        <v>BF</v>
      </c>
      <c r="N334" s="114">
        <f>IFERROR(__xludf.DUMMYFUNCTION("""COMPUTED_VALUE"""),0.5393882453281692)</f>
        <v>0.5393882453</v>
      </c>
      <c r="O334" s="74" t="str">
        <f>IFERROR(__xludf.DUMMYFUNCTION("""COMPUTED_VALUE"""),"")</f>
        <v/>
      </c>
      <c r="P334" s="74" t="str">
        <f>IFERROR(__xludf.DUMMYFUNCTION("""COMPUTED_VALUE"""),"")</f>
        <v/>
      </c>
      <c r="Q334" s="82" t="str">
        <f>IFERROR(__xludf.DUMMYFUNCTION("""COMPUTED_VALUE"""),"")</f>
        <v/>
      </c>
      <c r="R334" s="82" t="str">
        <f>IFERROR(__xludf.DUMMYFUNCTION("""COMPUTED_VALUE"""),"")</f>
        <v/>
      </c>
      <c r="S334" s="63" t="str">
        <f>IFERROR(__xludf.DUMMYFUNCTION("""COMPUTED_VALUE"""),"")</f>
        <v/>
      </c>
      <c r="T334" s="63" t="str">
        <f>IFERROR(__xludf.DUMMYFUNCTION("""COMPUTED_VALUE"""),"")</f>
        <v/>
      </c>
      <c r="U334" s="138" t="str">
        <f>IFERROR(__xludf.DUMMYFUNCTION("""COMPUTED_VALUE"""),"")</f>
        <v/>
      </c>
      <c r="V334" s="82" t="str">
        <f>IFERROR(__xludf.DUMMYFUNCTION("""COMPUTED_VALUE"""),"")</f>
        <v/>
      </c>
      <c r="W334" s="64" t="str">
        <f>IFERROR(__xludf.DUMMYFUNCTION("""COMPUTED_VALUE"""),"")</f>
        <v/>
      </c>
      <c r="X334" s="64" t="str">
        <f>IFERROR(__xludf.DUMMYFUNCTION("""COMPUTED_VALUE"""),"")</f>
        <v/>
      </c>
      <c r="Y334" s="114" t="str">
        <f>IFERROR(__xludf.DUMMYFUNCTION("""COMPUTED_VALUE"""),"")</f>
        <v/>
      </c>
      <c r="Z334" s="118" t="str">
        <f>IFERROR(__xludf.DUMMYFUNCTION("""COMPUTED_VALUE"""),"")</f>
        <v/>
      </c>
      <c r="AA334" s="118" t="str">
        <f>IFERROR(__xludf.DUMMYFUNCTION("""COMPUTED_VALUE"""),"")</f>
        <v/>
      </c>
      <c r="AB334" s="74"/>
    </row>
    <row r="335">
      <c r="A335" s="109">
        <f>IFERROR(__xludf.DUMMYFUNCTION("""COMPUTED_VALUE"""),45999.56462024305)</f>
        <v>45999.56462</v>
      </c>
      <c r="B335" s="81" t="str">
        <f>IFERROR(__xludf.DUMMYFUNCTION("""COMPUTED_VALUE"""),"Oluwatimilehin Shodipe")</f>
        <v>Oluwatimilehin Shodipe</v>
      </c>
      <c r="C335" s="74" t="b">
        <f>IFERROR(__xludf.DUMMYFUNCTION("""COMPUTED_VALUE"""),TRUE)</f>
        <v>1</v>
      </c>
      <c r="D335" s="137">
        <f>IFERROR(__xludf.DUMMYFUNCTION("""COMPUTED_VALUE"""),0.5069444444452529)</f>
        <v>0.5069444444</v>
      </c>
      <c r="E335" s="82">
        <f>IFERROR(__xludf.DUMMYFUNCTION("""COMPUTED_VALUE"""),0.055555555554747116)</f>
        <v>0.05555555555</v>
      </c>
      <c r="F335" s="137">
        <f>IFERROR(__xludf.DUMMYFUNCTION("""COMPUTED_VALUE"""),0.5625)</f>
        <v>0.5625</v>
      </c>
      <c r="G335" s="82" t="str">
        <f>IFERROR(__xludf.DUMMYFUNCTION("""COMPUTED_VALUE"""),"")</f>
        <v/>
      </c>
      <c r="H335" s="115">
        <f>IFERROR(__xludf.DUMMYFUNCTION("""COMPUTED_VALUE"""),99.0)</f>
        <v>99</v>
      </c>
      <c r="I335" s="112" t="str">
        <f>IFERROR(__xludf.DUMMYFUNCTION("""COMPUTED_VALUE"""),"")</f>
        <v/>
      </c>
      <c r="J335" s="74" t="str">
        <f>IFERROR(__xludf.DUMMYFUNCTION("""COMPUTED_VALUE"""),"Lunch")</f>
        <v>Lunch</v>
      </c>
      <c r="K335" s="113">
        <f>IFERROR(__xludf.DUMMYFUNCTION("""COMPUTED_VALUE"""),45999.0)</f>
        <v>45999</v>
      </c>
      <c r="L335" s="74" t="str">
        <f>IFERROR(__xludf.DUMMYFUNCTION("""COMPUTED_VALUE"""),"Monday")</f>
        <v>Monday</v>
      </c>
      <c r="M335" s="74" t="str">
        <f>IFERROR(__xludf.DUMMYFUNCTION("""COMPUTED_VALUE"""),"MF")</f>
        <v>MF</v>
      </c>
      <c r="N335" s="114" t="str">
        <f>IFERROR(__xludf.DUMMYFUNCTION("""COMPUTED_VALUE"""),"")</f>
        <v/>
      </c>
      <c r="O335" s="74" t="str">
        <f>IFERROR(__xludf.DUMMYFUNCTION("""COMPUTED_VALUE"""),"")</f>
        <v/>
      </c>
      <c r="P335" s="74" t="str">
        <f>IFERROR(__xludf.DUMMYFUNCTION("""COMPUTED_VALUE"""),"")</f>
        <v/>
      </c>
      <c r="Q335" s="82" t="str">
        <f>IFERROR(__xludf.DUMMYFUNCTION("""COMPUTED_VALUE"""),"")</f>
        <v/>
      </c>
      <c r="R335" s="82" t="str">
        <f>IFERROR(__xludf.DUMMYFUNCTION("""COMPUTED_VALUE"""),"")</f>
        <v/>
      </c>
      <c r="S335" s="63" t="str">
        <f>IFERROR(__xludf.DUMMYFUNCTION("""COMPUTED_VALUE"""),"")</f>
        <v/>
      </c>
      <c r="T335" s="63" t="str">
        <f>IFERROR(__xludf.DUMMYFUNCTION("""COMPUTED_VALUE"""),"")</f>
        <v/>
      </c>
      <c r="U335" s="138" t="str">
        <f>IFERROR(__xludf.DUMMYFUNCTION("""COMPUTED_VALUE"""),"")</f>
        <v/>
      </c>
      <c r="V335" s="82" t="str">
        <f>IFERROR(__xludf.DUMMYFUNCTION("""COMPUTED_VALUE"""),"")</f>
        <v/>
      </c>
      <c r="W335" s="64" t="str">
        <f>IFERROR(__xludf.DUMMYFUNCTION("""COMPUTED_VALUE"""),"")</f>
        <v/>
      </c>
      <c r="X335" s="64" t="str">
        <f>IFERROR(__xludf.DUMMYFUNCTION("""COMPUTED_VALUE"""),"")</f>
        <v/>
      </c>
      <c r="Y335" s="114" t="str">
        <f>IFERROR(__xludf.DUMMYFUNCTION("""COMPUTED_VALUE"""),"")</f>
        <v/>
      </c>
      <c r="Z335" s="118" t="str">
        <f>IFERROR(__xludf.DUMMYFUNCTION("""COMPUTED_VALUE"""),"")</f>
        <v/>
      </c>
      <c r="AA335" s="118" t="str">
        <f>IFERROR(__xludf.DUMMYFUNCTION("""COMPUTED_VALUE"""),"")</f>
        <v/>
      </c>
      <c r="AB335" s="74"/>
    </row>
    <row r="336">
      <c r="A336" s="109">
        <f>IFERROR(__xludf.DUMMYFUNCTION("""COMPUTED_VALUE"""),45999.651292511575)</f>
        <v>45999.65129</v>
      </c>
      <c r="B336" s="81" t="str">
        <f>IFERROR(__xludf.DUMMYFUNCTION("""COMPUTED_VALUE"""),"Greta Traynor")</f>
        <v>Greta Traynor</v>
      </c>
      <c r="C336" s="74" t="b">
        <f>IFERROR(__xludf.DUMMYFUNCTION("""COMPUTED_VALUE"""),FALSE)</f>
        <v>0</v>
      </c>
      <c r="D336" s="137">
        <f>IFERROR(__xludf.DUMMYFUNCTION("""COMPUTED_VALUE"""),0.5645833333328483)</f>
        <v>0.5645833333</v>
      </c>
      <c r="E336" s="82">
        <f>IFERROR(__xludf.DUMMYFUNCTION("""COMPUTED_VALUE"""),0.06874999999854481)</f>
        <v>0.06875</v>
      </c>
      <c r="F336" s="137">
        <f>IFERROR(__xludf.DUMMYFUNCTION("""COMPUTED_VALUE"""),0.6333333333313931)</f>
        <v>0.6333333333</v>
      </c>
      <c r="G336" s="82">
        <f>IFERROR(__xludf.DUMMYFUNCTION("""COMPUTED_VALUE"""),0.06874999999854481)</f>
        <v>0.06875</v>
      </c>
      <c r="H336" s="115">
        <f>IFERROR(__xludf.DUMMYFUNCTION("""COMPUTED_VALUE"""),51.0)</f>
        <v>51</v>
      </c>
      <c r="I336" s="112">
        <f>IFERROR(__xludf.DUMMYFUNCTION("""COMPUTED_VALUE"""),30.909090909745142)</f>
        <v>30.90909091</v>
      </c>
      <c r="J336" s="74" t="str">
        <f>IFERROR(__xludf.DUMMYFUNCTION("""COMPUTED_VALUE"""),"Lunch")</f>
        <v>Lunch</v>
      </c>
      <c r="K336" s="113">
        <f>IFERROR(__xludf.DUMMYFUNCTION("""COMPUTED_VALUE"""),45999.0)</f>
        <v>45999</v>
      </c>
      <c r="L336" s="74" t="str">
        <f>IFERROR(__xludf.DUMMYFUNCTION("""COMPUTED_VALUE"""),"Monday")</f>
        <v>Monday</v>
      </c>
      <c r="M336" s="74" t="str">
        <f>IFERROR(__xludf.DUMMYFUNCTION("""COMPUTED_VALUE"""),"MF")</f>
        <v>MF</v>
      </c>
      <c r="N336" s="114">
        <f>IFERROR(__xludf.DUMMYFUNCTION("""COMPUTED_VALUE"""),0.6427496998995328)</f>
        <v>0.6427496999</v>
      </c>
      <c r="O336" s="74" t="str">
        <f>IFERROR(__xludf.DUMMYFUNCTION("""COMPUTED_VALUE"""),"")</f>
        <v/>
      </c>
      <c r="P336" s="74" t="str">
        <f>IFERROR(__xludf.DUMMYFUNCTION("""COMPUTED_VALUE"""),"")</f>
        <v/>
      </c>
      <c r="Q336" s="82" t="str">
        <f>IFERROR(__xludf.DUMMYFUNCTION("""COMPUTED_VALUE"""),"")</f>
        <v/>
      </c>
      <c r="R336" s="82" t="str">
        <f>IFERROR(__xludf.DUMMYFUNCTION("""COMPUTED_VALUE"""),"")</f>
        <v/>
      </c>
      <c r="S336" s="63" t="str">
        <f>IFERROR(__xludf.DUMMYFUNCTION("""COMPUTED_VALUE"""),"")</f>
        <v/>
      </c>
      <c r="T336" s="63" t="str">
        <f>IFERROR(__xludf.DUMMYFUNCTION("""COMPUTED_VALUE"""),"")</f>
        <v/>
      </c>
      <c r="U336" s="138" t="str">
        <f>IFERROR(__xludf.DUMMYFUNCTION("""COMPUTED_VALUE"""),"")</f>
        <v/>
      </c>
      <c r="V336" s="82" t="str">
        <f>IFERROR(__xludf.DUMMYFUNCTION("""COMPUTED_VALUE"""),"")</f>
        <v/>
      </c>
      <c r="W336" s="64" t="str">
        <f>IFERROR(__xludf.DUMMYFUNCTION("""COMPUTED_VALUE"""),"")</f>
        <v/>
      </c>
      <c r="X336" s="64" t="str">
        <f>IFERROR(__xludf.DUMMYFUNCTION("""COMPUTED_VALUE"""),"")</f>
        <v/>
      </c>
      <c r="Y336" s="114" t="str">
        <f>IFERROR(__xludf.DUMMYFUNCTION("""COMPUTED_VALUE"""),"")</f>
        <v/>
      </c>
      <c r="Z336" s="118" t="str">
        <f>IFERROR(__xludf.DUMMYFUNCTION("""COMPUTED_VALUE"""),"")</f>
        <v/>
      </c>
      <c r="AA336" s="118" t="str">
        <f>IFERROR(__xludf.DUMMYFUNCTION("""COMPUTED_VALUE"""),"")</f>
        <v/>
      </c>
      <c r="AB336" s="74"/>
    </row>
    <row r="337">
      <c r="A337" s="109">
        <f>IFERROR(__xludf.DUMMYFUNCTION("""COMPUTED_VALUE"""),45999.77110831019)</f>
        <v>45999.77111</v>
      </c>
      <c r="B337" s="81" t="str">
        <f>IFERROR(__xludf.DUMMYFUNCTION("""COMPUTED_VALUE"""),"Maureen Surgot")</f>
        <v>Maureen Surgot</v>
      </c>
      <c r="C337" s="74" t="b">
        <f>IFERROR(__xludf.DUMMYFUNCTION("""COMPUTED_VALUE"""),FALSE)</f>
        <v>0</v>
      </c>
      <c r="D337" s="137">
        <f>IFERROR(__xludf.DUMMYFUNCTION("""COMPUTED_VALUE"""),0.6666666666642413)</f>
        <v>0.6666666667</v>
      </c>
      <c r="E337" s="82">
        <f>IFERROR(__xludf.DUMMYFUNCTION("""COMPUTED_VALUE"""),0.1041666666715173)</f>
        <v>0.1041666667</v>
      </c>
      <c r="F337" s="137">
        <f>IFERROR(__xludf.DUMMYFUNCTION("""COMPUTED_VALUE"""),0.7708333333357587)</f>
        <v>0.7708333333</v>
      </c>
      <c r="G337" s="82">
        <f>IFERROR(__xludf.DUMMYFUNCTION("""COMPUTED_VALUE"""),0.1041666666715173)</f>
        <v>0.1041666667</v>
      </c>
      <c r="H337" s="115">
        <f>IFERROR(__xludf.DUMMYFUNCTION("""COMPUTED_VALUE"""),107.0)</f>
        <v>107</v>
      </c>
      <c r="I337" s="112">
        <f>IFERROR(__xludf.DUMMYFUNCTION("""COMPUTED_VALUE"""),42.79999999800697)</f>
        <v>42.8</v>
      </c>
      <c r="J337" s="74" t="str">
        <f>IFERROR(__xludf.DUMMYFUNCTION("""COMPUTED_VALUE"""),"Dinner")</f>
        <v>Dinner</v>
      </c>
      <c r="K337" s="113">
        <f>IFERROR(__xludf.DUMMYFUNCTION("""COMPUTED_VALUE"""),45999.0)</f>
        <v>45999</v>
      </c>
      <c r="L337" s="74" t="str">
        <f>IFERROR(__xludf.DUMMYFUNCTION("""COMPUTED_VALUE"""),"Monday")</f>
        <v>Monday</v>
      </c>
      <c r="M337" s="74" t="str">
        <f>IFERROR(__xludf.DUMMYFUNCTION("""COMPUTED_VALUE"""),"MF")</f>
        <v>MF</v>
      </c>
      <c r="N337" s="114">
        <f>IFERROR(__xludf.DUMMYFUNCTION("""COMPUTED_VALUE"""),0.8433734074072278)</f>
        <v>0.8433734074</v>
      </c>
      <c r="O337" s="74" t="str">
        <f>IFERROR(__xludf.DUMMYFUNCTION("""COMPUTED_VALUE"""),"")</f>
        <v/>
      </c>
      <c r="P337" s="74" t="str">
        <f>IFERROR(__xludf.DUMMYFUNCTION("""COMPUTED_VALUE"""),"")</f>
        <v/>
      </c>
      <c r="Q337" s="82" t="str">
        <f>IFERROR(__xludf.DUMMYFUNCTION("""COMPUTED_VALUE"""),"")</f>
        <v/>
      </c>
      <c r="R337" s="82" t="str">
        <f>IFERROR(__xludf.DUMMYFUNCTION("""COMPUTED_VALUE"""),"")</f>
        <v/>
      </c>
      <c r="S337" s="63" t="str">
        <f>IFERROR(__xludf.DUMMYFUNCTION("""COMPUTED_VALUE"""),"")</f>
        <v/>
      </c>
      <c r="T337" s="63" t="str">
        <f>IFERROR(__xludf.DUMMYFUNCTION("""COMPUTED_VALUE"""),"")</f>
        <v/>
      </c>
      <c r="U337" s="138" t="str">
        <f>IFERROR(__xludf.DUMMYFUNCTION("""COMPUTED_VALUE"""),"")</f>
        <v/>
      </c>
      <c r="V337" s="82" t="str">
        <f>IFERROR(__xludf.DUMMYFUNCTION("""COMPUTED_VALUE"""),"")</f>
        <v/>
      </c>
      <c r="W337" s="64" t="str">
        <f>IFERROR(__xludf.DUMMYFUNCTION("""COMPUTED_VALUE"""),"")</f>
        <v/>
      </c>
      <c r="X337" s="64" t="str">
        <f>IFERROR(__xludf.DUMMYFUNCTION("""COMPUTED_VALUE"""),"")</f>
        <v/>
      </c>
      <c r="Y337" s="114" t="str">
        <f>IFERROR(__xludf.DUMMYFUNCTION("""COMPUTED_VALUE"""),"")</f>
        <v/>
      </c>
      <c r="Z337" s="118" t="str">
        <f>IFERROR(__xludf.DUMMYFUNCTION("""COMPUTED_VALUE"""),"")</f>
        <v/>
      </c>
      <c r="AA337" s="118" t="str">
        <f>IFERROR(__xludf.DUMMYFUNCTION("""COMPUTED_VALUE"""),"")</f>
        <v/>
      </c>
      <c r="AB337" s="74"/>
    </row>
    <row r="338">
      <c r="A338" s="109">
        <f>IFERROR(__xludf.DUMMYFUNCTION("""COMPUTED_VALUE"""),45999.82201873843)</f>
        <v>45999.82202</v>
      </c>
      <c r="B338" s="81" t="str">
        <f>IFERROR(__xludf.DUMMYFUNCTION("""COMPUTED_VALUE"""),"Laila Maisuria")</f>
        <v>Laila Maisuria</v>
      </c>
      <c r="C338" s="74" t="b">
        <f>IFERROR(__xludf.DUMMYFUNCTION("""COMPUTED_VALUE"""),FALSE)</f>
        <v>0</v>
      </c>
      <c r="D338" s="137">
        <f>IFERROR(__xludf.DUMMYFUNCTION("""COMPUTED_VALUE"""),0.7701388888890506)</f>
        <v>0.7701388889</v>
      </c>
      <c r="E338" s="82">
        <f>IFERROR(__xludf.DUMMYFUNCTION("""COMPUTED_VALUE"""),0.04444444444379769)</f>
        <v>0.04444444444</v>
      </c>
      <c r="F338" s="137">
        <f>IFERROR(__xludf.DUMMYFUNCTION("""COMPUTED_VALUE"""),0.8145833333328483)</f>
        <v>0.8145833333</v>
      </c>
      <c r="G338" s="82">
        <f>IFERROR(__xludf.DUMMYFUNCTION("""COMPUTED_VALUE"""),0.04444444444379769)</f>
        <v>0.04444444444</v>
      </c>
      <c r="H338" s="115">
        <f>IFERROR(__xludf.DUMMYFUNCTION("""COMPUTED_VALUE"""),48.0)</f>
        <v>48</v>
      </c>
      <c r="I338" s="112">
        <f>IFERROR(__xludf.DUMMYFUNCTION("""COMPUTED_VALUE"""),45.000000000654836)</f>
        <v>45</v>
      </c>
      <c r="J338" s="74" t="str">
        <f>IFERROR(__xludf.DUMMYFUNCTION("""COMPUTED_VALUE"""),"Dinner")</f>
        <v>Dinner</v>
      </c>
      <c r="K338" s="113">
        <f>IFERROR(__xludf.DUMMYFUNCTION("""COMPUTED_VALUE"""),45999.0)</f>
        <v>45999</v>
      </c>
      <c r="L338" s="74" t="str">
        <f>IFERROR(__xludf.DUMMYFUNCTION("""COMPUTED_VALUE"""),"Monday")</f>
        <v>Monday</v>
      </c>
      <c r="M338" s="74" t="str">
        <f>IFERROR(__xludf.DUMMYFUNCTION("""COMPUTED_VALUE"""),"MF")</f>
        <v>MF</v>
      </c>
      <c r="N338" s="114">
        <f>IFERROR(__xludf.DUMMYFUNCTION("""COMPUTED_VALUE"""),0.8867243770010466)</f>
        <v>0.886724377</v>
      </c>
      <c r="O338" s="74" t="str">
        <f>IFERROR(__xludf.DUMMYFUNCTION("""COMPUTED_VALUE"""),"")</f>
        <v/>
      </c>
      <c r="P338" s="74" t="str">
        <f>IFERROR(__xludf.DUMMYFUNCTION("""COMPUTED_VALUE"""),"")</f>
        <v/>
      </c>
      <c r="Q338" s="82" t="str">
        <f>IFERROR(__xludf.DUMMYFUNCTION("""COMPUTED_VALUE"""),"")</f>
        <v/>
      </c>
      <c r="R338" s="82" t="str">
        <f>IFERROR(__xludf.DUMMYFUNCTION("""COMPUTED_VALUE"""),"")</f>
        <v/>
      </c>
      <c r="S338" s="63" t="str">
        <f>IFERROR(__xludf.DUMMYFUNCTION("""COMPUTED_VALUE"""),"")</f>
        <v/>
      </c>
      <c r="T338" s="63" t="str">
        <f>IFERROR(__xludf.DUMMYFUNCTION("""COMPUTED_VALUE"""),"")</f>
        <v/>
      </c>
      <c r="U338" s="138" t="str">
        <f>IFERROR(__xludf.DUMMYFUNCTION("""COMPUTED_VALUE"""),"")</f>
        <v/>
      </c>
      <c r="V338" s="82" t="str">
        <f>IFERROR(__xludf.DUMMYFUNCTION("""COMPUTED_VALUE"""),"")</f>
        <v/>
      </c>
      <c r="W338" s="64" t="str">
        <f>IFERROR(__xludf.DUMMYFUNCTION("""COMPUTED_VALUE"""),"")</f>
        <v/>
      </c>
      <c r="X338" s="64" t="str">
        <f>IFERROR(__xludf.DUMMYFUNCTION("""COMPUTED_VALUE"""),"")</f>
        <v/>
      </c>
      <c r="Y338" s="114" t="str">
        <f>IFERROR(__xludf.DUMMYFUNCTION("""COMPUTED_VALUE"""),"")</f>
        <v/>
      </c>
      <c r="Z338" s="118" t="str">
        <f>IFERROR(__xludf.DUMMYFUNCTION("""COMPUTED_VALUE"""),"")</f>
        <v/>
      </c>
      <c r="AA338" s="118" t="str">
        <f>IFERROR(__xludf.DUMMYFUNCTION("""COMPUTED_VALUE"""),"")</f>
        <v/>
      </c>
      <c r="AB338" s="74"/>
    </row>
    <row r="339">
      <c r="A339" s="109">
        <f>IFERROR(__xludf.DUMMYFUNCTION("""COMPUTED_VALUE"""),45999.82366800926)</f>
        <v>45999.82367</v>
      </c>
      <c r="B339" s="81" t="str">
        <f>IFERROR(__xludf.DUMMYFUNCTION("""COMPUTED_VALUE"""),"Kaylie Forgue")</f>
        <v>Kaylie Forgue</v>
      </c>
      <c r="C339" s="74" t="b">
        <f>IFERROR(__xludf.DUMMYFUNCTION("""COMPUTED_VALUE"""),FALSE)</f>
        <v>0</v>
      </c>
      <c r="D339" s="137">
        <f>IFERROR(__xludf.DUMMYFUNCTION("""COMPUTED_VALUE"""),0.6861111111065838)</f>
        <v>0.6861111111</v>
      </c>
      <c r="E339" s="82">
        <f>IFERROR(__xludf.DUMMYFUNCTION("""COMPUTED_VALUE"""),0.10486111111822538)</f>
        <v>0.1048611111</v>
      </c>
      <c r="F339" s="137">
        <f>IFERROR(__xludf.DUMMYFUNCTION("""COMPUTED_VALUE"""),0.7909722222248092)</f>
        <v>0.7909722222</v>
      </c>
      <c r="G339" s="82">
        <f>IFERROR(__xludf.DUMMYFUNCTION("""COMPUTED_VALUE"""),0.1736111111167702)</f>
        <v>0.1736111111</v>
      </c>
      <c r="H339" s="115">
        <f>IFERROR(__xludf.DUMMYFUNCTION("""COMPUTED_VALUE"""),161.0)</f>
        <v>161</v>
      </c>
      <c r="I339" s="112">
        <f>IFERROR(__xludf.DUMMYFUNCTION("""COMPUTED_VALUE"""),38.63999999874048)</f>
        <v>38.64</v>
      </c>
      <c r="J339" s="74" t="str">
        <f>IFERROR(__xludf.DUMMYFUNCTION("""COMPUTED_VALUE"""),"Dinner")</f>
        <v>Dinner</v>
      </c>
      <c r="K339" s="113">
        <f>IFERROR(__xludf.DUMMYFUNCTION("""COMPUTED_VALUE"""),45999.0)</f>
        <v>45999</v>
      </c>
      <c r="L339" s="74" t="str">
        <f>IFERROR(__xludf.DUMMYFUNCTION("""COMPUTED_VALUE"""),"Monday")</f>
        <v>Monday</v>
      </c>
      <c r="M339" s="74" t="str">
        <f>IFERROR(__xludf.DUMMYFUNCTION("""COMPUTED_VALUE"""),"BF")</f>
        <v>BF</v>
      </c>
      <c r="N339" s="114">
        <f>IFERROR(__xludf.DUMMYFUNCTION("""COMPUTED_VALUE"""),0.9118910518665508)</f>
        <v>0.9118910519</v>
      </c>
      <c r="O339" s="74" t="str">
        <f>IFERROR(__xludf.DUMMYFUNCTION("""COMPUTED_VALUE"""),"")</f>
        <v/>
      </c>
      <c r="P339" s="74" t="str">
        <f>IFERROR(__xludf.DUMMYFUNCTION("""COMPUTED_VALUE"""),"")</f>
        <v/>
      </c>
      <c r="Q339" s="82" t="str">
        <f>IFERROR(__xludf.DUMMYFUNCTION("""COMPUTED_VALUE"""),"")</f>
        <v/>
      </c>
      <c r="R339" s="82" t="str">
        <f>IFERROR(__xludf.DUMMYFUNCTION("""COMPUTED_VALUE"""),"")</f>
        <v/>
      </c>
      <c r="S339" s="63" t="str">
        <f>IFERROR(__xludf.DUMMYFUNCTION("""COMPUTED_VALUE"""),"")</f>
        <v/>
      </c>
      <c r="T339" s="63" t="str">
        <f>IFERROR(__xludf.DUMMYFUNCTION("""COMPUTED_VALUE"""),"")</f>
        <v/>
      </c>
      <c r="U339" s="138" t="str">
        <f>IFERROR(__xludf.DUMMYFUNCTION("""COMPUTED_VALUE"""),"")</f>
        <v/>
      </c>
      <c r="V339" s="82" t="str">
        <f>IFERROR(__xludf.DUMMYFUNCTION("""COMPUTED_VALUE"""),"")</f>
        <v/>
      </c>
      <c r="W339" s="64" t="str">
        <f>IFERROR(__xludf.DUMMYFUNCTION("""COMPUTED_VALUE"""),"")</f>
        <v/>
      </c>
      <c r="X339" s="64" t="str">
        <f>IFERROR(__xludf.DUMMYFUNCTION("""COMPUTED_VALUE"""),"")</f>
        <v/>
      </c>
      <c r="Y339" s="114" t="str">
        <f>IFERROR(__xludf.DUMMYFUNCTION("""COMPUTED_VALUE"""),"")</f>
        <v/>
      </c>
      <c r="Z339" s="118" t="str">
        <f>IFERROR(__xludf.DUMMYFUNCTION("""COMPUTED_VALUE"""),"")</f>
        <v/>
      </c>
      <c r="AA339" s="118" t="str">
        <f>IFERROR(__xludf.DUMMYFUNCTION("""COMPUTED_VALUE"""),"")</f>
        <v/>
      </c>
      <c r="AB339" s="74"/>
    </row>
    <row r="340">
      <c r="A340" s="109">
        <f>IFERROR(__xludf.DUMMYFUNCTION("""COMPUTED_VALUE"""),45999.86315253472)</f>
        <v>45999.86315</v>
      </c>
      <c r="B340" s="81" t="str">
        <f>IFERROR(__xludf.DUMMYFUNCTION("""COMPUTED_VALUE"""),"Kaylie Forgue")</f>
        <v>Kaylie Forgue</v>
      </c>
      <c r="C340" s="74" t="b">
        <f>IFERROR(__xludf.DUMMYFUNCTION("""COMPUTED_VALUE"""),TRUE)</f>
        <v>1</v>
      </c>
      <c r="D340" s="137">
        <f>IFERROR(__xludf.DUMMYFUNCTION("""COMPUTED_VALUE"""),0.7916666666642413)</f>
        <v>0.7916666667</v>
      </c>
      <c r="E340" s="82">
        <f>IFERROR(__xludf.DUMMYFUNCTION("""COMPUTED_VALUE"""),0.06874999999854481)</f>
        <v>0.06875</v>
      </c>
      <c r="F340" s="137">
        <f>IFERROR(__xludf.DUMMYFUNCTION("""COMPUTED_VALUE"""),0.8604166666627862)</f>
        <v>0.8604166667</v>
      </c>
      <c r="G340" s="82" t="str">
        <f>IFERROR(__xludf.DUMMYFUNCTION("""COMPUTED_VALUE"""),"")</f>
        <v/>
      </c>
      <c r="H340" s="115">
        <f>IFERROR(__xludf.DUMMYFUNCTION("""COMPUTED_VALUE"""),69.0)</f>
        <v>69</v>
      </c>
      <c r="I340" s="112" t="str">
        <f>IFERROR(__xludf.DUMMYFUNCTION("""COMPUTED_VALUE"""),"")</f>
        <v/>
      </c>
      <c r="J340" s="74" t="str">
        <f>IFERROR(__xludf.DUMMYFUNCTION("""COMPUTED_VALUE"""),"Dinner")</f>
        <v>Dinner</v>
      </c>
      <c r="K340" s="113">
        <f>IFERROR(__xludf.DUMMYFUNCTION("""COMPUTED_VALUE"""),45999.0)</f>
        <v>45999</v>
      </c>
      <c r="L340" s="74" t="str">
        <f>IFERROR(__xludf.DUMMYFUNCTION("""COMPUTED_VALUE"""),"Monday")</f>
        <v>Monday</v>
      </c>
      <c r="M340" s="74" t="str">
        <f>IFERROR(__xludf.DUMMYFUNCTION("""COMPUTED_VALUE"""),"BF")</f>
        <v>BF</v>
      </c>
      <c r="N340" s="114" t="str">
        <f>IFERROR(__xludf.DUMMYFUNCTION("""COMPUTED_VALUE"""),"")</f>
        <v/>
      </c>
      <c r="O340" s="74" t="str">
        <f>IFERROR(__xludf.DUMMYFUNCTION("""COMPUTED_VALUE"""),"")</f>
        <v/>
      </c>
      <c r="P340" s="74" t="str">
        <f>IFERROR(__xludf.DUMMYFUNCTION("""COMPUTED_VALUE"""),"")</f>
        <v/>
      </c>
      <c r="Q340" s="82" t="str">
        <f>IFERROR(__xludf.DUMMYFUNCTION("""COMPUTED_VALUE"""),"")</f>
        <v/>
      </c>
      <c r="R340" s="82" t="str">
        <f>IFERROR(__xludf.DUMMYFUNCTION("""COMPUTED_VALUE"""),"")</f>
        <v/>
      </c>
      <c r="S340" s="63" t="str">
        <f>IFERROR(__xludf.DUMMYFUNCTION("""COMPUTED_VALUE"""),"")</f>
        <v/>
      </c>
      <c r="T340" s="63" t="str">
        <f>IFERROR(__xludf.DUMMYFUNCTION("""COMPUTED_VALUE"""),"")</f>
        <v/>
      </c>
      <c r="U340" s="138" t="str">
        <f>IFERROR(__xludf.DUMMYFUNCTION("""COMPUTED_VALUE"""),"")</f>
        <v/>
      </c>
      <c r="V340" s="82" t="str">
        <f>IFERROR(__xludf.DUMMYFUNCTION("""COMPUTED_VALUE"""),"")</f>
        <v/>
      </c>
      <c r="W340" s="64" t="str">
        <f>IFERROR(__xludf.DUMMYFUNCTION("""COMPUTED_VALUE"""),"")</f>
        <v/>
      </c>
      <c r="X340" s="64" t="str">
        <f>IFERROR(__xludf.DUMMYFUNCTION("""COMPUTED_VALUE"""),"")</f>
        <v/>
      </c>
      <c r="Y340" s="114" t="str">
        <f>IFERROR(__xludf.DUMMYFUNCTION("""COMPUTED_VALUE"""),"")</f>
        <v/>
      </c>
      <c r="Z340" s="118" t="str">
        <f>IFERROR(__xludf.DUMMYFUNCTION("""COMPUTED_VALUE"""),"")</f>
        <v/>
      </c>
      <c r="AA340" s="118" t="str">
        <f>IFERROR(__xludf.DUMMYFUNCTION("""COMPUTED_VALUE"""),"")</f>
        <v/>
      </c>
      <c r="AB340" s="74"/>
    </row>
    <row r="341">
      <c r="A341" s="109">
        <f>IFERROR(__xludf.DUMMYFUNCTION("""COMPUTED_VALUE"""),46000.37419137731)</f>
        <v>46000.37419</v>
      </c>
      <c r="B341" s="81" t="str">
        <f>IFERROR(__xludf.DUMMYFUNCTION("""COMPUTED_VALUE"""),"Laila Maisuria")</f>
        <v>Laila Maisuria</v>
      </c>
      <c r="C341" s="74" t="b">
        <f>IFERROR(__xludf.DUMMYFUNCTION("""COMPUTED_VALUE"""),FALSE)</f>
        <v>0</v>
      </c>
      <c r="D341" s="137">
        <f>IFERROR(__xludf.DUMMYFUNCTION("""COMPUTED_VALUE"""),0.8180555555591127)</f>
        <v>0.8180555556</v>
      </c>
      <c r="E341" s="82">
        <f>IFERROR(__xludf.DUMMYFUNCTION("""COMPUTED_VALUE"""),0.04930555555199845)</f>
        <v>0.04930555555</v>
      </c>
      <c r="F341" s="137">
        <f>IFERROR(__xludf.DUMMYFUNCTION("""COMPUTED_VALUE"""),0.8673611111111111)</f>
        <v>0.8673611111</v>
      </c>
      <c r="G341" s="82">
        <f>IFERROR(__xludf.DUMMYFUNCTION("""COMPUTED_VALUE"""),0.04930555555199845)</f>
        <v>0.04930555555</v>
      </c>
      <c r="H341" s="115">
        <f>IFERROR(__xludf.DUMMYFUNCTION("""COMPUTED_VALUE"""),41.0)</f>
        <v>41</v>
      </c>
      <c r="I341" s="112">
        <f>IFERROR(__xludf.DUMMYFUNCTION("""COMPUTED_VALUE"""),34.6478873264433)</f>
        <v>34.64788733</v>
      </c>
      <c r="J341" s="74" t="str">
        <f>IFERROR(__xludf.DUMMYFUNCTION("""COMPUTED_VALUE"""),"Dinner")</f>
        <v>Dinner</v>
      </c>
      <c r="K341" s="113">
        <f>IFERROR(__xludf.DUMMYFUNCTION("""COMPUTED_VALUE"""),45999.0)</f>
        <v>45999</v>
      </c>
      <c r="L341" s="74" t="str">
        <f>IFERROR(__xludf.DUMMYFUNCTION("""COMPUTED_VALUE"""),"Monday")</f>
        <v>Monday</v>
      </c>
      <c r="M341" s="74" t="str">
        <f>IFERROR(__xludf.DUMMYFUNCTION("""COMPUTED_VALUE"""),"MF")</f>
        <v>MF</v>
      </c>
      <c r="N341" s="114">
        <f>IFERROR(__xludf.DUMMYFUNCTION("""COMPUTED_VALUE"""),0.6827361400776848)</f>
        <v>0.6827361401</v>
      </c>
      <c r="O341" s="74">
        <f>IFERROR(__xludf.DUMMYFUNCTION("""COMPUTED_VALUE"""),346.0)</f>
        <v>346</v>
      </c>
      <c r="P341" s="74">
        <f>IFERROR(__xludf.DUMMYFUNCTION("""COMPUTED_VALUE"""),316.0)</f>
        <v>316</v>
      </c>
      <c r="Q341" s="82">
        <f>IFERROR(__xludf.DUMMYFUNCTION("""COMPUTED_VALUE"""),0.32222222222060537)</f>
        <v>0.3222222222</v>
      </c>
      <c r="R341" s="82">
        <f>IFERROR(__xludf.DUMMYFUNCTION("""COMPUTED_VALUE"""),0.23472222222335404)</f>
        <v>0.2347222222</v>
      </c>
      <c r="S341" s="63">
        <f>IFERROR(__xludf.DUMMYFUNCTION("""COMPUTED_VALUE"""),38.339244558712565)</f>
        <v>38.33924456</v>
      </c>
      <c r="T341" s="63">
        <f>IFERROR(__xludf.DUMMYFUNCTION("""COMPUTED_VALUE"""),34.67714285721545)</f>
        <v>34.67714286</v>
      </c>
      <c r="U341" s="138">
        <f>IFERROR(__xludf.DUMMYFUNCTION("""COMPUTED_VALUE"""),662.0)</f>
        <v>662</v>
      </c>
      <c r="V341" s="82">
        <f>IFERROR(__xludf.DUMMYFUNCTION("""COMPUTED_VALUE"""),0.5569444444439594)</f>
        <v>0.5569444444</v>
      </c>
      <c r="W341" s="64">
        <f>IFERROR(__xludf.DUMMYFUNCTION("""COMPUTED_VALUE"""),49.526184538696505)</f>
        <v>49.52618454</v>
      </c>
      <c r="X341" s="64">
        <f>IFERROR(__xludf.DUMMYFUNCTION("""COMPUTED_VALUE"""),37.11854399154686)</f>
        <v>37.11854399</v>
      </c>
      <c r="Y341" s="114">
        <f>IFERROR(__xludf.DUMMYFUNCTION("""COMPUTED_VALUE"""),0.5794366392355008)</f>
        <v>0.5794366392</v>
      </c>
      <c r="Z341" s="118" t="str">
        <f>IFERROR(__xludf.DUMMYFUNCTION("""COMPUTED_VALUE"""),"")</f>
        <v/>
      </c>
      <c r="AA341" s="118" t="str">
        <f>IFERROR(__xludf.DUMMYFUNCTION("""COMPUTED_VALUE"""),"")</f>
        <v/>
      </c>
      <c r="AB341" s="74"/>
    </row>
    <row r="342">
      <c r="A342" s="109">
        <f>IFERROR(__xludf.DUMMYFUNCTION("""COMPUTED_VALUE"""),46000.39463621528)</f>
        <v>46000.39464</v>
      </c>
      <c r="B342" s="81" t="str">
        <f>IFERROR(__xludf.DUMMYFUNCTION("""COMPUTED_VALUE"""),"Evan Morgan")</f>
        <v>Evan Morgan</v>
      </c>
      <c r="C342" s="74" t="b">
        <f>IFERROR(__xludf.DUMMYFUNCTION("""COMPUTED_VALUE"""),FALSE)</f>
        <v>0</v>
      </c>
      <c r="D342" s="137">
        <f>IFERROR(__xludf.DUMMYFUNCTION("""COMPUTED_VALUE"""),0.29166666666424135)</f>
        <v>0.2916666667</v>
      </c>
      <c r="E342" s="82">
        <f>IFERROR(__xludf.DUMMYFUNCTION("""COMPUTED_VALUE"""),0.10138888889196096)</f>
        <v>0.1013888889</v>
      </c>
      <c r="F342" s="137">
        <f>IFERROR(__xludf.DUMMYFUNCTION("""COMPUTED_VALUE"""),0.3930555555562023)</f>
        <v>0.3930555556</v>
      </c>
      <c r="G342" s="82">
        <f>IFERROR(__xludf.DUMMYFUNCTION("""COMPUTED_VALUE"""),0.10138888889196096)</f>
        <v>0.1013888889</v>
      </c>
      <c r="H342" s="115">
        <f>IFERROR(__xludf.DUMMYFUNCTION("""COMPUTED_VALUE"""),38.0)</f>
        <v>38</v>
      </c>
      <c r="I342" s="112">
        <f>IFERROR(__xludf.DUMMYFUNCTION("""COMPUTED_VALUE"""),15.616438355691207)</f>
        <v>15.61643836</v>
      </c>
      <c r="J342" s="74" t="str">
        <f>IFERROR(__xludf.DUMMYFUNCTION("""COMPUTED_VALUE"""),"Breakfast")</f>
        <v>Breakfast</v>
      </c>
      <c r="K342" s="113">
        <f>IFERROR(__xludf.DUMMYFUNCTION("""COMPUTED_VALUE"""),46000.0)</f>
        <v>46000</v>
      </c>
      <c r="L342" s="74" t="str">
        <f>IFERROR(__xludf.DUMMYFUNCTION("""COMPUTED_VALUE"""),"Tuesday")</f>
        <v>Tuesday</v>
      </c>
      <c r="M342" s="74" t="str">
        <f>IFERROR(__xludf.DUMMYFUNCTION("""COMPUTED_VALUE"""),"BF")</f>
        <v>BF</v>
      </c>
      <c r="N342" s="114">
        <f>IFERROR(__xludf.DUMMYFUNCTION("""COMPUTED_VALUE"""),0.6613744971451656)</f>
        <v>0.6613744971</v>
      </c>
      <c r="O342" s="74" t="str">
        <f>IFERROR(__xludf.DUMMYFUNCTION("""COMPUTED_VALUE"""),"")</f>
        <v/>
      </c>
      <c r="P342" s="74" t="str">
        <f>IFERROR(__xludf.DUMMYFUNCTION("""COMPUTED_VALUE"""),"")</f>
        <v/>
      </c>
      <c r="Q342" s="82" t="str">
        <f>IFERROR(__xludf.DUMMYFUNCTION("""COMPUTED_VALUE"""),"")</f>
        <v/>
      </c>
      <c r="R342" s="82" t="str">
        <f>IFERROR(__xludf.DUMMYFUNCTION("""COMPUTED_VALUE"""),"")</f>
        <v/>
      </c>
      <c r="S342" s="63" t="str">
        <f>IFERROR(__xludf.DUMMYFUNCTION("""COMPUTED_VALUE"""),"")</f>
        <v/>
      </c>
      <c r="T342" s="63" t="str">
        <f>IFERROR(__xludf.DUMMYFUNCTION("""COMPUTED_VALUE"""),"")</f>
        <v/>
      </c>
      <c r="U342" s="138" t="str">
        <f>IFERROR(__xludf.DUMMYFUNCTION("""COMPUTED_VALUE"""),"")</f>
        <v/>
      </c>
      <c r="V342" s="82" t="str">
        <f>IFERROR(__xludf.DUMMYFUNCTION("""COMPUTED_VALUE"""),"")</f>
        <v/>
      </c>
      <c r="W342" s="64" t="str">
        <f>IFERROR(__xludf.DUMMYFUNCTION("""COMPUTED_VALUE"""),"")</f>
        <v/>
      </c>
      <c r="X342" s="64" t="str">
        <f>IFERROR(__xludf.DUMMYFUNCTION("""COMPUTED_VALUE"""),"")</f>
        <v/>
      </c>
      <c r="Y342" s="114" t="str">
        <f>IFERROR(__xludf.DUMMYFUNCTION("""COMPUTED_VALUE"""),"")</f>
        <v/>
      </c>
      <c r="Z342" s="118" t="str">
        <f>IFERROR(__xludf.DUMMYFUNCTION("""COMPUTED_VALUE"""),"")</f>
        <v/>
      </c>
      <c r="AA342" s="118" t="str">
        <f>IFERROR(__xludf.DUMMYFUNCTION("""COMPUTED_VALUE"""),"")</f>
        <v/>
      </c>
      <c r="AB342" s="74"/>
    </row>
    <row r="343">
      <c r="A343" s="109">
        <f>IFERROR(__xludf.DUMMYFUNCTION("""COMPUTED_VALUE"""),46000.47705071759)</f>
        <v>46000.47705</v>
      </c>
      <c r="B343" s="81" t="str">
        <f>IFERROR(__xludf.DUMMYFUNCTION("""COMPUTED_VALUE"""),"Emmett Khan")</f>
        <v>Emmett Khan</v>
      </c>
      <c r="C343" s="74" t="b">
        <f>IFERROR(__xludf.DUMMYFUNCTION("""COMPUTED_VALUE"""),FALSE)</f>
        <v>0</v>
      </c>
      <c r="D343" s="137">
        <f>IFERROR(__xludf.DUMMYFUNCTION("""COMPUTED_VALUE"""),0.39583333333575865)</f>
        <v>0.3958333333</v>
      </c>
      <c r="E343" s="82">
        <f>IFERROR(__xludf.DUMMYFUNCTION("""COMPUTED_VALUE"""),0.0833333333284827)</f>
        <v>0.08333333333</v>
      </c>
      <c r="F343" s="137">
        <f>IFERROR(__xludf.DUMMYFUNCTION("""COMPUTED_VALUE"""),0.47916666666424135)</f>
        <v>0.4791666667</v>
      </c>
      <c r="G343" s="82">
        <f>IFERROR(__xludf.DUMMYFUNCTION("""COMPUTED_VALUE"""),0.0833333333284827)</f>
        <v>0.08333333333</v>
      </c>
      <c r="H343" s="115">
        <f>IFERROR(__xludf.DUMMYFUNCTION("""COMPUTED_VALUE"""),98.0)</f>
        <v>98</v>
      </c>
      <c r="I343" s="112">
        <f>IFERROR(__xludf.DUMMYFUNCTION("""COMPUTED_VALUE"""),49.000000002852175)</f>
        <v>49</v>
      </c>
      <c r="J343" s="74" t="str">
        <f>IFERROR(__xludf.DUMMYFUNCTION("""COMPUTED_VALUE"""),"Breakfast/Lunch")</f>
        <v>Breakfast/Lunch</v>
      </c>
      <c r="K343" s="113">
        <f>IFERROR(__xludf.DUMMYFUNCTION("""COMPUTED_VALUE"""),46000.0)</f>
        <v>46000</v>
      </c>
      <c r="L343" s="74" t="str">
        <f>IFERROR(__xludf.DUMMYFUNCTION("""COMPUTED_VALUE"""),"Tuesday")</f>
        <v>Tuesday</v>
      </c>
      <c r="M343" s="74" t="str">
        <f>IFERROR(__xludf.DUMMYFUNCTION("""COMPUTED_VALUE"""),"BF")</f>
        <v>BF</v>
      </c>
      <c r="N343" s="114">
        <f>IFERROR(__xludf.DUMMYFUNCTION("""COMPUTED_VALUE"""),0.8605124099993938)</f>
        <v>0.86051241</v>
      </c>
      <c r="O343" s="74" t="str">
        <f>IFERROR(__xludf.DUMMYFUNCTION("""COMPUTED_VALUE"""),"")</f>
        <v/>
      </c>
      <c r="P343" s="74" t="str">
        <f>IFERROR(__xludf.DUMMYFUNCTION("""COMPUTED_VALUE"""),"")</f>
        <v/>
      </c>
      <c r="Q343" s="82" t="str">
        <f>IFERROR(__xludf.DUMMYFUNCTION("""COMPUTED_VALUE"""),"")</f>
        <v/>
      </c>
      <c r="R343" s="82" t="str">
        <f>IFERROR(__xludf.DUMMYFUNCTION("""COMPUTED_VALUE"""),"")</f>
        <v/>
      </c>
      <c r="S343" s="63" t="str">
        <f>IFERROR(__xludf.DUMMYFUNCTION("""COMPUTED_VALUE"""),"")</f>
        <v/>
      </c>
      <c r="T343" s="63" t="str">
        <f>IFERROR(__xludf.DUMMYFUNCTION("""COMPUTED_VALUE"""),"")</f>
        <v/>
      </c>
      <c r="U343" s="138" t="str">
        <f>IFERROR(__xludf.DUMMYFUNCTION("""COMPUTED_VALUE"""),"")</f>
        <v/>
      </c>
      <c r="V343" s="82" t="str">
        <f>IFERROR(__xludf.DUMMYFUNCTION("""COMPUTED_VALUE"""),"")</f>
        <v/>
      </c>
      <c r="W343" s="64" t="str">
        <f>IFERROR(__xludf.DUMMYFUNCTION("""COMPUTED_VALUE"""),"")</f>
        <v/>
      </c>
      <c r="X343" s="64" t="str">
        <f>IFERROR(__xludf.DUMMYFUNCTION("""COMPUTED_VALUE"""),"")</f>
        <v/>
      </c>
      <c r="Y343" s="114" t="str">
        <f>IFERROR(__xludf.DUMMYFUNCTION("""COMPUTED_VALUE"""),"")</f>
        <v/>
      </c>
      <c r="Z343" s="118" t="str">
        <f>IFERROR(__xludf.DUMMYFUNCTION("""COMPUTED_VALUE"""),"")</f>
        <v/>
      </c>
      <c r="AA343" s="118" t="str">
        <f>IFERROR(__xludf.DUMMYFUNCTION("""COMPUTED_VALUE"""),"")</f>
        <v/>
      </c>
      <c r="AB343" s="74"/>
    </row>
    <row r="344">
      <c r="A344" s="109">
        <f>IFERROR(__xludf.DUMMYFUNCTION("""COMPUTED_VALUE"""),46000.62350368056)</f>
        <v>46000.6235</v>
      </c>
      <c r="B344" s="81" t="str">
        <f>IFERROR(__xludf.DUMMYFUNCTION("""COMPUTED_VALUE"""),"Maureen Surgot")</f>
        <v>Maureen Surgot</v>
      </c>
      <c r="C344" s="74" t="b">
        <f>IFERROR(__xludf.DUMMYFUNCTION("""COMPUTED_VALUE"""),FALSE)</f>
        <v>0</v>
      </c>
      <c r="D344" s="137">
        <f>IFERROR(__xludf.DUMMYFUNCTION("""COMPUTED_VALUE"""),0.47916666666424135)</f>
        <v>0.4791666667</v>
      </c>
      <c r="E344" s="82">
        <f>IFERROR(__xludf.DUMMYFUNCTION("""COMPUTED_VALUE"""),0.14583333333575865)</f>
        <v>0.1458333333</v>
      </c>
      <c r="F344" s="137">
        <f>IFERROR(__xludf.DUMMYFUNCTION("""COMPUTED_VALUE"""),0.625)</f>
        <v>0.625</v>
      </c>
      <c r="G344" s="82">
        <f>IFERROR(__xludf.DUMMYFUNCTION("""COMPUTED_VALUE"""),0.14583333333575865)</f>
        <v>0.1458333333</v>
      </c>
      <c r="H344" s="115">
        <f>IFERROR(__xludf.DUMMYFUNCTION("""COMPUTED_VALUE"""),197.0)</f>
        <v>197</v>
      </c>
      <c r="I344" s="112">
        <f>IFERROR(__xludf.DUMMYFUNCTION("""COMPUTED_VALUE"""),56.28571428477821)</f>
        <v>56.28571428</v>
      </c>
      <c r="J344" s="74" t="str">
        <f>IFERROR(__xludf.DUMMYFUNCTION("""COMPUTED_VALUE"""),"Lunch")</f>
        <v>Lunch</v>
      </c>
      <c r="K344" s="113">
        <f>IFERROR(__xludf.DUMMYFUNCTION("""COMPUTED_VALUE"""),46000.0)</f>
        <v>46000</v>
      </c>
      <c r="L344" s="74" t="str">
        <f>IFERROR(__xludf.DUMMYFUNCTION("""COMPUTED_VALUE"""),"Tuesday")</f>
        <v>Tuesday</v>
      </c>
      <c r="M344" s="74" t="str">
        <f>IFERROR(__xludf.DUMMYFUNCTION("""COMPUTED_VALUE"""),"MF")</f>
        <v>MF</v>
      </c>
      <c r="N344" s="114">
        <f>IFERROR(__xludf.DUMMYFUNCTION("""COMPUTED_VALUE"""),1.1704526047307917)</f>
        <v>1.170452605</v>
      </c>
      <c r="O344" s="74" t="str">
        <f>IFERROR(__xludf.DUMMYFUNCTION("""COMPUTED_VALUE"""),"")</f>
        <v/>
      </c>
      <c r="P344" s="74" t="str">
        <f>IFERROR(__xludf.DUMMYFUNCTION("""COMPUTED_VALUE"""),"")</f>
        <v/>
      </c>
      <c r="Q344" s="82" t="str">
        <f>IFERROR(__xludf.DUMMYFUNCTION("""COMPUTED_VALUE"""),"")</f>
        <v/>
      </c>
      <c r="R344" s="82" t="str">
        <f>IFERROR(__xludf.DUMMYFUNCTION("""COMPUTED_VALUE"""),"")</f>
        <v/>
      </c>
      <c r="S344" s="63" t="str">
        <f>IFERROR(__xludf.DUMMYFUNCTION("""COMPUTED_VALUE"""),"")</f>
        <v/>
      </c>
      <c r="T344" s="63" t="str">
        <f>IFERROR(__xludf.DUMMYFUNCTION("""COMPUTED_VALUE"""),"")</f>
        <v/>
      </c>
      <c r="U344" s="138" t="str">
        <f>IFERROR(__xludf.DUMMYFUNCTION("""COMPUTED_VALUE"""),"")</f>
        <v/>
      </c>
      <c r="V344" s="82" t="str">
        <f>IFERROR(__xludf.DUMMYFUNCTION("""COMPUTED_VALUE"""),"")</f>
        <v/>
      </c>
      <c r="W344" s="64" t="str">
        <f>IFERROR(__xludf.DUMMYFUNCTION("""COMPUTED_VALUE"""),"")</f>
        <v/>
      </c>
      <c r="X344" s="64" t="str">
        <f>IFERROR(__xludf.DUMMYFUNCTION("""COMPUTED_VALUE"""),"")</f>
        <v/>
      </c>
      <c r="Y344" s="114" t="str">
        <f>IFERROR(__xludf.DUMMYFUNCTION("""COMPUTED_VALUE"""),"")</f>
        <v/>
      </c>
      <c r="Z344" s="118" t="str">
        <f>IFERROR(__xludf.DUMMYFUNCTION("""COMPUTED_VALUE"""),"")</f>
        <v/>
      </c>
      <c r="AA344" s="118" t="str">
        <f>IFERROR(__xludf.DUMMYFUNCTION("""COMPUTED_VALUE"""),"")</f>
        <v/>
      </c>
      <c r="AB344" s="74"/>
    </row>
    <row r="345">
      <c r="A345" s="109">
        <f>IFERROR(__xludf.DUMMYFUNCTION("""COMPUTED_VALUE"""),46000.654115474536)</f>
        <v>46000.65412</v>
      </c>
      <c r="B345" s="81" t="str">
        <f>IFERROR(__xludf.DUMMYFUNCTION("""COMPUTED_VALUE"""),"Brynn Hornig")</f>
        <v>Brynn Hornig</v>
      </c>
      <c r="C345" s="74" t="b">
        <f>IFERROR(__xludf.DUMMYFUNCTION("""COMPUTED_VALUE"""),FALSE)</f>
        <v>0</v>
      </c>
      <c r="D345" s="137">
        <f>IFERROR(__xludf.DUMMYFUNCTION("""COMPUTED_VALUE"""),0.5208333333357587)</f>
        <v>0.5208333333</v>
      </c>
      <c r="E345" s="82">
        <f>IFERROR(__xludf.DUMMYFUNCTION("""COMPUTED_VALUE"""),0.13541666666424135)</f>
        <v>0.1354166667</v>
      </c>
      <c r="F345" s="137">
        <f>IFERROR(__xludf.DUMMYFUNCTION("""COMPUTED_VALUE"""),0.65625)</f>
        <v>0.65625</v>
      </c>
      <c r="G345" s="82">
        <f>IFERROR(__xludf.DUMMYFUNCTION("""COMPUTED_VALUE"""),0.13541666666424135)</f>
        <v>0.1354166667</v>
      </c>
      <c r="H345" s="115">
        <f>IFERROR(__xludf.DUMMYFUNCTION("""COMPUTED_VALUE"""),94.0)</f>
        <v>94</v>
      </c>
      <c r="I345" s="112">
        <f>IFERROR(__xludf.DUMMYFUNCTION("""COMPUTED_VALUE"""),28.923076923594937)</f>
        <v>28.92307692</v>
      </c>
      <c r="J345" s="74" t="str">
        <f>IFERROR(__xludf.DUMMYFUNCTION("""COMPUTED_VALUE"""),"Lunch")</f>
        <v>Lunch</v>
      </c>
      <c r="K345" s="113">
        <f>IFERROR(__xludf.DUMMYFUNCTION("""COMPUTED_VALUE"""),46000.0)</f>
        <v>46000</v>
      </c>
      <c r="L345" s="74" t="str">
        <f>IFERROR(__xludf.DUMMYFUNCTION("""COMPUTED_VALUE"""),"Tuesday")</f>
        <v>Tuesday</v>
      </c>
      <c r="M345" s="74" t="str">
        <f>IFERROR(__xludf.DUMMYFUNCTION("""COMPUTED_VALUE"""),"BF")</f>
        <v>BF</v>
      </c>
      <c r="N345" s="114">
        <f>IFERROR(__xludf.DUMMYFUNCTION("""COMPUTED_VALUE"""),0.7448501493579237)</f>
        <v>0.7448501494</v>
      </c>
      <c r="O345" s="74" t="str">
        <f>IFERROR(__xludf.DUMMYFUNCTION("""COMPUTED_VALUE"""),"")</f>
        <v/>
      </c>
      <c r="P345" s="74" t="str">
        <f>IFERROR(__xludf.DUMMYFUNCTION("""COMPUTED_VALUE"""),"")</f>
        <v/>
      </c>
      <c r="Q345" s="82" t="str">
        <f>IFERROR(__xludf.DUMMYFUNCTION("""COMPUTED_VALUE"""),"")</f>
        <v/>
      </c>
      <c r="R345" s="82" t="str">
        <f>IFERROR(__xludf.DUMMYFUNCTION("""COMPUTED_VALUE"""),"")</f>
        <v/>
      </c>
      <c r="S345" s="63" t="str">
        <f>IFERROR(__xludf.DUMMYFUNCTION("""COMPUTED_VALUE"""),"")</f>
        <v/>
      </c>
      <c r="T345" s="63" t="str">
        <f>IFERROR(__xludf.DUMMYFUNCTION("""COMPUTED_VALUE"""),"")</f>
        <v/>
      </c>
      <c r="U345" s="138" t="str">
        <f>IFERROR(__xludf.DUMMYFUNCTION("""COMPUTED_VALUE"""),"")</f>
        <v/>
      </c>
      <c r="V345" s="82" t="str">
        <f>IFERROR(__xludf.DUMMYFUNCTION("""COMPUTED_VALUE"""),"")</f>
        <v/>
      </c>
      <c r="W345" s="64" t="str">
        <f>IFERROR(__xludf.DUMMYFUNCTION("""COMPUTED_VALUE"""),"")</f>
        <v/>
      </c>
      <c r="X345" s="64" t="str">
        <f>IFERROR(__xludf.DUMMYFUNCTION("""COMPUTED_VALUE"""),"")</f>
        <v/>
      </c>
      <c r="Y345" s="114" t="str">
        <f>IFERROR(__xludf.DUMMYFUNCTION("""COMPUTED_VALUE"""),"")</f>
        <v/>
      </c>
      <c r="Z345" s="118" t="str">
        <f>IFERROR(__xludf.DUMMYFUNCTION("""COMPUTED_VALUE"""),"")</f>
        <v/>
      </c>
      <c r="AA345" s="118" t="str">
        <f>IFERROR(__xludf.DUMMYFUNCTION("""COMPUTED_VALUE"""),"")</f>
        <v/>
      </c>
      <c r="AB345" s="74"/>
    </row>
    <row r="346">
      <c r="A346" s="109">
        <f>IFERROR(__xludf.DUMMYFUNCTION("""COMPUTED_VALUE"""),46000.75884068287)</f>
        <v>46000.75884</v>
      </c>
      <c r="B346" s="81" t="str">
        <f>IFERROR(__xludf.DUMMYFUNCTION("""COMPUTED_VALUE"""),"Kyra Turner")</f>
        <v>Kyra Turner</v>
      </c>
      <c r="C346" s="74" t="b">
        <f>IFERROR(__xludf.DUMMYFUNCTION("""COMPUTED_VALUE"""),FALSE)</f>
        <v>0</v>
      </c>
      <c r="D346" s="137">
        <f>IFERROR(__xludf.DUMMYFUNCTION("""COMPUTED_VALUE"""),0.6875)</f>
        <v>0.6875</v>
      </c>
      <c r="E346" s="82">
        <f>IFERROR(__xludf.DUMMYFUNCTION("""COMPUTED_VALUE"""),0.07083333333139308)</f>
        <v>0.07083333333</v>
      </c>
      <c r="F346" s="137">
        <f>IFERROR(__xludf.DUMMYFUNCTION("""COMPUTED_VALUE"""),0.7583333333313931)</f>
        <v>0.7583333333</v>
      </c>
      <c r="G346" s="82">
        <f>IFERROR(__xludf.DUMMYFUNCTION("""COMPUTED_VALUE"""),0.09930555555183673)</f>
        <v>0.09930555555</v>
      </c>
      <c r="H346" s="115">
        <f>IFERROR(__xludf.DUMMYFUNCTION("""COMPUTED_VALUE"""),75.0)</f>
        <v>75</v>
      </c>
      <c r="I346" s="112">
        <f>IFERROR(__xludf.DUMMYFUNCTION("""COMPUTED_VALUE"""),31.468531469709912)</f>
        <v>31.46853147</v>
      </c>
      <c r="J346" s="74" t="str">
        <f>IFERROR(__xludf.DUMMYFUNCTION("""COMPUTED_VALUE"""),"Dinner")</f>
        <v>Dinner</v>
      </c>
      <c r="K346" s="113">
        <f>IFERROR(__xludf.DUMMYFUNCTION("""COMPUTED_VALUE"""),46000.0)</f>
        <v>46000</v>
      </c>
      <c r="L346" s="74" t="str">
        <f>IFERROR(__xludf.DUMMYFUNCTION("""COMPUTED_VALUE"""),"Tuesday")</f>
        <v>Tuesday</v>
      </c>
      <c r="M346" s="74" t="str">
        <f>IFERROR(__xludf.DUMMYFUNCTION("""COMPUTED_VALUE"""),"BF")</f>
        <v>BF</v>
      </c>
      <c r="N346" s="114">
        <f>IFERROR(__xludf.DUMMYFUNCTION("""COMPUTED_VALUE"""),0.742646797710787)</f>
        <v>0.7426467977</v>
      </c>
      <c r="O346" s="74" t="str">
        <f>IFERROR(__xludf.DUMMYFUNCTION("""COMPUTED_VALUE"""),"")</f>
        <v/>
      </c>
      <c r="P346" s="74" t="str">
        <f>IFERROR(__xludf.DUMMYFUNCTION("""COMPUTED_VALUE"""),"")</f>
        <v/>
      </c>
      <c r="Q346" s="82" t="str">
        <f>IFERROR(__xludf.DUMMYFUNCTION("""COMPUTED_VALUE"""),"")</f>
        <v/>
      </c>
      <c r="R346" s="82" t="str">
        <f>IFERROR(__xludf.DUMMYFUNCTION("""COMPUTED_VALUE"""),"")</f>
        <v/>
      </c>
      <c r="S346" s="63" t="str">
        <f>IFERROR(__xludf.DUMMYFUNCTION("""COMPUTED_VALUE"""),"")</f>
        <v/>
      </c>
      <c r="T346" s="63" t="str">
        <f>IFERROR(__xludf.DUMMYFUNCTION("""COMPUTED_VALUE"""),"")</f>
        <v/>
      </c>
      <c r="U346" s="138" t="str">
        <f>IFERROR(__xludf.DUMMYFUNCTION("""COMPUTED_VALUE"""),"")</f>
        <v/>
      </c>
      <c r="V346" s="82" t="str">
        <f>IFERROR(__xludf.DUMMYFUNCTION("""COMPUTED_VALUE"""),"")</f>
        <v/>
      </c>
      <c r="W346" s="64" t="str">
        <f>IFERROR(__xludf.DUMMYFUNCTION("""COMPUTED_VALUE"""),"")</f>
        <v/>
      </c>
      <c r="X346" s="64" t="str">
        <f>IFERROR(__xludf.DUMMYFUNCTION("""COMPUTED_VALUE"""),"")</f>
        <v/>
      </c>
      <c r="Y346" s="114" t="str">
        <f>IFERROR(__xludf.DUMMYFUNCTION("""COMPUTED_VALUE"""),"")</f>
        <v/>
      </c>
      <c r="Z346" s="118" t="str">
        <f>IFERROR(__xludf.DUMMYFUNCTION("""COMPUTED_VALUE"""),"")</f>
        <v/>
      </c>
      <c r="AA346" s="118" t="str">
        <f>IFERROR(__xludf.DUMMYFUNCTION("""COMPUTED_VALUE"""),"")</f>
        <v/>
      </c>
      <c r="AB346" s="74"/>
    </row>
    <row r="347">
      <c r="A347" s="109">
        <f>IFERROR(__xludf.DUMMYFUNCTION("""COMPUTED_VALUE"""),46000.791241643514)</f>
        <v>46000.79124</v>
      </c>
      <c r="B347" s="81" t="str">
        <f>IFERROR(__xludf.DUMMYFUNCTION("""COMPUTED_VALUE"""),"Kyra Turner")</f>
        <v>Kyra Turner</v>
      </c>
      <c r="C347" s="74" t="b">
        <f>IFERROR(__xludf.DUMMYFUNCTION("""COMPUTED_VALUE"""),TRUE)</f>
        <v>1</v>
      </c>
      <c r="D347" s="137">
        <f>IFERROR(__xludf.DUMMYFUNCTION("""COMPUTED_VALUE"""),0.7611111111109494)</f>
        <v>0.7611111111</v>
      </c>
      <c r="E347" s="82">
        <f>IFERROR(__xludf.DUMMYFUNCTION("""COMPUTED_VALUE"""),0.028472222220443655)</f>
        <v>0.02847222222</v>
      </c>
      <c r="F347" s="137">
        <f>IFERROR(__xludf.DUMMYFUNCTION("""COMPUTED_VALUE"""),0.7895833333313931)</f>
        <v>0.7895833333</v>
      </c>
      <c r="G347" s="82" t="str">
        <f>IFERROR(__xludf.DUMMYFUNCTION("""COMPUTED_VALUE"""),"")</f>
        <v/>
      </c>
      <c r="H347" s="115">
        <f>IFERROR(__xludf.DUMMYFUNCTION("""COMPUTED_VALUE"""),37.0)</f>
        <v>37</v>
      </c>
      <c r="I347" s="112" t="str">
        <f>IFERROR(__xludf.DUMMYFUNCTION("""COMPUTED_VALUE"""),"")</f>
        <v/>
      </c>
      <c r="J347" s="74" t="str">
        <f>IFERROR(__xludf.DUMMYFUNCTION("""COMPUTED_VALUE"""),"Dinner")</f>
        <v>Dinner</v>
      </c>
      <c r="K347" s="113">
        <f>IFERROR(__xludf.DUMMYFUNCTION("""COMPUTED_VALUE"""),46000.0)</f>
        <v>46000</v>
      </c>
      <c r="L347" s="74" t="str">
        <f>IFERROR(__xludf.DUMMYFUNCTION("""COMPUTED_VALUE"""),"Tuesday")</f>
        <v>Tuesday</v>
      </c>
      <c r="M347" s="74" t="str">
        <f>IFERROR(__xludf.DUMMYFUNCTION("""COMPUTED_VALUE"""),"BF")</f>
        <v>BF</v>
      </c>
      <c r="N347" s="114" t="str">
        <f>IFERROR(__xludf.DUMMYFUNCTION("""COMPUTED_VALUE"""),"")</f>
        <v/>
      </c>
      <c r="O347" s="74" t="str">
        <f>IFERROR(__xludf.DUMMYFUNCTION("""COMPUTED_VALUE"""),"")</f>
        <v/>
      </c>
      <c r="P347" s="74" t="str">
        <f>IFERROR(__xludf.DUMMYFUNCTION("""COMPUTED_VALUE"""),"")</f>
        <v/>
      </c>
      <c r="Q347" s="82" t="str">
        <f>IFERROR(__xludf.DUMMYFUNCTION("""COMPUTED_VALUE"""),"")</f>
        <v/>
      </c>
      <c r="R347" s="82" t="str">
        <f>IFERROR(__xludf.DUMMYFUNCTION("""COMPUTED_VALUE"""),"")</f>
        <v/>
      </c>
      <c r="S347" s="63" t="str">
        <f>IFERROR(__xludf.DUMMYFUNCTION("""COMPUTED_VALUE"""),"")</f>
        <v/>
      </c>
      <c r="T347" s="63" t="str">
        <f>IFERROR(__xludf.DUMMYFUNCTION("""COMPUTED_VALUE"""),"")</f>
        <v/>
      </c>
      <c r="U347" s="138" t="str">
        <f>IFERROR(__xludf.DUMMYFUNCTION("""COMPUTED_VALUE"""),"")</f>
        <v/>
      </c>
      <c r="V347" s="82" t="str">
        <f>IFERROR(__xludf.DUMMYFUNCTION("""COMPUTED_VALUE"""),"")</f>
        <v/>
      </c>
      <c r="W347" s="64" t="str">
        <f>IFERROR(__xludf.DUMMYFUNCTION("""COMPUTED_VALUE"""),"")</f>
        <v/>
      </c>
      <c r="X347" s="64" t="str">
        <f>IFERROR(__xludf.DUMMYFUNCTION("""COMPUTED_VALUE"""),"")</f>
        <v/>
      </c>
      <c r="Y347" s="114" t="str">
        <f>IFERROR(__xludf.DUMMYFUNCTION("""COMPUTED_VALUE"""),"")</f>
        <v/>
      </c>
      <c r="Z347" s="118" t="str">
        <f>IFERROR(__xludf.DUMMYFUNCTION("""COMPUTED_VALUE"""),"")</f>
        <v/>
      </c>
      <c r="AA347" s="118" t="str">
        <f>IFERROR(__xludf.DUMMYFUNCTION("""COMPUTED_VALUE"""),"")</f>
        <v/>
      </c>
      <c r="AB347" s="74"/>
    </row>
    <row r="348">
      <c r="A348" s="109">
        <f>IFERROR(__xludf.DUMMYFUNCTION("""COMPUTED_VALUE"""),46000.86626519676)</f>
        <v>46000.86627</v>
      </c>
      <c r="B348" s="81" t="str">
        <f>IFERROR(__xludf.DUMMYFUNCTION("""COMPUTED_VALUE"""),"Kaylie Forgue")</f>
        <v>Kaylie Forgue</v>
      </c>
      <c r="C348" s="74" t="b">
        <f>IFERROR(__xludf.DUMMYFUNCTION("""COMPUTED_VALUE"""),FALSE)</f>
        <v>0</v>
      </c>
      <c r="D348" s="137">
        <f>IFERROR(__xludf.DUMMYFUNCTION("""COMPUTED_VALUE"""),0.7847222222189885)</f>
        <v>0.7847222222</v>
      </c>
      <c r="E348" s="82">
        <f>IFERROR(__xludf.DUMMYFUNCTION("""COMPUTED_VALUE"""),0.07777777778392192)</f>
        <v>0.07777777778</v>
      </c>
      <c r="F348" s="137">
        <f>IFERROR(__xludf.DUMMYFUNCTION("""COMPUTED_VALUE"""),0.8625000000029104)</f>
        <v>0.8625</v>
      </c>
      <c r="G348" s="82">
        <f>IFERROR(__xludf.DUMMYFUNCTION("""COMPUTED_VALUE"""),0.07777777778392192)</f>
        <v>0.07777777778</v>
      </c>
      <c r="H348" s="115">
        <f>IFERROR(__xludf.DUMMYFUNCTION("""COMPUTED_VALUE"""),55.0)</f>
        <v>55</v>
      </c>
      <c r="I348" s="112">
        <f>IFERROR(__xludf.DUMMYFUNCTION("""COMPUTED_VALUE"""),29.46428571195815)</f>
        <v>29.46428571</v>
      </c>
      <c r="J348" s="74" t="str">
        <f>IFERROR(__xludf.DUMMYFUNCTION("""COMPUTED_VALUE"""),"Dinner")</f>
        <v>Dinner</v>
      </c>
      <c r="K348" s="113">
        <f>IFERROR(__xludf.DUMMYFUNCTION("""COMPUTED_VALUE"""),46000.0)</f>
        <v>46000</v>
      </c>
      <c r="L348" s="74" t="str">
        <f>IFERROR(__xludf.DUMMYFUNCTION("""COMPUTED_VALUE"""),"Tuesday")</f>
        <v>Tuesday</v>
      </c>
      <c r="M348" s="74" t="str">
        <f>IFERROR(__xludf.DUMMYFUNCTION("""COMPUTED_VALUE"""),"BF")</f>
        <v>BF</v>
      </c>
      <c r="N348" s="114">
        <f>IFERROR(__xludf.DUMMYFUNCTION("""COMPUTED_VALUE"""),0.6953472694422854)</f>
        <v>0.6953472694</v>
      </c>
      <c r="O348" s="74">
        <f>IFERROR(__xludf.DUMMYFUNCTION("""COMPUTED_VALUE"""),197.0)</f>
        <v>197</v>
      </c>
      <c r="P348" s="74">
        <f>IFERROR(__xludf.DUMMYFUNCTION("""COMPUTED_VALUE"""),397.0)</f>
        <v>397</v>
      </c>
      <c r="Q348" s="82">
        <f>IFERROR(__xludf.DUMMYFUNCTION("""COMPUTED_VALUE"""),0.14583333333575865)</f>
        <v>0.1458333333</v>
      </c>
      <c r="R348" s="82">
        <f>IFERROR(__xludf.DUMMYFUNCTION("""COMPUTED_VALUE"""),0.49722222222044365)</f>
        <v>0.4972222222</v>
      </c>
      <c r="S348" s="63">
        <f>IFERROR(__xludf.DUMMYFUNCTION("""COMPUTED_VALUE"""),56.28571428477821)</f>
        <v>56.28571428</v>
      </c>
      <c r="T348" s="63">
        <f>IFERROR(__xludf.DUMMYFUNCTION("""COMPUTED_VALUE"""),30.894466492761275)</f>
        <v>30.89446649</v>
      </c>
      <c r="U348" s="138">
        <f>IFERROR(__xludf.DUMMYFUNCTION("""COMPUTED_VALUE"""),594.0)</f>
        <v>594</v>
      </c>
      <c r="V348" s="82">
        <f>IFERROR(__xludf.DUMMYFUNCTION("""COMPUTED_VALUE"""),0.6430555555562023)</f>
        <v>0.6430555556</v>
      </c>
      <c r="W348" s="64">
        <f>IFERROR(__xludf.DUMMYFUNCTION("""COMPUTED_VALUE"""),38.488120950285264)</f>
        <v>38.48812095</v>
      </c>
      <c r="X348" s="64">
        <f>IFERROR(__xludf.DUMMYFUNCTION("""COMPUTED_VALUE"""),35.1263411247641)</f>
        <v>35.12634112</v>
      </c>
      <c r="Y348" s="114">
        <f>IFERROR(__xludf.DUMMYFUNCTION("""COMPUTED_VALUE"""),0.6752914344669165)</f>
        <v>0.6752914345</v>
      </c>
      <c r="Z348" s="118" t="str">
        <f>IFERROR(__xludf.DUMMYFUNCTION("""COMPUTED_VALUE"""),"")</f>
        <v/>
      </c>
      <c r="AA348" s="118" t="str">
        <f>IFERROR(__xludf.DUMMYFUNCTION("""COMPUTED_VALUE"""),"")</f>
        <v/>
      </c>
      <c r="AB348" s="74"/>
    </row>
    <row r="349">
      <c r="A349" s="109">
        <f>IFERROR(__xludf.DUMMYFUNCTION("""COMPUTED_VALUE"""),46002.63175730324)</f>
        <v>46002.63176</v>
      </c>
      <c r="B349" s="81" t="str">
        <f>IFERROR(__xludf.DUMMYFUNCTION("""COMPUTED_VALUE"""),"Brynn Hornig")</f>
        <v>Brynn Hornig</v>
      </c>
      <c r="C349" s="74" t="b">
        <f>IFERROR(__xludf.DUMMYFUNCTION("""COMPUTED_VALUE"""),FALSE)</f>
        <v>0</v>
      </c>
      <c r="D349" s="137">
        <f>IFERROR(__xludf.DUMMYFUNCTION("""COMPUTED_VALUE"""),0.5625)</f>
        <v>0.5625</v>
      </c>
      <c r="E349" s="82">
        <f>IFERROR(__xludf.DUMMYFUNCTION("""COMPUTED_VALUE"""),0.07291666666424135)</f>
        <v>0.07291666666</v>
      </c>
      <c r="F349" s="137">
        <f>IFERROR(__xludf.DUMMYFUNCTION("""COMPUTED_VALUE"""),0.6354166666642413)</f>
        <v>0.6354166667</v>
      </c>
      <c r="G349" s="82">
        <f>IFERROR(__xludf.DUMMYFUNCTION("""COMPUTED_VALUE"""),0.07291666666424135)</f>
        <v>0.07291666666</v>
      </c>
      <c r="H349" s="115">
        <f>IFERROR(__xludf.DUMMYFUNCTION("""COMPUTED_VALUE"""),70.0)</f>
        <v>70</v>
      </c>
      <c r="I349" s="112">
        <f>IFERROR(__xludf.DUMMYFUNCTION("""COMPUTED_VALUE"""),40.00000000133046)</f>
        <v>40</v>
      </c>
      <c r="J349" s="74" t="str">
        <f>IFERROR(__xludf.DUMMYFUNCTION("""COMPUTED_VALUE"""),"Lunch")</f>
        <v>Lunch</v>
      </c>
      <c r="K349" s="113">
        <f>IFERROR(__xludf.DUMMYFUNCTION("""COMPUTED_VALUE"""),46002.0)</f>
        <v>46002</v>
      </c>
      <c r="L349" s="74" t="str">
        <f>IFERROR(__xludf.DUMMYFUNCTION("""COMPUTED_VALUE"""),"Thursday")</f>
        <v>Thursday</v>
      </c>
      <c r="M349" s="74" t="str">
        <f>IFERROR(__xludf.DUMMYFUNCTION("""COMPUTED_VALUE"""),"MF")</f>
        <v>MF</v>
      </c>
      <c r="N349" s="114">
        <f>IFERROR(__xludf.DUMMYFUNCTION("""COMPUTED_VALUE"""),0.8317937292918091)</f>
        <v>0.8317937293</v>
      </c>
      <c r="O349" s="74" t="str">
        <f>IFERROR(__xludf.DUMMYFUNCTION("""COMPUTED_VALUE"""),"")</f>
        <v/>
      </c>
      <c r="P349" s="74" t="str">
        <f>IFERROR(__xludf.DUMMYFUNCTION("""COMPUTED_VALUE"""),"")</f>
        <v/>
      </c>
      <c r="Q349" s="82" t="str">
        <f>IFERROR(__xludf.DUMMYFUNCTION("""COMPUTED_VALUE"""),"")</f>
        <v/>
      </c>
      <c r="R349" s="82" t="str">
        <f>IFERROR(__xludf.DUMMYFUNCTION("""COMPUTED_VALUE"""),"")</f>
        <v/>
      </c>
      <c r="S349" s="63" t="str">
        <f>IFERROR(__xludf.DUMMYFUNCTION("""COMPUTED_VALUE"""),"")</f>
        <v/>
      </c>
      <c r="T349" s="63" t="str">
        <f>IFERROR(__xludf.DUMMYFUNCTION("""COMPUTED_VALUE"""),"")</f>
        <v/>
      </c>
      <c r="U349" s="138" t="str">
        <f>IFERROR(__xludf.DUMMYFUNCTION("""COMPUTED_VALUE"""),"")</f>
        <v/>
      </c>
      <c r="V349" s="82" t="str">
        <f>IFERROR(__xludf.DUMMYFUNCTION("""COMPUTED_VALUE"""),"")</f>
        <v/>
      </c>
      <c r="W349" s="64" t="str">
        <f>IFERROR(__xludf.DUMMYFUNCTION("""COMPUTED_VALUE"""),"")</f>
        <v/>
      </c>
      <c r="X349" s="64" t="str">
        <f>IFERROR(__xludf.DUMMYFUNCTION("""COMPUTED_VALUE"""),"")</f>
        <v/>
      </c>
      <c r="Y349" s="114" t="str">
        <f>IFERROR(__xludf.DUMMYFUNCTION("""COMPUTED_VALUE"""),"")</f>
        <v/>
      </c>
      <c r="Z349" s="118" t="str">
        <f>IFERROR(__xludf.DUMMYFUNCTION("""COMPUTED_VALUE"""),"")</f>
        <v/>
      </c>
      <c r="AA349" s="118" t="str">
        <f>IFERROR(__xludf.DUMMYFUNCTION("""COMPUTED_VALUE"""),"")</f>
        <v/>
      </c>
      <c r="AB349" s="74"/>
    </row>
    <row r="350">
      <c r="A350" s="109">
        <f>IFERROR(__xludf.DUMMYFUNCTION("""COMPUTED_VALUE"""),46002.65567619213)</f>
        <v>46002.65568</v>
      </c>
      <c r="B350" s="81" t="str">
        <f>IFERROR(__xludf.DUMMYFUNCTION("""COMPUTED_VALUE"""),"Emmett Khan")</f>
        <v>Emmett Khan</v>
      </c>
      <c r="C350" s="74" t="b">
        <f>IFERROR(__xludf.DUMMYFUNCTION("""COMPUTED_VALUE"""),FALSE)</f>
        <v>0</v>
      </c>
      <c r="D350" s="137">
        <f>IFERROR(__xludf.DUMMYFUNCTION("""COMPUTED_VALUE"""),0.5833333333357587)</f>
        <v>0.5833333333</v>
      </c>
      <c r="E350" s="82">
        <f>IFERROR(__xludf.DUMMYFUNCTION("""COMPUTED_VALUE"""),0.07291666666424135)</f>
        <v>0.07291666666</v>
      </c>
      <c r="F350" s="137">
        <f>IFERROR(__xludf.DUMMYFUNCTION("""COMPUTED_VALUE"""),0.65625)</f>
        <v>0.65625</v>
      </c>
      <c r="G350" s="82">
        <f>IFERROR(__xludf.DUMMYFUNCTION("""COMPUTED_VALUE"""),0.15625)</f>
        <v>0.15625</v>
      </c>
      <c r="H350" s="115">
        <f>IFERROR(__xludf.DUMMYFUNCTION("""COMPUTED_VALUE"""),56.0)</f>
        <v>56</v>
      </c>
      <c r="I350" s="112">
        <f>IFERROR(__xludf.DUMMYFUNCTION("""COMPUTED_VALUE"""),14.933333333333334)</f>
        <v>14.93333333</v>
      </c>
      <c r="J350" s="74" t="str">
        <f>IFERROR(__xludf.DUMMYFUNCTION("""COMPUTED_VALUE"""),"Lunch")</f>
        <v>Lunch</v>
      </c>
      <c r="K350" s="113">
        <f>IFERROR(__xludf.DUMMYFUNCTION("""COMPUTED_VALUE"""),46002.0)</f>
        <v>46002</v>
      </c>
      <c r="L350" s="74" t="str">
        <f>IFERROR(__xludf.DUMMYFUNCTION("""COMPUTED_VALUE"""),"Thursday")</f>
        <v>Thursday</v>
      </c>
      <c r="M350" s="74" t="str">
        <f>IFERROR(__xludf.DUMMYFUNCTION("""COMPUTED_VALUE"""),"BF")</f>
        <v>BF</v>
      </c>
      <c r="N350" s="114">
        <f>IFERROR(__xludf.DUMMYFUNCTION("""COMPUTED_VALUE"""),0.38457511256940197)</f>
        <v>0.3845751126</v>
      </c>
      <c r="O350" s="74" t="str">
        <f>IFERROR(__xludf.DUMMYFUNCTION("""COMPUTED_VALUE"""),"")</f>
        <v/>
      </c>
      <c r="P350" s="74" t="str">
        <f>IFERROR(__xludf.DUMMYFUNCTION("""COMPUTED_VALUE"""),"")</f>
        <v/>
      </c>
      <c r="Q350" s="82" t="str">
        <f>IFERROR(__xludf.DUMMYFUNCTION("""COMPUTED_VALUE"""),"")</f>
        <v/>
      </c>
      <c r="R350" s="82" t="str">
        <f>IFERROR(__xludf.DUMMYFUNCTION("""COMPUTED_VALUE"""),"")</f>
        <v/>
      </c>
      <c r="S350" s="63" t="str">
        <f>IFERROR(__xludf.DUMMYFUNCTION("""COMPUTED_VALUE"""),"")</f>
        <v/>
      </c>
      <c r="T350" s="63" t="str">
        <f>IFERROR(__xludf.DUMMYFUNCTION("""COMPUTED_VALUE"""),"")</f>
        <v/>
      </c>
      <c r="U350" s="138" t="str">
        <f>IFERROR(__xludf.DUMMYFUNCTION("""COMPUTED_VALUE"""),"")</f>
        <v/>
      </c>
      <c r="V350" s="82" t="str">
        <f>IFERROR(__xludf.DUMMYFUNCTION("""COMPUTED_VALUE"""),"")</f>
        <v/>
      </c>
      <c r="W350" s="64" t="str">
        <f>IFERROR(__xludf.DUMMYFUNCTION("""COMPUTED_VALUE"""),"")</f>
        <v/>
      </c>
      <c r="X350" s="64" t="str">
        <f>IFERROR(__xludf.DUMMYFUNCTION("""COMPUTED_VALUE"""),"")</f>
        <v/>
      </c>
      <c r="Y350" s="114" t="str">
        <f>IFERROR(__xludf.DUMMYFUNCTION("""COMPUTED_VALUE"""),"")</f>
        <v/>
      </c>
      <c r="Z350" s="118" t="str">
        <f>IFERROR(__xludf.DUMMYFUNCTION("""COMPUTED_VALUE"""),"")</f>
        <v/>
      </c>
      <c r="AA350" s="118" t="str">
        <f>IFERROR(__xludf.DUMMYFUNCTION("""COMPUTED_VALUE"""),"")</f>
        <v/>
      </c>
      <c r="AB350" s="74"/>
    </row>
    <row r="351">
      <c r="A351" s="109">
        <f>IFERROR(__xludf.DUMMYFUNCTION("""COMPUTED_VALUE"""),46002.76814797454)</f>
        <v>46002.76815</v>
      </c>
      <c r="B351" s="81" t="str">
        <f>IFERROR(__xludf.DUMMYFUNCTION("""COMPUTED_VALUE"""),"Emmett Khan")</f>
        <v>Emmett Khan</v>
      </c>
      <c r="C351" s="74" t="b">
        <f>IFERROR(__xludf.DUMMYFUNCTION("""COMPUTED_VALUE"""),TRUE)</f>
        <v>1</v>
      </c>
      <c r="D351" s="137">
        <f>IFERROR(__xludf.DUMMYFUNCTION("""COMPUTED_VALUE"""),0.6875)</f>
        <v>0.6875</v>
      </c>
      <c r="E351" s="82">
        <f>IFERROR(__xludf.DUMMYFUNCTION("""COMPUTED_VALUE"""),0.08333333333575865)</f>
        <v>0.08333333334</v>
      </c>
      <c r="F351" s="137">
        <f>IFERROR(__xludf.DUMMYFUNCTION("""COMPUTED_VALUE"""),0.7708333333357587)</f>
        <v>0.7708333333</v>
      </c>
      <c r="G351" s="82" t="str">
        <f>IFERROR(__xludf.DUMMYFUNCTION("""COMPUTED_VALUE"""),"")</f>
        <v/>
      </c>
      <c r="H351" s="115">
        <f>IFERROR(__xludf.DUMMYFUNCTION("""COMPUTED_VALUE"""),87.0)</f>
        <v>87</v>
      </c>
      <c r="I351" s="112" t="str">
        <f>IFERROR(__xludf.DUMMYFUNCTION("""COMPUTED_VALUE"""),"")</f>
        <v/>
      </c>
      <c r="J351" s="74" t="str">
        <f>IFERROR(__xludf.DUMMYFUNCTION("""COMPUTED_VALUE"""),"Dinner")</f>
        <v>Dinner</v>
      </c>
      <c r="K351" s="113">
        <f>IFERROR(__xludf.DUMMYFUNCTION("""COMPUTED_VALUE"""),46002.0)</f>
        <v>46002</v>
      </c>
      <c r="L351" s="74" t="str">
        <f>IFERROR(__xludf.DUMMYFUNCTION("""COMPUTED_VALUE"""),"Thursday")</f>
        <v>Thursday</v>
      </c>
      <c r="M351" s="74" t="str">
        <f>IFERROR(__xludf.DUMMYFUNCTION("""COMPUTED_VALUE"""),"BF")</f>
        <v>BF</v>
      </c>
      <c r="N351" s="114" t="str">
        <f>IFERROR(__xludf.DUMMYFUNCTION("""COMPUTED_VALUE"""),"")</f>
        <v/>
      </c>
      <c r="O351" s="74">
        <f>IFERROR(__xludf.DUMMYFUNCTION("""COMPUTED_VALUE"""),70.0)</f>
        <v>70</v>
      </c>
      <c r="P351" s="74">
        <f>IFERROR(__xludf.DUMMYFUNCTION("""COMPUTED_VALUE"""),143.0)</f>
        <v>143</v>
      </c>
      <c r="Q351" s="82">
        <f>IFERROR(__xludf.DUMMYFUNCTION("""COMPUTED_VALUE"""),0.07291666666424135)</f>
        <v>0.07291666666</v>
      </c>
      <c r="R351" s="82">
        <f>IFERROR(__xludf.DUMMYFUNCTION("""COMPUTED_VALUE"""),0.15625)</f>
        <v>0.15625</v>
      </c>
      <c r="S351" s="63">
        <f>IFERROR(__xludf.DUMMYFUNCTION("""COMPUTED_VALUE"""),40.00000000133046)</f>
        <v>40</v>
      </c>
      <c r="T351" s="63">
        <f>IFERROR(__xludf.DUMMYFUNCTION("""COMPUTED_VALUE"""),14.933333333333334)</f>
        <v>14.93333333</v>
      </c>
      <c r="U351" s="138">
        <f>IFERROR(__xludf.DUMMYFUNCTION("""COMPUTED_VALUE"""),213.0)</f>
        <v>213</v>
      </c>
      <c r="V351" s="82">
        <f>IFERROR(__xludf.DUMMYFUNCTION("""COMPUTED_VALUE"""),0.22916666666424135)</f>
        <v>0.2291666667</v>
      </c>
      <c r="W351" s="64">
        <f>IFERROR(__xludf.DUMMYFUNCTION("""COMPUTED_VALUE"""),38.72727272768259)</f>
        <v>38.72727273</v>
      </c>
      <c r="X351" s="64">
        <f>IFERROR(__xludf.DUMMYFUNCTION("""COMPUTED_VALUE"""),27.4666666673319)</f>
        <v>27.46666667</v>
      </c>
      <c r="Y351" s="114">
        <f>IFERROR(__xludf.DUMMYFUNCTION("""COMPUTED_VALUE"""),0.4124063372644906)</f>
        <v>0.4124063373</v>
      </c>
      <c r="Z351" s="118" t="str">
        <f>IFERROR(__xludf.DUMMYFUNCTION("""COMPUTED_VALUE"""),"")</f>
        <v/>
      </c>
      <c r="AA351" s="118" t="str">
        <f>IFERROR(__xludf.DUMMYFUNCTION("""COMPUTED_VALUE"""),"")</f>
        <v/>
      </c>
      <c r="AB351" s="74"/>
    </row>
  </sheetData>
  <mergeCells count="1">
    <mergeCell ref="X9:Y9"/>
  </mergeCells>
  <conditionalFormatting sqref="C1:C351">
    <cfRule type="cellIs" dxfId="0" priority="1" operator="equal">
      <formula>"TRUE"</formula>
    </cfRule>
  </conditionalFormatting>
  <conditionalFormatting sqref="U2:W351 AB2">
    <cfRule type="notContainsBlanks" dxfId="23" priority="2">
      <formula>LEN(TRIM(U2))&gt;0</formula>
    </cfRule>
  </conditionalFormatting>
  <conditionalFormatting sqref="O2:O351 Q2:Q351 S2:S351">
    <cfRule type="notContainsBlanks" dxfId="17" priority="3">
      <formula>LEN(TRIM(O2))&gt;0</formula>
    </cfRule>
  </conditionalFormatting>
  <conditionalFormatting sqref="P2:P351 R2:R351 T2:T351">
    <cfRule type="notContainsBlanks" dxfId="18" priority="4">
      <formula>LEN(TRIM(P2))&gt;0</formula>
    </cfRule>
  </conditionalFormatting>
  <conditionalFormatting sqref="M1:M351">
    <cfRule type="cellIs" dxfId="17" priority="5" operator="equal">
      <formula>"MF"</formula>
    </cfRule>
  </conditionalFormatting>
  <conditionalFormatting sqref="M1:M351">
    <cfRule type="cellIs" dxfId="18" priority="6" operator="equal">
      <formula>"BF"</formula>
    </cfRule>
  </conditionalFormatting>
  <conditionalFormatting sqref="I1:I351">
    <cfRule type="cellIs" dxfId="1" priority="7" operator="greaterThanOrEqual">
      <formula>100</formula>
    </cfRule>
  </conditionalFormatting>
  <conditionalFormatting sqref="I1:I351">
    <cfRule type="cellIs" dxfId="2" priority="8" operator="greaterThanOrEqual">
      <formula>70</formula>
    </cfRule>
  </conditionalFormatting>
  <conditionalFormatting sqref="I1:I351">
    <cfRule type="cellIs" dxfId="3" priority="9" operator="lessThanOrEqual">
      <formula>25</formula>
    </cfRule>
  </conditionalFormatting>
  <conditionalFormatting sqref="I1:I351">
    <cfRule type="cellIs" dxfId="4" priority="10" operator="lessThanOrEqual">
      <formula>30</formula>
    </cfRule>
  </conditionalFormatting>
  <conditionalFormatting sqref="I1:I351">
    <cfRule type="cellIs" dxfId="5" priority="11" operator="lessThanOrEqual">
      <formula>40</formula>
    </cfRule>
  </conditionalFormatting>
  <conditionalFormatting sqref="J1:J351">
    <cfRule type="cellIs" dxfId="6" priority="12" operator="equal">
      <formula>"Breakfast"</formula>
    </cfRule>
  </conditionalFormatting>
  <conditionalFormatting sqref="J1:J351">
    <cfRule type="cellIs" dxfId="7" priority="13" operator="equal">
      <formula>"Breakfast/Lunch"</formula>
    </cfRule>
  </conditionalFormatting>
  <conditionalFormatting sqref="J1:J351">
    <cfRule type="cellIs" dxfId="8" priority="14" operator="equal">
      <formula>"Lunch"</formula>
    </cfRule>
  </conditionalFormatting>
  <conditionalFormatting sqref="J1:J351">
    <cfRule type="cellIs" dxfId="9" priority="15" operator="equal">
      <formula>"Lunch/Dinner"</formula>
    </cfRule>
  </conditionalFormatting>
  <conditionalFormatting sqref="J1:J351">
    <cfRule type="cellIs" dxfId="10" priority="16" operator="equal">
      <formula>"Dinner"</formula>
    </cfRule>
  </conditionalFormatting>
  <conditionalFormatting sqref="L1:L351">
    <cfRule type="cellIs" dxfId="11" priority="17" operator="equal">
      <formula>"Monday"</formula>
    </cfRule>
  </conditionalFormatting>
  <conditionalFormatting sqref="L1:L351">
    <cfRule type="cellIs" dxfId="12" priority="18" operator="equal">
      <formula>"Tuesday"</formula>
    </cfRule>
  </conditionalFormatting>
  <conditionalFormatting sqref="L1:L351">
    <cfRule type="cellIs" dxfId="13" priority="19" operator="equal">
      <formula>"Wednesday"</formula>
    </cfRule>
  </conditionalFormatting>
  <conditionalFormatting sqref="L1:L351">
    <cfRule type="cellIs" dxfId="14" priority="20" operator="equal">
      <formula>"Thursday"</formula>
    </cfRule>
  </conditionalFormatting>
  <conditionalFormatting sqref="L1:L351">
    <cfRule type="cellIs" dxfId="15" priority="21" operator="equal">
      <formula>"Friday"</formula>
    </cfRule>
  </conditionalFormatting>
  <conditionalFormatting sqref="K3:K351">
    <cfRule type="expression" dxfId="16" priority="22">
      <formula>AND(K3&lt;&gt;"", ISEVEN(SUMPRODUCT((K$3:K3&lt;&gt;OFFSET(K$3:K3,-1,0))*(K$3:K3&lt;&gt;""))))</formula>
    </cfRule>
  </conditionalFormatting>
  <conditionalFormatting sqref="N70:N351">
    <cfRule type="colorScale" priority="23">
      <colorScale>
        <cfvo type="formula" val="0"/>
        <cfvo type="formula" val="1"/>
        <cfvo type="max"/>
        <color rgb="FFFF0000"/>
        <color rgb="FFEFEFEF"/>
        <color rgb="FF57BB8A"/>
      </colorScale>
    </cfRule>
  </conditionalFormatting>
  <conditionalFormatting sqref="X2:X351">
    <cfRule type="notContainsBlanks" dxfId="6" priority="24">
      <formula>LEN(TRIM(X2))&gt;0</formula>
    </cfRule>
  </conditionalFormatting>
  <conditionalFormatting sqref="Y69:Y351">
    <cfRule type="colorScale" priority="25">
      <colorScale>
        <cfvo type="formula" val="0"/>
        <cfvo type="formula" val="1"/>
        <cfvo type="max"/>
        <color rgb="FFFF0000"/>
        <color rgb="FFEFEFEF"/>
        <color rgb="FF57BB8A"/>
      </colorScale>
    </cfRule>
  </conditionalFormatting>
  <conditionalFormatting sqref="Z1:AA351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B3:AB351">
    <cfRule type="colorScale" priority="27">
      <colorScale>
        <cfvo type="formula" val="0"/>
        <cfvo type="percentile" val="50"/>
        <cfvo type="max"/>
        <color rgb="FFEA4335"/>
        <color rgb="FFFFFFFF"/>
        <color rgb="FF34A853"/>
      </colorScale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3" max="3" width="9.5"/>
    <col customWidth="1" min="4" max="4" width="10.88"/>
    <col customWidth="1" min="5" max="5" width="7.63"/>
    <col customWidth="1" min="6" max="6" width="10.88"/>
    <col customWidth="1" min="7" max="7" width="7.63"/>
    <col customWidth="1" min="8" max="8" width="6.5"/>
    <col customWidth="1" min="9" max="9" width="8.5"/>
    <col customWidth="1" min="10" max="10" width="11.0"/>
    <col customWidth="1" min="11" max="11" width="9.63"/>
    <col customWidth="1" min="13" max="13" width="5.63"/>
    <col customWidth="1" min="14" max="14" width="9.13"/>
    <col customWidth="1" min="15" max="23" width="6.75"/>
    <col customWidth="1" min="24" max="24" width="7.38"/>
    <col customWidth="1" min="25" max="25" width="9.75"/>
    <col customWidth="1" min="29" max="31" width="19.0"/>
  </cols>
  <sheetData>
    <row r="1">
      <c r="A1" s="65" t="str">
        <f>IFERROR(__xludf.DUMMYFUNCTION("IMPORTRANGE(""https://docs.google.com/spreadsheets/d/1P6EripOCRq6G1GNfS6HgdpZe7urZNpBheFHpX0WVjzc/edit?gid=1185132683#gid=1185132683"",""'Bulk Data'!A2:Y300"")"),"Timestamp")</f>
        <v>Timestamp</v>
      </c>
      <c r="B1" s="66" t="str">
        <f>IFERROR(__xludf.DUMMYFUNCTION("""COMPUTED_VALUE"""),"Name")</f>
        <v>Name</v>
      </c>
      <c r="C1" s="65" t="str">
        <f>IFERROR(__xludf.DUMMYFUNCTION("""COMPUTED_VALUE"""),"Double Name")</f>
        <v>Double Name</v>
      </c>
      <c r="D1" s="65" t="str">
        <f>IFERROR(__xludf.DUMMYFUNCTION("""COMPUTED_VALUE"""),"Start hour")</f>
        <v>Start hour</v>
      </c>
      <c r="E1" s="67" t="str">
        <f>IFERROR(__xludf.DUMMYFUNCTION("""COMPUTED_VALUE"""),"hours worked")</f>
        <v>hours worked</v>
      </c>
      <c r="F1" s="65" t="str">
        <f>IFERROR(__xludf.DUMMYFUNCTION("""COMPUTED_VALUE"""),"End hour")</f>
        <v>End hour</v>
      </c>
      <c r="G1" s="139" t="str">
        <f>IFERROR(__xludf.DUMMYFUNCTION("""COMPUTED_VALUE"""),"hours pp")</f>
        <v>hours pp</v>
      </c>
      <c r="H1" s="68" t="str">
        <f>IFERROR(__xludf.DUMMYFUNCTION("""COMPUTED_VALUE"""),"Derived Weight")</f>
        <v>Derived Weight</v>
      </c>
      <c r="I1" s="140" t="str">
        <f>IFERROR(__xludf.DUMMYFUNCTION("""COMPUTED_VALUE"""),"lb/hr per shift")</f>
        <v>lb/hr per shift</v>
      </c>
      <c r="J1" s="65" t="str">
        <f>IFERROR(__xludf.DUMMYFUNCTION("""COMPUTED_VALUE"""),"Period")</f>
        <v>Period</v>
      </c>
      <c r="K1" s="65" t="str">
        <f>IFERROR(__xludf.DUMMYFUNCTION("""COMPUTED_VALUE"""),"Date")</f>
        <v>Date</v>
      </c>
      <c r="L1" s="65" t="str">
        <f>IFERROR(__xludf.DUMMYFUNCTION("""COMPUTED_VALUE"""),"Weekday")</f>
        <v>Weekday</v>
      </c>
      <c r="M1" s="65" t="str">
        <f>IFERROR(__xludf.DUMMYFUNCTION("""COMPUTED_VALUE"""),"Dining Hall")</f>
        <v>Dining Hall</v>
      </c>
      <c r="N1" s="141" t="str">
        <f>IFERROR(__xludf.DUMMYFUNCTION("""COMPUTED_VALUE"""),"Effeciency Score")</f>
        <v>Effeciency Score</v>
      </c>
      <c r="O1" s="65" t="str">
        <f>IFERROR(__xludf.DUMMYFUNCTION("""COMPUTED_VALUE"""),"MF lbs td")</f>
        <v>MF lbs td</v>
      </c>
      <c r="P1" s="65" t="str">
        <f>IFERROR(__xludf.DUMMYFUNCTION("""COMPUTED_VALUE"""),"BF lbs td")</f>
        <v>BF lbs td</v>
      </c>
      <c r="Q1" s="67" t="str">
        <f>IFERROR(__xludf.DUMMYFUNCTION("""COMPUTED_VALUE"""),"MF hrs td")</f>
        <v>MF hrs td</v>
      </c>
      <c r="R1" s="67" t="str">
        <f>IFERROR(__xludf.DUMMYFUNCTION("""COMPUTED_VALUE"""),"BF hrs td")</f>
        <v>BF hrs td</v>
      </c>
      <c r="S1" s="140" t="str">
        <f>IFERROR(__xludf.DUMMYFUNCTION("""COMPUTED_VALUE"""),"MF lbs/hr td")</f>
        <v>MF lbs/hr td</v>
      </c>
      <c r="T1" s="140" t="str">
        <f>IFERROR(__xludf.DUMMYFUNCTION("""COMPUTED_VALUE"""),"BF lbs/hr td")</f>
        <v>BF lbs/hr td</v>
      </c>
      <c r="U1" s="65" t="str">
        <f>IFERROR(__xludf.DUMMYFUNCTION("""COMPUTED_VALUE"""),"lbs td")</f>
        <v>lbs td</v>
      </c>
      <c r="V1" s="67" t="str">
        <f>IFERROR(__xludf.DUMMYFUNCTION("""COMPUTED_VALUE"""),"hours td")</f>
        <v>hours td</v>
      </c>
      <c r="W1" s="142" t="str">
        <f>IFERROR(__xludf.DUMMYFUNCTION("""COMPUTED_VALUE"""),"lbs/hr td")</f>
        <v>lbs/hr td</v>
      </c>
      <c r="X1" s="69" t="str">
        <f>IFERROR(__xludf.DUMMYFUNCTION("""COMPUTED_VALUE"""),"Avg Ambassador lbs/hr")</f>
        <v>Avg Ambassador lbs/hr</v>
      </c>
      <c r="Y1" s="141" t="str">
        <f>IFERROR(__xludf.DUMMYFUNCTION("""COMPUTED_VALUE"""),"Effeciency score td")</f>
        <v>Effeciency score td</v>
      </c>
      <c r="Z1" s="143"/>
      <c r="AA1" s="143"/>
      <c r="AB1" s="144"/>
      <c r="AC1" s="145"/>
      <c r="AD1" s="145"/>
      <c r="AE1" s="145"/>
    </row>
    <row r="2">
      <c r="A2" s="146">
        <f>IFERROR(__xludf.DUMMYFUNCTION("""COMPUTED_VALUE"""),46041.0)</f>
        <v>46041</v>
      </c>
      <c r="B2" s="66" t="str">
        <f>IFERROR(__xludf.DUMMYFUNCTION("""COMPUTED_VALUE"""),"N/A")</f>
        <v>N/A</v>
      </c>
      <c r="C2" s="147" t="b">
        <f>IFERROR(__xludf.DUMMYFUNCTION("""COMPUTED_VALUE"""),FALSE)</f>
        <v>0</v>
      </c>
      <c r="D2" s="147"/>
      <c r="E2" s="147"/>
      <c r="F2" s="147"/>
      <c r="G2" s="148"/>
      <c r="H2" s="77">
        <f>IFERROR(__xludf.DUMMYFUNCTION("""COMPUTED_VALUE"""),0.0)</f>
        <v>0</v>
      </c>
      <c r="I2" s="149"/>
      <c r="J2" s="150"/>
      <c r="K2" s="151">
        <f>IFERROR(__xludf.DUMMYFUNCTION("""COMPUTED_VALUE"""),46041.0)</f>
        <v>46041</v>
      </c>
      <c r="L2" s="70" t="str">
        <f>IFERROR(__xludf.DUMMYFUNCTION("""COMPUTED_VALUE"""),"Monday")</f>
        <v>Monday</v>
      </c>
      <c r="M2" s="147"/>
      <c r="N2" s="152"/>
      <c r="O2" s="153"/>
      <c r="P2" s="154" t="str">
        <f>IFERROR(__xludf.DUMMYFUNCTION("""COMPUTED_VALUE"""),"")</f>
        <v/>
      </c>
      <c r="Q2" s="155"/>
      <c r="R2" s="156" t="str">
        <f>IFERROR(__xludf.DUMMYFUNCTION("""COMPUTED_VALUE"""),"")</f>
        <v/>
      </c>
      <c r="S2" s="157"/>
      <c r="T2" s="158" t="str">
        <f>IFERROR(__xludf.DUMMYFUNCTION("""COMPUTED_VALUE"""),"")</f>
        <v/>
      </c>
      <c r="U2" s="159"/>
      <c r="V2" s="160"/>
      <c r="W2" s="159"/>
      <c r="X2" s="161"/>
      <c r="Y2" s="147"/>
      <c r="Z2" s="162"/>
      <c r="AA2" s="163"/>
      <c r="AB2" s="164"/>
      <c r="AC2" s="165"/>
      <c r="AD2" s="165"/>
      <c r="AE2" s="165"/>
    </row>
    <row r="3">
      <c r="A3" s="109">
        <f>IFERROR(__xludf.DUMMYFUNCTION("""COMPUTED_VALUE"""),46043.62020392361)</f>
        <v>46043.6202</v>
      </c>
      <c r="B3" s="81" t="str">
        <f>IFERROR(__xludf.DUMMYFUNCTION("""COMPUTED_VALUE"""),"Brynn Hornig")</f>
        <v>Brynn Hornig</v>
      </c>
      <c r="C3" s="74" t="b">
        <f>IFERROR(__xludf.DUMMYFUNCTION("""COMPUTED_VALUE"""),FALSE)</f>
        <v>0</v>
      </c>
      <c r="D3" s="137">
        <f>IFERROR(__xludf.DUMMYFUNCTION("""COMPUTED_VALUE"""),0.5208333333357587)</f>
        <v>0.5208333333</v>
      </c>
      <c r="E3" s="82">
        <f>IFERROR(__xludf.DUMMYFUNCTION("""COMPUTED_VALUE"""),0.10416666666424135)</f>
        <v>0.1041666667</v>
      </c>
      <c r="F3" s="137">
        <f>IFERROR(__xludf.DUMMYFUNCTION("""COMPUTED_VALUE"""),0.625)</f>
        <v>0.625</v>
      </c>
      <c r="G3" s="82">
        <f>IFERROR(__xludf.DUMMYFUNCTION("""COMPUTED_VALUE"""),0.10416666666424135)</f>
        <v>0.1041666667</v>
      </c>
      <c r="H3" s="83">
        <f>IFERROR(__xludf.DUMMYFUNCTION("""COMPUTED_VALUE"""),129.0)</f>
        <v>129</v>
      </c>
      <c r="I3" s="84">
        <f>IFERROR(__xludf.DUMMYFUNCTION("""COMPUTED_VALUE"""),51.60000000120141)</f>
        <v>51.6</v>
      </c>
      <c r="J3" s="74" t="str">
        <f>IFERROR(__xludf.DUMMYFUNCTION("""COMPUTED_VALUE"""),"Lunch")</f>
        <v>Lunch</v>
      </c>
      <c r="K3" s="113">
        <f>IFERROR(__xludf.DUMMYFUNCTION("""COMPUTED_VALUE"""),46043.0)</f>
        <v>46043</v>
      </c>
      <c r="L3" s="74" t="str">
        <f>IFERROR(__xludf.DUMMYFUNCTION("""COMPUTED_VALUE"""),"Wednesday")</f>
        <v>Wednesday</v>
      </c>
      <c r="M3" s="74" t="str">
        <f>IFERROR(__xludf.DUMMYFUNCTION("""COMPUTED_VALUE"""),"MF")</f>
        <v>MF</v>
      </c>
      <c r="N3" s="114">
        <f>IFERROR(__xludf.DUMMYFUNCTION("""COMPUTED_VALUE"""),1.0263041280398375)</f>
        <v>1.026304128</v>
      </c>
      <c r="O3" s="74">
        <f>IFERROR(__xludf.DUMMYFUNCTION("""COMPUTED_VALUE"""),129.0)</f>
        <v>129</v>
      </c>
      <c r="P3" s="74" t="str">
        <f>IFERROR(__xludf.DUMMYFUNCTION("""COMPUTED_VALUE"""),"")</f>
        <v/>
      </c>
      <c r="Q3" s="82">
        <f>IFERROR(__xludf.DUMMYFUNCTION("""COMPUTED_VALUE"""),0.10416666666424135)</f>
        <v>0.1041666667</v>
      </c>
      <c r="R3" s="82" t="str">
        <f>IFERROR(__xludf.DUMMYFUNCTION("""COMPUTED_VALUE"""),"")</f>
        <v/>
      </c>
      <c r="S3" s="84">
        <f>IFERROR(__xludf.DUMMYFUNCTION("""COMPUTED_VALUE"""),51.60000000120141)</f>
        <v>51.6</v>
      </c>
      <c r="T3" s="84" t="str">
        <f>IFERROR(__xludf.DUMMYFUNCTION("""COMPUTED_VALUE"""),"")</f>
        <v/>
      </c>
      <c r="U3" s="74">
        <f>IFERROR(__xludf.DUMMYFUNCTION("""COMPUTED_VALUE"""),129.0)</f>
        <v>129</v>
      </c>
      <c r="V3" s="92">
        <f>IFERROR(__xludf.DUMMYFUNCTION("""COMPUTED_VALUE"""),0.10416666666424135)</f>
        <v>0.1041666667</v>
      </c>
      <c r="W3" s="64">
        <f>IFERROR(__xludf.DUMMYFUNCTION("""COMPUTED_VALUE"""),51.60000000120141)</f>
        <v>51.6</v>
      </c>
      <c r="X3" s="84">
        <f>IFERROR(__xludf.DUMMYFUNCTION("""COMPUTED_VALUE"""),51.60000000120141)</f>
        <v>51.6</v>
      </c>
      <c r="Y3" s="114">
        <f>IFERROR(__xludf.DUMMYFUNCTION("""COMPUTED_VALUE"""),1.0212452164565915)</f>
        <v>1.021245216</v>
      </c>
    </row>
    <row r="4">
      <c r="A4" s="109">
        <f>IFERROR(__xludf.DUMMYFUNCTION("""COMPUTED_VALUE"""),46044.77925564814)</f>
        <v>46044.77926</v>
      </c>
      <c r="B4" s="81" t="str">
        <f>IFERROR(__xludf.DUMMYFUNCTION("""COMPUTED_VALUE"""),"Emmett Khan")</f>
        <v>Emmett Khan</v>
      </c>
      <c r="C4" s="74" t="b">
        <f>IFERROR(__xludf.DUMMYFUNCTION("""COMPUTED_VALUE"""),FALSE)</f>
        <v>0</v>
      </c>
      <c r="D4" s="137">
        <f>IFERROR(__xludf.DUMMYFUNCTION("""COMPUTED_VALUE"""),0.7083333333357587)</f>
        <v>0.7083333333</v>
      </c>
      <c r="E4" s="82">
        <f>IFERROR(__xludf.DUMMYFUNCTION("""COMPUTED_VALUE"""),0.07291666666424135)</f>
        <v>0.07291666666</v>
      </c>
      <c r="F4" s="137">
        <f>IFERROR(__xludf.DUMMYFUNCTION("""COMPUTED_VALUE"""),0.78125)</f>
        <v>0.78125</v>
      </c>
      <c r="G4" s="82">
        <f>IFERROR(__xludf.DUMMYFUNCTION("""COMPUTED_VALUE"""),0.07291666666424135)</f>
        <v>0.07291666666</v>
      </c>
      <c r="H4" s="74">
        <f>IFERROR(__xludf.DUMMYFUNCTION("""COMPUTED_VALUE"""),114.0)</f>
        <v>114</v>
      </c>
      <c r="I4" s="84">
        <f>IFERROR(__xludf.DUMMYFUNCTION("""COMPUTED_VALUE"""),65.1428571450239)</f>
        <v>65.14285715</v>
      </c>
      <c r="J4" s="74" t="str">
        <f>IFERROR(__xludf.DUMMYFUNCTION("""COMPUTED_VALUE"""),"Dinner")</f>
        <v>Dinner</v>
      </c>
      <c r="K4" s="113">
        <f>IFERROR(__xludf.DUMMYFUNCTION("""COMPUTED_VALUE"""),46044.0)</f>
        <v>46044</v>
      </c>
      <c r="L4" s="74" t="str">
        <f>IFERROR(__xludf.DUMMYFUNCTION("""COMPUTED_VALUE"""),"Thursday")</f>
        <v>Thursday</v>
      </c>
      <c r="M4" s="74" t="str">
        <f>IFERROR(__xludf.DUMMYFUNCTION("""COMPUTED_VALUE"""),"BF")</f>
        <v>BF</v>
      </c>
      <c r="N4" s="114">
        <f>IFERROR(__xludf.DUMMYFUNCTION("""COMPUTED_VALUE"""),1.4661308001735762)</f>
        <v>1.4661308</v>
      </c>
      <c r="O4" s="74" t="str">
        <f>IFERROR(__xludf.DUMMYFUNCTION("""COMPUTED_VALUE"""),"")</f>
        <v/>
      </c>
      <c r="P4" s="74" t="str">
        <f>IFERROR(__xludf.DUMMYFUNCTION("""COMPUTED_VALUE"""),"")</f>
        <v/>
      </c>
      <c r="Q4" s="82" t="str">
        <f>IFERROR(__xludf.DUMMYFUNCTION("""COMPUTED_VALUE"""),"")</f>
        <v/>
      </c>
      <c r="R4" s="82" t="str">
        <f>IFERROR(__xludf.DUMMYFUNCTION("""COMPUTED_VALUE"""),"")</f>
        <v/>
      </c>
      <c r="S4" s="84" t="str">
        <f>IFERROR(__xludf.DUMMYFUNCTION("""COMPUTED_VALUE"""),"")</f>
        <v/>
      </c>
      <c r="T4" s="84" t="str">
        <f>IFERROR(__xludf.DUMMYFUNCTION("""COMPUTED_VALUE"""),"")</f>
        <v/>
      </c>
      <c r="U4" s="74" t="str">
        <f>IFERROR(__xludf.DUMMYFUNCTION("""COMPUTED_VALUE"""),"")</f>
        <v/>
      </c>
      <c r="V4" s="82" t="str">
        <f>IFERROR(__xludf.DUMMYFUNCTION("""COMPUTED_VALUE"""),"")</f>
        <v/>
      </c>
      <c r="W4" s="64" t="str">
        <f>IFERROR(__xludf.DUMMYFUNCTION("""COMPUTED_VALUE"""),"")</f>
        <v/>
      </c>
      <c r="X4" s="84" t="str">
        <f>IFERROR(__xludf.DUMMYFUNCTION("""COMPUTED_VALUE"""),"")</f>
        <v/>
      </c>
      <c r="Y4" s="114" t="str">
        <f>IFERROR(__xludf.DUMMYFUNCTION("""COMPUTED_VALUE"""),"")</f>
        <v/>
      </c>
    </row>
    <row r="5">
      <c r="A5" s="109">
        <f>IFERROR(__xludf.DUMMYFUNCTION("""COMPUTED_VALUE"""),46044.79840002315)</f>
        <v>46044.7984</v>
      </c>
      <c r="B5" s="81" t="str">
        <f>IFERROR(__xludf.DUMMYFUNCTION("""COMPUTED_VALUE"""),"Orpheus Wilson")</f>
        <v>Orpheus Wilson</v>
      </c>
      <c r="C5" s="74" t="b">
        <f>IFERROR(__xludf.DUMMYFUNCTION("""COMPUTED_VALUE"""),FALSE)</f>
        <v>0</v>
      </c>
      <c r="D5" s="137">
        <f>IFERROR(__xludf.DUMMYFUNCTION("""COMPUTED_VALUE"""),0.7118055555547471)</f>
        <v>0.7118055556</v>
      </c>
      <c r="E5" s="82">
        <f>IFERROR(__xludf.DUMMYFUNCTION("""COMPUTED_VALUE"""),0.07708333332993789)</f>
        <v>0.07708333333</v>
      </c>
      <c r="F5" s="137">
        <f>IFERROR(__xludf.DUMMYFUNCTION("""COMPUTED_VALUE"""),0.788888888884685)</f>
        <v>0.7888888889</v>
      </c>
      <c r="G5" s="82">
        <f>IFERROR(__xludf.DUMMYFUNCTION("""COMPUTED_VALUE"""),0.07708333332993789)</f>
        <v>0.07708333333</v>
      </c>
      <c r="H5" s="74">
        <f>IFERROR(__xludf.DUMMYFUNCTION("""COMPUTED_VALUE"""),104.0)</f>
        <v>104</v>
      </c>
      <c r="I5" s="84">
        <f>IFERROR(__xludf.DUMMYFUNCTION("""COMPUTED_VALUE"""),56.21621621869249)</f>
        <v>56.21621622</v>
      </c>
      <c r="J5" s="74" t="str">
        <f>IFERROR(__xludf.DUMMYFUNCTION("""COMPUTED_VALUE"""),"Dinner")</f>
        <v>Dinner</v>
      </c>
      <c r="K5" s="113">
        <f>IFERROR(__xludf.DUMMYFUNCTION("""COMPUTED_VALUE"""),46044.0)</f>
        <v>46044</v>
      </c>
      <c r="L5" s="74" t="str">
        <f>IFERROR(__xludf.DUMMYFUNCTION("""COMPUTED_VALUE"""),"Thursday")</f>
        <v>Thursday</v>
      </c>
      <c r="M5" s="74" t="str">
        <f>IFERROR(__xludf.DUMMYFUNCTION("""COMPUTED_VALUE"""),"MF")</f>
        <v>MF</v>
      </c>
      <c r="N5" s="114">
        <f>IFERROR(__xludf.DUMMYFUNCTION("""COMPUTED_VALUE"""),1.212087197184011)</f>
        <v>1.212087197</v>
      </c>
      <c r="O5" s="74">
        <f>IFERROR(__xludf.DUMMYFUNCTION("""COMPUTED_VALUE"""),104.0)</f>
        <v>104</v>
      </c>
      <c r="P5" s="74">
        <f>IFERROR(__xludf.DUMMYFUNCTION("""COMPUTED_VALUE"""),114.0)</f>
        <v>114</v>
      </c>
      <c r="Q5" s="82">
        <f>IFERROR(__xludf.DUMMYFUNCTION("""COMPUTED_VALUE"""),0.07708333332993789)</f>
        <v>0.07708333333</v>
      </c>
      <c r="R5" s="82">
        <f>IFERROR(__xludf.DUMMYFUNCTION("""COMPUTED_VALUE"""),0.07291666666424135)</f>
        <v>0.07291666666</v>
      </c>
      <c r="S5" s="84">
        <f>IFERROR(__xludf.DUMMYFUNCTION("""COMPUTED_VALUE"""),56.21621621869249)</f>
        <v>56.21621622</v>
      </c>
      <c r="T5" s="84">
        <f>IFERROR(__xludf.DUMMYFUNCTION("""COMPUTED_VALUE"""),65.1428571450239)</f>
        <v>65.14285715</v>
      </c>
      <c r="U5" s="74">
        <f>IFERROR(__xludf.DUMMYFUNCTION("""COMPUTED_VALUE"""),218.0)</f>
        <v>218</v>
      </c>
      <c r="V5" s="82">
        <f>IFERROR(__xludf.DUMMYFUNCTION("""COMPUTED_VALUE"""),0.14999999999417923)</f>
        <v>0.15</v>
      </c>
      <c r="W5" s="64">
        <f>IFERROR(__xludf.DUMMYFUNCTION("""COMPUTED_VALUE"""),60.55555555790542)</f>
        <v>60.55555556</v>
      </c>
      <c r="X5" s="84">
        <f>IFERROR(__xludf.DUMMYFUNCTION("""COMPUTED_VALUE"""),60.679536681858195)</f>
        <v>60.67953668</v>
      </c>
      <c r="Y5" s="114">
        <f>IFERROR(__xludf.DUMMYFUNCTION("""COMPUTED_VALUE"""),1.085239039904772)</f>
        <v>1.08523904</v>
      </c>
    </row>
    <row r="6">
      <c r="A6" s="109">
        <f>IFERROR(__xludf.DUMMYFUNCTION("""COMPUTED_VALUE"""),46045.61947065972)</f>
        <v>46045.61947</v>
      </c>
      <c r="B6" s="81" t="str">
        <f>IFERROR(__xludf.DUMMYFUNCTION("""COMPUTED_VALUE"""),"Oluwatimilehin Shodipe")</f>
        <v>Oluwatimilehin Shodipe</v>
      </c>
      <c r="C6" s="74" t="b">
        <f>IFERROR(__xludf.DUMMYFUNCTION("""COMPUTED_VALUE"""),FALSE)</f>
        <v>0</v>
      </c>
      <c r="D6" s="137">
        <f>IFERROR(__xludf.DUMMYFUNCTION("""COMPUTED_VALUE"""),0.5048611111124046)</f>
        <v>0.5048611111</v>
      </c>
      <c r="E6" s="82">
        <f>IFERROR(__xludf.DUMMYFUNCTION("""COMPUTED_VALUE"""),0.12013888888759539)</f>
        <v>0.1201388889</v>
      </c>
      <c r="F6" s="137">
        <f>IFERROR(__xludf.DUMMYFUNCTION("""COMPUTED_VALUE"""),0.625)</f>
        <v>0.625</v>
      </c>
      <c r="G6" s="82">
        <f>IFERROR(__xludf.DUMMYFUNCTION("""COMPUTED_VALUE"""),0.12013888888759539)</f>
        <v>0.1201388889</v>
      </c>
      <c r="H6" s="74">
        <f>IFERROR(__xludf.DUMMYFUNCTION("""COMPUTED_VALUE"""),143.0)</f>
        <v>143</v>
      </c>
      <c r="I6" s="84">
        <f>IFERROR(__xludf.DUMMYFUNCTION("""COMPUTED_VALUE"""),49.59537572307733)</f>
        <v>49.59537572</v>
      </c>
      <c r="J6" s="74" t="str">
        <f>IFERROR(__xludf.DUMMYFUNCTION("""COMPUTED_VALUE"""),"Lunch")</f>
        <v>Lunch</v>
      </c>
      <c r="K6" s="113">
        <f>IFERROR(__xludf.DUMMYFUNCTION("""COMPUTED_VALUE"""),46045.0)</f>
        <v>46045</v>
      </c>
      <c r="L6" s="74" t="str">
        <f>IFERROR(__xludf.DUMMYFUNCTION("""COMPUTED_VALUE"""),"Friday")</f>
        <v>Friday</v>
      </c>
      <c r="M6" s="74" t="str">
        <f>IFERROR(__xludf.DUMMYFUNCTION("""COMPUTED_VALUE"""),"MF")</f>
        <v>MF</v>
      </c>
      <c r="N6" s="114">
        <f>IFERROR(__xludf.DUMMYFUNCTION("""COMPUTED_VALUE"""),0.9864329231607731)</f>
        <v>0.9864329232</v>
      </c>
      <c r="O6" s="74">
        <f>IFERROR(__xludf.DUMMYFUNCTION("""COMPUTED_VALUE"""),143.0)</f>
        <v>143</v>
      </c>
      <c r="P6" s="74" t="str">
        <f>IFERROR(__xludf.DUMMYFUNCTION("""COMPUTED_VALUE"""),"")</f>
        <v/>
      </c>
      <c r="Q6" s="82">
        <f>IFERROR(__xludf.DUMMYFUNCTION("""COMPUTED_VALUE"""),0.12013888888759539)</f>
        <v>0.1201388889</v>
      </c>
      <c r="R6" s="82" t="str">
        <f>IFERROR(__xludf.DUMMYFUNCTION("""COMPUTED_VALUE"""),"")</f>
        <v/>
      </c>
      <c r="S6" s="84">
        <f>IFERROR(__xludf.DUMMYFUNCTION("""COMPUTED_VALUE"""),49.59537572307733)</f>
        <v>49.59537572</v>
      </c>
      <c r="T6" s="84" t="str">
        <f>IFERROR(__xludf.DUMMYFUNCTION("""COMPUTED_VALUE"""),"")</f>
        <v/>
      </c>
      <c r="U6" s="74">
        <f>IFERROR(__xludf.DUMMYFUNCTION("""COMPUTED_VALUE"""),143.0)</f>
        <v>143</v>
      </c>
      <c r="V6" s="82">
        <f>IFERROR(__xludf.DUMMYFUNCTION("""COMPUTED_VALUE"""),0.12013888888759539)</f>
        <v>0.1201388889</v>
      </c>
      <c r="W6" s="64">
        <f>IFERROR(__xludf.DUMMYFUNCTION("""COMPUTED_VALUE"""),49.59537572307733)</f>
        <v>49.59537572</v>
      </c>
      <c r="X6" s="84">
        <f>IFERROR(__xludf.DUMMYFUNCTION("""COMPUTED_VALUE"""),49.59537572307733)</f>
        <v>49.59537572</v>
      </c>
      <c r="Y6" s="114">
        <f>IFERROR(__xludf.DUMMYFUNCTION("""COMPUTED_VALUE"""),0.9815705467903261)</f>
        <v>0.9815705468</v>
      </c>
    </row>
    <row r="7">
      <c r="A7" s="109">
        <f>IFERROR(__xludf.DUMMYFUNCTION("""COMPUTED_VALUE"""),46049.86973208333)</f>
        <v>46049.86973</v>
      </c>
      <c r="B7" s="81" t="str">
        <f>IFERROR(__xludf.DUMMYFUNCTION("""COMPUTED_VALUE"""),"Laila Maisuria")</f>
        <v>Laila Maisuria</v>
      </c>
      <c r="C7" s="74" t="b">
        <f>IFERROR(__xludf.DUMMYFUNCTION("""COMPUTED_VALUE"""),FALSE)</f>
        <v>0</v>
      </c>
      <c r="D7" s="137">
        <f>IFERROR(__xludf.DUMMYFUNCTION("""COMPUTED_VALUE"""),0.7527777777795563)</f>
        <v>0.7527777778</v>
      </c>
      <c r="E7" s="82">
        <f>IFERROR(__xludf.DUMMYFUNCTION("""COMPUTED_VALUE"""),0.11458333333575865)</f>
        <v>0.1145833333</v>
      </c>
      <c r="F7" s="137">
        <f>IFERROR(__xludf.DUMMYFUNCTION("""COMPUTED_VALUE"""),0.867361111115315)</f>
        <v>0.8673611111</v>
      </c>
      <c r="G7" s="82">
        <f>IFERROR(__xludf.DUMMYFUNCTION("""COMPUTED_VALUE"""),0.11458333333575865)</f>
        <v>0.1145833333</v>
      </c>
      <c r="H7" s="74">
        <f>IFERROR(__xludf.DUMMYFUNCTION("""COMPUTED_VALUE"""),134.0)</f>
        <v>134</v>
      </c>
      <c r="I7" s="84">
        <f>IFERROR(__xludf.DUMMYFUNCTION("""COMPUTED_VALUE"""),48.727272726241345)</f>
        <v>48.72727273</v>
      </c>
      <c r="J7" s="74" t="str">
        <f>IFERROR(__xludf.DUMMYFUNCTION("""COMPUTED_VALUE"""),"Dinner")</f>
        <v>Dinner</v>
      </c>
      <c r="K7" s="113">
        <f>IFERROR(__xludf.DUMMYFUNCTION("""COMPUTED_VALUE"""),46049.0)</f>
        <v>46049</v>
      </c>
      <c r="L7" s="74" t="str">
        <f>IFERROR(__xludf.DUMMYFUNCTION("""COMPUTED_VALUE"""),"Tuesday")</f>
        <v>Tuesday</v>
      </c>
      <c r="M7" s="74" t="str">
        <f>IFERROR(__xludf.DUMMYFUNCTION("""COMPUTED_VALUE"""),"MF")</f>
        <v>MF</v>
      </c>
      <c r="N7" s="114">
        <f>IFERROR(__xludf.DUMMYFUNCTION("""COMPUTED_VALUE"""),1.0506168397283937)</f>
        <v>1.05061684</v>
      </c>
      <c r="O7" s="74">
        <f>IFERROR(__xludf.DUMMYFUNCTION("""COMPUTED_VALUE"""),134.0)</f>
        <v>134</v>
      </c>
      <c r="P7" s="74" t="str">
        <f>IFERROR(__xludf.DUMMYFUNCTION("""COMPUTED_VALUE"""),"")</f>
        <v/>
      </c>
      <c r="Q7" s="82">
        <f>IFERROR(__xludf.DUMMYFUNCTION("""COMPUTED_VALUE"""),0.11458333333575865)</f>
        <v>0.1145833333</v>
      </c>
      <c r="R7" s="82" t="str">
        <f>IFERROR(__xludf.DUMMYFUNCTION("""COMPUTED_VALUE"""),"")</f>
        <v/>
      </c>
      <c r="S7" s="84">
        <f>IFERROR(__xludf.DUMMYFUNCTION("""COMPUTED_VALUE"""),48.727272726241345)</f>
        <v>48.72727273</v>
      </c>
      <c r="T7" s="84" t="str">
        <f>IFERROR(__xludf.DUMMYFUNCTION("""COMPUTED_VALUE"""),"")</f>
        <v/>
      </c>
      <c r="U7" s="74">
        <f>IFERROR(__xludf.DUMMYFUNCTION("""COMPUTED_VALUE"""),134.0)</f>
        <v>134</v>
      </c>
      <c r="V7" s="82">
        <f>IFERROR(__xludf.DUMMYFUNCTION("""COMPUTED_VALUE"""),0.11458333333575865)</f>
        <v>0.1145833333</v>
      </c>
      <c r="W7" s="64">
        <f>IFERROR(__xludf.DUMMYFUNCTION("""COMPUTED_VALUE"""),48.727272726241345)</f>
        <v>48.72727273</v>
      </c>
      <c r="X7" s="84">
        <f>IFERROR(__xludf.DUMMYFUNCTION("""COMPUTED_VALUE"""),48.727272726241345)</f>
        <v>48.72727273</v>
      </c>
      <c r="Y7" s="114">
        <f>IFERROR(__xludf.DUMMYFUNCTION("""COMPUTED_VALUE"""),0.8714756499848866)</f>
        <v>0.87147565</v>
      </c>
    </row>
    <row r="8">
      <c r="A8" s="109">
        <f>IFERROR(__xludf.DUMMYFUNCTION("""COMPUTED_VALUE"""),46050.47128442129)</f>
        <v>46050.47128</v>
      </c>
      <c r="B8" s="81" t="str">
        <f>IFERROR(__xludf.DUMMYFUNCTION("""COMPUTED_VALUE"""),"Kaylie Forgue")</f>
        <v>Kaylie Forgue</v>
      </c>
      <c r="C8" s="74" t="b">
        <f>IFERROR(__xludf.DUMMYFUNCTION("""COMPUTED_VALUE"""),FALSE)</f>
        <v>0</v>
      </c>
      <c r="D8" s="137">
        <f>IFERROR(__xludf.DUMMYFUNCTION("""COMPUTED_VALUE"""),0.30902777778101154)</f>
        <v>0.3090277778</v>
      </c>
      <c r="E8" s="82">
        <f>IFERROR(__xludf.DUMMYFUNCTION("""COMPUTED_VALUE"""),0.11597222222189885)</f>
        <v>0.1159722222</v>
      </c>
      <c r="F8" s="137">
        <f>IFERROR(__xludf.DUMMYFUNCTION("""COMPUTED_VALUE"""),0.4250000000029104)</f>
        <v>0.425</v>
      </c>
      <c r="G8" s="82">
        <f>IFERROR(__xludf.DUMMYFUNCTION("""COMPUTED_VALUE"""),0.11597222222189885)</f>
        <v>0.1159722222</v>
      </c>
      <c r="H8" s="74">
        <f>IFERROR(__xludf.DUMMYFUNCTION("""COMPUTED_VALUE"""),115.0)</f>
        <v>115</v>
      </c>
      <c r="I8" s="84">
        <f>IFERROR(__xludf.DUMMYFUNCTION("""COMPUTED_VALUE"""),41.317365269576285)</f>
        <v>41.31736527</v>
      </c>
      <c r="J8" s="74" t="str">
        <f>IFERROR(__xludf.DUMMYFUNCTION("""COMPUTED_VALUE"""),"Breakfast")</f>
        <v>Breakfast</v>
      </c>
      <c r="K8" s="113">
        <f>IFERROR(__xludf.DUMMYFUNCTION("""COMPUTED_VALUE"""),46050.0)</f>
        <v>46050</v>
      </c>
      <c r="L8" s="74" t="str">
        <f>IFERROR(__xludf.DUMMYFUNCTION("""COMPUTED_VALUE"""),"Wednesday")</f>
        <v>Wednesday</v>
      </c>
      <c r="M8" s="74" t="str">
        <f>IFERROR(__xludf.DUMMYFUNCTION("""COMPUTED_VALUE"""),"BF")</f>
        <v>BF</v>
      </c>
      <c r="N8" s="114">
        <f>IFERROR(__xludf.DUMMYFUNCTION("""COMPUTED_VALUE"""),1.457369274312108)</f>
        <v>1.457369274</v>
      </c>
      <c r="O8" s="74" t="str">
        <f>IFERROR(__xludf.DUMMYFUNCTION("""COMPUTED_VALUE"""),"")</f>
        <v/>
      </c>
      <c r="P8" s="74" t="str">
        <f>IFERROR(__xludf.DUMMYFUNCTION("""COMPUTED_VALUE"""),"")</f>
        <v/>
      </c>
      <c r="Q8" s="82" t="str">
        <f>IFERROR(__xludf.DUMMYFUNCTION("""COMPUTED_VALUE"""),"")</f>
        <v/>
      </c>
      <c r="R8" s="82" t="str">
        <f>IFERROR(__xludf.DUMMYFUNCTION("""COMPUTED_VALUE"""),"")</f>
        <v/>
      </c>
      <c r="S8" s="84" t="str">
        <f>IFERROR(__xludf.DUMMYFUNCTION("""COMPUTED_VALUE"""),"")</f>
        <v/>
      </c>
      <c r="T8" s="84" t="str">
        <f>IFERROR(__xludf.DUMMYFUNCTION("""COMPUTED_VALUE"""),"")</f>
        <v/>
      </c>
      <c r="U8" s="74" t="str">
        <f>IFERROR(__xludf.DUMMYFUNCTION("""COMPUTED_VALUE"""),"")</f>
        <v/>
      </c>
      <c r="V8" s="82" t="str">
        <f>IFERROR(__xludf.DUMMYFUNCTION("""COMPUTED_VALUE"""),"")</f>
        <v/>
      </c>
      <c r="W8" s="64" t="str">
        <f>IFERROR(__xludf.DUMMYFUNCTION("""COMPUTED_VALUE"""),"")</f>
        <v/>
      </c>
      <c r="X8" s="84" t="str">
        <f>IFERROR(__xludf.DUMMYFUNCTION("""COMPUTED_VALUE"""),"")</f>
        <v/>
      </c>
      <c r="Y8" s="114" t="str">
        <f>IFERROR(__xludf.DUMMYFUNCTION("""COMPUTED_VALUE"""),"")</f>
        <v/>
      </c>
    </row>
    <row r="9">
      <c r="A9" s="109">
        <f>IFERROR(__xludf.DUMMYFUNCTION("""COMPUTED_VALUE"""),46050.50898162037)</f>
        <v>46050.50898</v>
      </c>
      <c r="B9" s="81" t="str">
        <f>IFERROR(__xludf.DUMMYFUNCTION("""COMPUTED_VALUE"""),"Oluwatimilehin Shodipe")</f>
        <v>Oluwatimilehin Shodipe</v>
      </c>
      <c r="C9" s="74" t="b">
        <f>IFERROR(__xludf.DUMMYFUNCTION("""COMPUTED_VALUE"""),FALSE)</f>
        <v>0</v>
      </c>
      <c r="D9" s="137">
        <f>IFERROR(__xludf.DUMMYFUNCTION("""COMPUTED_VALUE"""),0.4437499999985448)</f>
        <v>0.44375</v>
      </c>
      <c r="E9" s="82">
        <f>IFERROR(__xludf.DUMMYFUNCTION("""COMPUTED_VALUE"""),0.06666666666569654)</f>
        <v>0.06666666667</v>
      </c>
      <c r="F9" s="137">
        <f>IFERROR(__xludf.DUMMYFUNCTION("""COMPUTED_VALUE"""),0.5104166666642413)</f>
        <v>0.5104166667</v>
      </c>
      <c r="G9" s="82">
        <f>IFERROR(__xludf.DUMMYFUNCTION("""COMPUTED_VALUE"""),0.06666666666569654)</f>
        <v>0.06666666667</v>
      </c>
      <c r="H9" s="74">
        <f>IFERROR(__xludf.DUMMYFUNCTION("""COMPUTED_VALUE"""),72.0)</f>
        <v>72</v>
      </c>
      <c r="I9" s="84">
        <f>IFERROR(__xludf.DUMMYFUNCTION("""COMPUTED_VALUE"""),45.000000000654836)</f>
        <v>45</v>
      </c>
      <c r="J9" s="74" t="str">
        <f>IFERROR(__xludf.DUMMYFUNCTION("""COMPUTED_VALUE"""),"Breakfast/Lunch")</f>
        <v>Breakfast/Lunch</v>
      </c>
      <c r="K9" s="113">
        <f>IFERROR(__xludf.DUMMYFUNCTION("""COMPUTED_VALUE"""),46050.0)</f>
        <v>46050</v>
      </c>
      <c r="L9" s="74" t="str">
        <f>IFERROR(__xludf.DUMMYFUNCTION("""COMPUTED_VALUE"""),"Wednesday")</f>
        <v>Wednesday</v>
      </c>
      <c r="M9" s="74" t="str">
        <f>IFERROR(__xludf.DUMMYFUNCTION("""COMPUTED_VALUE"""),"BF")</f>
        <v>BF</v>
      </c>
      <c r="N9" s="114">
        <f>IFERROR(__xludf.DUMMYFUNCTION("""COMPUTED_VALUE"""),1.40858370706353)</f>
        <v>1.408583707</v>
      </c>
      <c r="O9" s="74" t="str">
        <f>IFERROR(__xludf.DUMMYFUNCTION("""COMPUTED_VALUE"""),"")</f>
        <v/>
      </c>
      <c r="P9" s="74" t="str">
        <f>IFERROR(__xludf.DUMMYFUNCTION("""COMPUTED_VALUE"""),"")</f>
        <v/>
      </c>
      <c r="Q9" s="82" t="str">
        <f>IFERROR(__xludf.DUMMYFUNCTION("""COMPUTED_VALUE"""),"")</f>
        <v/>
      </c>
      <c r="R9" s="82" t="str">
        <f>IFERROR(__xludf.DUMMYFUNCTION("""COMPUTED_VALUE"""),"")</f>
        <v/>
      </c>
      <c r="S9" s="84" t="str">
        <f>IFERROR(__xludf.DUMMYFUNCTION("""COMPUTED_VALUE"""),"")</f>
        <v/>
      </c>
      <c r="T9" s="84" t="str">
        <f>IFERROR(__xludf.DUMMYFUNCTION("""COMPUTED_VALUE"""),"")</f>
        <v/>
      </c>
      <c r="U9" s="74" t="str">
        <f>IFERROR(__xludf.DUMMYFUNCTION("""COMPUTED_VALUE"""),"")</f>
        <v/>
      </c>
      <c r="V9" s="82" t="str">
        <f>IFERROR(__xludf.DUMMYFUNCTION("""COMPUTED_VALUE"""),"")</f>
        <v/>
      </c>
      <c r="W9" s="64" t="str">
        <f>IFERROR(__xludf.DUMMYFUNCTION("""COMPUTED_VALUE"""),"")</f>
        <v/>
      </c>
      <c r="X9" s="84" t="str">
        <f>IFERROR(__xludf.DUMMYFUNCTION("""COMPUTED_VALUE"""),"")</f>
        <v/>
      </c>
      <c r="Y9" s="114" t="str">
        <f>IFERROR(__xludf.DUMMYFUNCTION("""COMPUTED_VALUE"""),"")</f>
        <v/>
      </c>
    </row>
    <row r="10">
      <c r="A10" s="109">
        <f>IFERROR(__xludf.DUMMYFUNCTION("""COMPUTED_VALUE"""),46050.84860915509)</f>
        <v>46050.84861</v>
      </c>
      <c r="B10" s="81" t="str">
        <f>IFERROR(__xludf.DUMMYFUNCTION("""COMPUTED_VALUE"""),"Maureen Surgot")</f>
        <v>Maureen Surgot</v>
      </c>
      <c r="C10" s="74" t="b">
        <f>IFERROR(__xludf.DUMMYFUNCTION("""COMPUTED_VALUE"""),FALSE)</f>
        <v>0</v>
      </c>
      <c r="D10" s="137">
        <f>IFERROR(__xludf.DUMMYFUNCTION("""COMPUTED_VALUE"""),0.6875)</f>
        <v>0.6875</v>
      </c>
      <c r="E10" s="82">
        <f>IFERROR(__xludf.DUMMYFUNCTION("""COMPUTED_VALUE"""),0.16666666666424135)</f>
        <v>0.1666666667</v>
      </c>
      <c r="F10" s="137">
        <f>IFERROR(__xludf.DUMMYFUNCTION("""COMPUTED_VALUE"""),0.8541666666642413)</f>
        <v>0.8541666667</v>
      </c>
      <c r="G10" s="82">
        <f>IFERROR(__xludf.DUMMYFUNCTION("""COMPUTED_VALUE"""),0.16666666666424135)</f>
        <v>0.1666666667</v>
      </c>
      <c r="H10" s="74">
        <f>IFERROR(__xludf.DUMMYFUNCTION("""COMPUTED_VALUE"""),258.0)</f>
        <v>258</v>
      </c>
      <c r="I10" s="84">
        <f>IFERROR(__xludf.DUMMYFUNCTION("""COMPUTED_VALUE"""),64.5000000009386)</f>
        <v>64.5</v>
      </c>
      <c r="J10" s="74" t="str">
        <f>IFERROR(__xludf.DUMMYFUNCTION("""COMPUTED_VALUE"""),"Dinner")</f>
        <v>Dinner</v>
      </c>
      <c r="K10" s="113">
        <f>IFERROR(__xludf.DUMMYFUNCTION("""COMPUTED_VALUE"""),46050.0)</f>
        <v>46050</v>
      </c>
      <c r="L10" s="74" t="str">
        <f>IFERROR(__xludf.DUMMYFUNCTION("""COMPUTED_VALUE"""),"Wednesday")</f>
        <v>Wednesday</v>
      </c>
      <c r="M10" s="74" t="str">
        <f>IFERROR(__xludf.DUMMYFUNCTION("""COMPUTED_VALUE"""),"BF")</f>
        <v>BF</v>
      </c>
      <c r="N10" s="114">
        <f>IFERROR(__xludf.DUMMYFUNCTION("""COMPUTED_VALUE"""),1.4516624040920716)</f>
        <v>1.451662404</v>
      </c>
      <c r="O10" s="74" t="str">
        <f>IFERROR(__xludf.DUMMYFUNCTION("""COMPUTED_VALUE"""),"")</f>
        <v/>
      </c>
      <c r="P10" s="74" t="str">
        <f>IFERROR(__xludf.DUMMYFUNCTION("""COMPUTED_VALUE"""),"")</f>
        <v/>
      </c>
      <c r="Q10" s="82" t="str">
        <f>IFERROR(__xludf.DUMMYFUNCTION("""COMPUTED_VALUE"""),"")</f>
        <v/>
      </c>
      <c r="R10" s="82" t="str">
        <f>IFERROR(__xludf.DUMMYFUNCTION("""COMPUTED_VALUE"""),"")</f>
        <v/>
      </c>
      <c r="S10" s="84" t="str">
        <f>IFERROR(__xludf.DUMMYFUNCTION("""COMPUTED_VALUE"""),"")</f>
        <v/>
      </c>
      <c r="T10" s="84" t="str">
        <f>IFERROR(__xludf.DUMMYFUNCTION("""COMPUTED_VALUE"""),"")</f>
        <v/>
      </c>
      <c r="U10" s="74" t="str">
        <f>IFERROR(__xludf.DUMMYFUNCTION("""COMPUTED_VALUE"""),"")</f>
        <v/>
      </c>
      <c r="V10" s="82" t="str">
        <f>IFERROR(__xludf.DUMMYFUNCTION("""COMPUTED_VALUE"""),"")</f>
        <v/>
      </c>
      <c r="W10" s="64" t="str">
        <f>IFERROR(__xludf.DUMMYFUNCTION("""COMPUTED_VALUE"""),"")</f>
        <v/>
      </c>
      <c r="X10" s="84" t="str">
        <f>IFERROR(__xludf.DUMMYFUNCTION("""COMPUTED_VALUE"""),"")</f>
        <v/>
      </c>
      <c r="Y10" s="114" t="str">
        <f>IFERROR(__xludf.DUMMYFUNCTION("""COMPUTED_VALUE"""),"")</f>
        <v/>
      </c>
    </row>
    <row r="11">
      <c r="A11" s="109">
        <f>IFERROR(__xludf.DUMMYFUNCTION("""COMPUTED_VALUE"""),46050.87090170139)</f>
        <v>46050.8709</v>
      </c>
      <c r="B11" s="81" t="str">
        <f>IFERROR(__xludf.DUMMYFUNCTION("""COMPUTED_VALUE"""),"Brynn Hornig")</f>
        <v>Brynn Hornig</v>
      </c>
      <c r="C11" s="74" t="b">
        <f>IFERROR(__xludf.DUMMYFUNCTION("""COMPUTED_VALUE"""),FALSE)</f>
        <v>0</v>
      </c>
      <c r="D11" s="137">
        <f>IFERROR(__xludf.DUMMYFUNCTION("""COMPUTED_VALUE"""),0.75)</f>
        <v>0.75</v>
      </c>
      <c r="E11" s="82">
        <f>IFERROR(__xludf.DUMMYFUNCTION("""COMPUTED_VALUE"""),0.125)</f>
        <v>0.125</v>
      </c>
      <c r="F11" s="137">
        <f>IFERROR(__xludf.DUMMYFUNCTION("""COMPUTED_VALUE"""),0.875)</f>
        <v>0.875</v>
      </c>
      <c r="G11" s="82">
        <f>IFERROR(__xludf.DUMMYFUNCTION("""COMPUTED_VALUE"""),0.125)</f>
        <v>0.125</v>
      </c>
      <c r="H11" s="74">
        <f>IFERROR(__xludf.DUMMYFUNCTION("""COMPUTED_VALUE"""),130.0)</f>
        <v>130</v>
      </c>
      <c r="I11" s="84">
        <f>IFERROR(__xludf.DUMMYFUNCTION("""COMPUTED_VALUE"""),43.333333333333336)</f>
        <v>43.33333333</v>
      </c>
      <c r="J11" s="74" t="str">
        <f>IFERROR(__xludf.DUMMYFUNCTION("""COMPUTED_VALUE"""),"Dinner")</f>
        <v>Dinner</v>
      </c>
      <c r="K11" s="113">
        <f>IFERROR(__xludf.DUMMYFUNCTION("""COMPUTED_VALUE"""),46050.0)</f>
        <v>46050</v>
      </c>
      <c r="L11" s="74" t="str">
        <f>IFERROR(__xludf.DUMMYFUNCTION("""COMPUTED_VALUE"""),"Wednesday")</f>
        <v>Wednesday</v>
      </c>
      <c r="M11" s="74" t="str">
        <f>IFERROR(__xludf.DUMMYFUNCTION("""COMPUTED_VALUE"""),"MF")</f>
        <v>MF</v>
      </c>
      <c r="N11" s="114">
        <f>IFERROR(__xludf.DUMMYFUNCTION("""COMPUTED_VALUE"""),0.9343172144548527)</f>
        <v>0.9343172145</v>
      </c>
      <c r="O11" s="74">
        <f>IFERROR(__xludf.DUMMYFUNCTION("""COMPUTED_VALUE"""),130.0)</f>
        <v>130</v>
      </c>
      <c r="P11" s="74">
        <f>IFERROR(__xludf.DUMMYFUNCTION("""COMPUTED_VALUE"""),445.0)</f>
        <v>445</v>
      </c>
      <c r="Q11" s="82">
        <f>IFERROR(__xludf.DUMMYFUNCTION("""COMPUTED_VALUE"""),0.125)</f>
        <v>0.125</v>
      </c>
      <c r="R11" s="82">
        <f>IFERROR(__xludf.DUMMYFUNCTION("""COMPUTED_VALUE"""),0.34930555555183673)</f>
        <v>0.3493055556</v>
      </c>
      <c r="S11" s="84">
        <f>IFERROR(__xludf.DUMMYFUNCTION("""COMPUTED_VALUE"""),43.333333333333336)</f>
        <v>43.33333333</v>
      </c>
      <c r="T11" s="84">
        <f>IFERROR(__xludf.DUMMYFUNCTION("""COMPUTED_VALUE"""),50.272455090389904)</f>
        <v>50.27245509</v>
      </c>
      <c r="U11" s="74">
        <f>IFERROR(__xludf.DUMMYFUNCTION("""COMPUTED_VALUE"""),575.0)</f>
        <v>575</v>
      </c>
      <c r="V11" s="82">
        <f>IFERROR(__xludf.DUMMYFUNCTION("""COMPUTED_VALUE"""),0.47430555555183673)</f>
        <v>0.4743055556</v>
      </c>
      <c r="W11" s="64">
        <f>IFERROR(__xludf.DUMMYFUNCTION("""COMPUTED_VALUE"""),50.51244509556442)</f>
        <v>50.5124451</v>
      </c>
      <c r="X11" s="84">
        <f>IFERROR(__xludf.DUMMYFUNCTION("""COMPUTED_VALUE"""),48.53767465112576)</f>
        <v>48.53767465</v>
      </c>
      <c r="Y11" s="114">
        <f>IFERROR(__xludf.DUMMYFUNCTION("""COMPUTED_VALUE"""),0.9881647096147397)</f>
        <v>0.9881647096</v>
      </c>
    </row>
    <row r="12">
      <c r="A12" s="109">
        <f>IFERROR(__xludf.DUMMYFUNCTION("""COMPUTED_VALUE"""),46051.53061296296)</f>
        <v>46051.53061</v>
      </c>
      <c r="B12" s="81" t="str">
        <f>IFERROR(__xludf.DUMMYFUNCTION("""COMPUTED_VALUE"""),"Emmett Khan")</f>
        <v>Emmett Khan</v>
      </c>
      <c r="C12" s="74" t="b">
        <f>IFERROR(__xludf.DUMMYFUNCTION("""COMPUTED_VALUE"""),FALSE)</f>
        <v>0</v>
      </c>
      <c r="D12" s="137">
        <f>IFERROR(__xludf.DUMMYFUNCTION("""COMPUTED_VALUE"""),0.47916666666424135)</f>
        <v>0.4791666667</v>
      </c>
      <c r="E12" s="82">
        <f>IFERROR(__xludf.DUMMYFUNCTION("""COMPUTED_VALUE"""),0.04930555555620231)</f>
        <v>0.04930555556</v>
      </c>
      <c r="F12" s="137">
        <f>IFERROR(__xludf.DUMMYFUNCTION("""COMPUTED_VALUE"""),0.5284722222204437)</f>
        <v>0.5284722222</v>
      </c>
      <c r="G12" s="82">
        <f>IFERROR(__xludf.DUMMYFUNCTION("""COMPUTED_VALUE"""),0.04930555555620231)</f>
        <v>0.04930555556</v>
      </c>
      <c r="H12" s="74">
        <f>IFERROR(__xludf.DUMMYFUNCTION("""COMPUTED_VALUE"""),33.0)</f>
        <v>33</v>
      </c>
      <c r="I12" s="84">
        <f>IFERROR(__xludf.DUMMYFUNCTION("""COMPUTED_VALUE"""),27.887323943296167)</f>
        <v>27.88732394</v>
      </c>
      <c r="J12" s="74" t="str">
        <f>IFERROR(__xludf.DUMMYFUNCTION("""COMPUTED_VALUE"""),"Lunch")</f>
        <v>Lunch</v>
      </c>
      <c r="K12" s="113">
        <f>IFERROR(__xludf.DUMMYFUNCTION("""COMPUTED_VALUE"""),46051.0)</f>
        <v>46051</v>
      </c>
      <c r="L12" s="74" t="str">
        <f>IFERROR(__xludf.DUMMYFUNCTION("""COMPUTED_VALUE"""),"Thursday")</f>
        <v>Thursday</v>
      </c>
      <c r="M12" s="74" t="str">
        <f>IFERROR(__xludf.DUMMYFUNCTION("""COMPUTED_VALUE"""),"BF")</f>
        <v>BF</v>
      </c>
      <c r="N12" s="114">
        <f>IFERROR(__xludf.DUMMYFUNCTION("""COMPUTED_VALUE"""),0.9836573264673951)</f>
        <v>0.9836573265</v>
      </c>
      <c r="O12" s="74" t="str">
        <f>IFERROR(__xludf.DUMMYFUNCTION("""COMPUTED_VALUE"""),"")</f>
        <v/>
      </c>
      <c r="P12" s="74" t="str">
        <f>IFERROR(__xludf.DUMMYFUNCTION("""COMPUTED_VALUE"""),"")</f>
        <v/>
      </c>
      <c r="Q12" s="82" t="str">
        <f>IFERROR(__xludf.DUMMYFUNCTION("""COMPUTED_VALUE"""),"")</f>
        <v/>
      </c>
      <c r="R12" s="82" t="str">
        <f>IFERROR(__xludf.DUMMYFUNCTION("""COMPUTED_VALUE"""),"")</f>
        <v/>
      </c>
      <c r="S12" s="84" t="str">
        <f>IFERROR(__xludf.DUMMYFUNCTION("""COMPUTED_VALUE"""),"")</f>
        <v/>
      </c>
      <c r="T12" s="84" t="str">
        <f>IFERROR(__xludf.DUMMYFUNCTION("""COMPUTED_VALUE"""),"")</f>
        <v/>
      </c>
      <c r="U12" s="74" t="str">
        <f>IFERROR(__xludf.DUMMYFUNCTION("""COMPUTED_VALUE"""),"")</f>
        <v/>
      </c>
      <c r="V12" s="82" t="str">
        <f>IFERROR(__xludf.DUMMYFUNCTION("""COMPUTED_VALUE"""),"")</f>
        <v/>
      </c>
      <c r="W12" s="64" t="str">
        <f>IFERROR(__xludf.DUMMYFUNCTION("""COMPUTED_VALUE"""),"")</f>
        <v/>
      </c>
      <c r="X12" s="84" t="str">
        <f>IFERROR(__xludf.DUMMYFUNCTION("""COMPUTED_VALUE"""),"")</f>
        <v/>
      </c>
      <c r="Y12" s="114" t="str">
        <f>IFERROR(__xludf.DUMMYFUNCTION("""COMPUTED_VALUE"""),"")</f>
        <v/>
      </c>
    </row>
    <row r="13">
      <c r="A13" s="109">
        <f>IFERROR(__xludf.DUMMYFUNCTION("""COMPUTED_VALUE"""),46051.54014075232)</f>
        <v>46051.54014</v>
      </c>
      <c r="B13" s="81" t="str">
        <f>IFERROR(__xludf.DUMMYFUNCTION("""COMPUTED_VALUE"""),"Kyra Turner")</f>
        <v>Kyra Turner</v>
      </c>
      <c r="C13" s="74" t="b">
        <f>IFERROR(__xludf.DUMMYFUNCTION("""COMPUTED_VALUE"""),FALSE)</f>
        <v>0</v>
      </c>
      <c r="D13" s="137">
        <f>IFERROR(__xludf.DUMMYFUNCTION("""COMPUTED_VALUE"""),0.5)</f>
        <v>0.5</v>
      </c>
      <c r="E13" s="82">
        <f>IFERROR(__xludf.DUMMYFUNCTION("""COMPUTED_VALUE"""),0.03749999999854481)</f>
        <v>0.0375</v>
      </c>
      <c r="F13" s="137">
        <f>IFERROR(__xludf.DUMMYFUNCTION("""COMPUTED_VALUE"""),0.5374999999985448)</f>
        <v>0.5375</v>
      </c>
      <c r="G13" s="82">
        <f>IFERROR(__xludf.DUMMYFUNCTION("""COMPUTED_VALUE"""),0.1416666666700621)</f>
        <v>0.1416666667</v>
      </c>
      <c r="H13" s="74">
        <f>IFERROR(__xludf.DUMMYFUNCTION("""COMPUTED_VALUE"""),28.0)</f>
        <v>28</v>
      </c>
      <c r="I13" s="84">
        <f>IFERROR(__xludf.DUMMYFUNCTION("""COMPUTED_VALUE"""),31.76470588159161)</f>
        <v>31.76470588</v>
      </c>
      <c r="J13" s="74" t="str">
        <f>IFERROR(__xludf.DUMMYFUNCTION("""COMPUTED_VALUE"""),"Lunch")</f>
        <v>Lunch</v>
      </c>
      <c r="K13" s="113">
        <f>IFERROR(__xludf.DUMMYFUNCTION("""COMPUTED_VALUE"""),46051.0)</f>
        <v>46051</v>
      </c>
      <c r="L13" s="74" t="str">
        <f>IFERROR(__xludf.DUMMYFUNCTION("""COMPUTED_VALUE"""),"Thursday")</f>
        <v>Thursday</v>
      </c>
      <c r="M13" s="74" t="str">
        <f>IFERROR(__xludf.DUMMYFUNCTION("""COMPUTED_VALUE"""),"BF")</f>
        <v>BF</v>
      </c>
      <c r="N13" s="166">
        <f>IFERROR(__xludf.DUMMYFUNCTION("""COMPUTED_VALUE"""),1.1204225162314532)</f>
        <v>1.120422516</v>
      </c>
      <c r="O13" s="74" t="str">
        <f>IFERROR(__xludf.DUMMYFUNCTION("""COMPUTED_VALUE"""),"")</f>
        <v/>
      </c>
      <c r="P13" s="74" t="str">
        <f>IFERROR(__xludf.DUMMYFUNCTION("""COMPUTED_VALUE"""),"")</f>
        <v/>
      </c>
      <c r="Q13" s="82" t="str">
        <f>IFERROR(__xludf.DUMMYFUNCTION("""COMPUTED_VALUE"""),"")</f>
        <v/>
      </c>
      <c r="R13" s="82" t="str">
        <f>IFERROR(__xludf.DUMMYFUNCTION("""COMPUTED_VALUE"""),"")</f>
        <v/>
      </c>
      <c r="S13" s="84" t="str">
        <f>IFERROR(__xludf.DUMMYFUNCTION("""COMPUTED_VALUE"""),"")</f>
        <v/>
      </c>
      <c r="T13" s="84" t="str">
        <f>IFERROR(__xludf.DUMMYFUNCTION("""COMPUTED_VALUE"""),"")</f>
        <v/>
      </c>
      <c r="U13" s="74" t="str">
        <f>IFERROR(__xludf.DUMMYFUNCTION("""COMPUTED_VALUE"""),"")</f>
        <v/>
      </c>
      <c r="V13" s="82" t="str">
        <f>IFERROR(__xludf.DUMMYFUNCTION("""COMPUTED_VALUE"""),"")</f>
        <v/>
      </c>
      <c r="W13" s="64" t="str">
        <f>IFERROR(__xludf.DUMMYFUNCTION("""COMPUTED_VALUE"""),"")</f>
        <v/>
      </c>
      <c r="X13" s="84" t="str">
        <f>IFERROR(__xludf.DUMMYFUNCTION("""COMPUTED_VALUE"""),"")</f>
        <v/>
      </c>
      <c r="Y13" s="114" t="str">
        <f>IFERROR(__xludf.DUMMYFUNCTION("""COMPUTED_VALUE"""),"")</f>
        <v/>
      </c>
    </row>
    <row r="14">
      <c r="A14" s="109">
        <f>IFERROR(__xludf.DUMMYFUNCTION("""COMPUTED_VALUE"""),46051.644792499996)</f>
        <v>46051.64479</v>
      </c>
      <c r="B14" s="81" t="str">
        <f>IFERROR(__xludf.DUMMYFUNCTION("""COMPUTED_VALUE"""),"Kyra Turner")</f>
        <v>Kyra Turner</v>
      </c>
      <c r="C14" s="74" t="b">
        <f>IFERROR(__xludf.DUMMYFUNCTION("""COMPUTED_VALUE"""),TRUE)</f>
        <v>1</v>
      </c>
      <c r="D14" s="137">
        <f>IFERROR(__xludf.DUMMYFUNCTION("""COMPUTED_VALUE"""),0.5395833333313931)</f>
        <v>0.5395833333</v>
      </c>
      <c r="E14" s="82">
        <f>IFERROR(__xludf.DUMMYFUNCTION("""COMPUTED_VALUE"""),0.1041666666715173)</f>
        <v>0.1041666667</v>
      </c>
      <c r="F14" s="137">
        <f>IFERROR(__xludf.DUMMYFUNCTION("""COMPUTED_VALUE"""),0.6437500000029104)</f>
        <v>0.64375</v>
      </c>
      <c r="G14" s="82" t="str">
        <f>IFERROR(__xludf.DUMMYFUNCTION("""COMPUTED_VALUE"""),"")</f>
        <v/>
      </c>
      <c r="H14" s="74">
        <f>IFERROR(__xludf.DUMMYFUNCTION("""COMPUTED_VALUE"""),80.0)</f>
        <v>80</v>
      </c>
      <c r="I14" s="84" t="str">
        <f>IFERROR(__xludf.DUMMYFUNCTION("""COMPUTED_VALUE"""),"")</f>
        <v/>
      </c>
      <c r="J14" s="74" t="str">
        <f>IFERROR(__xludf.DUMMYFUNCTION("""COMPUTED_VALUE"""),"Lunch")</f>
        <v>Lunch</v>
      </c>
      <c r="K14" s="113">
        <f>IFERROR(__xludf.DUMMYFUNCTION("""COMPUTED_VALUE"""),46051.0)</f>
        <v>46051</v>
      </c>
      <c r="L14" s="74" t="str">
        <f>IFERROR(__xludf.DUMMYFUNCTION("""COMPUTED_VALUE"""),"Thursday")</f>
        <v>Thursday</v>
      </c>
      <c r="M14" s="74" t="str">
        <f>IFERROR(__xludf.DUMMYFUNCTION("""COMPUTED_VALUE"""),"BF")</f>
        <v>BF</v>
      </c>
      <c r="N14" s="166" t="str">
        <f>IFERROR(__xludf.DUMMYFUNCTION("""COMPUTED_VALUE"""),"")</f>
        <v/>
      </c>
      <c r="O14" s="74" t="str">
        <f>IFERROR(__xludf.DUMMYFUNCTION("""COMPUTED_VALUE"""),"")</f>
        <v/>
      </c>
      <c r="P14" s="74" t="str">
        <f>IFERROR(__xludf.DUMMYFUNCTION("""COMPUTED_VALUE"""),"")</f>
        <v/>
      </c>
      <c r="Q14" s="82" t="str">
        <f>IFERROR(__xludf.DUMMYFUNCTION("""COMPUTED_VALUE"""),"")</f>
        <v/>
      </c>
      <c r="R14" s="82" t="str">
        <f>IFERROR(__xludf.DUMMYFUNCTION("""COMPUTED_VALUE"""),"")</f>
        <v/>
      </c>
      <c r="S14" s="84" t="str">
        <f>IFERROR(__xludf.DUMMYFUNCTION("""COMPUTED_VALUE"""),"")</f>
        <v/>
      </c>
      <c r="T14" s="84" t="str">
        <f>IFERROR(__xludf.DUMMYFUNCTION("""COMPUTED_VALUE"""),"")</f>
        <v/>
      </c>
      <c r="U14" s="74" t="str">
        <f>IFERROR(__xludf.DUMMYFUNCTION("""COMPUTED_VALUE"""),"")</f>
        <v/>
      </c>
      <c r="V14" s="82" t="str">
        <f>IFERROR(__xludf.DUMMYFUNCTION("""COMPUTED_VALUE"""),"")</f>
        <v/>
      </c>
      <c r="W14" s="64" t="str">
        <f>IFERROR(__xludf.DUMMYFUNCTION("""COMPUTED_VALUE"""),"")</f>
        <v/>
      </c>
      <c r="X14" s="84" t="str">
        <f>IFERROR(__xludf.DUMMYFUNCTION("""COMPUTED_VALUE"""),"")</f>
        <v/>
      </c>
      <c r="Y14" s="114" t="str">
        <f>IFERROR(__xludf.DUMMYFUNCTION("""COMPUTED_VALUE"""),"")</f>
        <v/>
      </c>
    </row>
    <row r="15">
      <c r="A15" s="109">
        <f>IFERROR(__xludf.DUMMYFUNCTION("""COMPUTED_VALUE"""),46051.779202060185)</f>
        <v>46051.7792</v>
      </c>
      <c r="B15" s="81" t="str">
        <f>IFERROR(__xludf.DUMMYFUNCTION("""COMPUTED_VALUE"""),"Emmett Khan")</f>
        <v>Emmett Khan</v>
      </c>
      <c r="C15" s="74" t="b">
        <f>IFERROR(__xludf.DUMMYFUNCTION("""COMPUTED_VALUE"""),FALSE)</f>
        <v>0</v>
      </c>
      <c r="D15" s="137">
        <f>IFERROR(__xludf.DUMMYFUNCTION("""COMPUTED_VALUE"""),0.7083333333357587)</f>
        <v>0.7083333333</v>
      </c>
      <c r="E15" s="82">
        <f>IFERROR(__xludf.DUMMYFUNCTION("""COMPUTED_VALUE"""),0.07291666666424135)</f>
        <v>0.07291666666</v>
      </c>
      <c r="F15" s="137">
        <f>IFERROR(__xludf.DUMMYFUNCTION("""COMPUTED_VALUE"""),0.78125)</f>
        <v>0.78125</v>
      </c>
      <c r="G15" s="82">
        <f>IFERROR(__xludf.DUMMYFUNCTION("""COMPUTED_VALUE"""),0.07291666666424135)</f>
        <v>0.07291666666</v>
      </c>
      <c r="H15" s="74">
        <f>IFERROR(__xludf.DUMMYFUNCTION("""COMPUTED_VALUE"""),93.0)</f>
        <v>93</v>
      </c>
      <c r="I15" s="84">
        <f>IFERROR(__xludf.DUMMYFUNCTION("""COMPUTED_VALUE"""),53.142857144624756)</f>
        <v>53.14285714</v>
      </c>
      <c r="J15" s="74" t="str">
        <f>IFERROR(__xludf.DUMMYFUNCTION("""COMPUTED_VALUE"""),"Dinner")</f>
        <v>Dinner</v>
      </c>
      <c r="K15" s="113">
        <f>IFERROR(__xludf.DUMMYFUNCTION("""COMPUTED_VALUE"""),46051.0)</f>
        <v>46051</v>
      </c>
      <c r="L15" s="74" t="str">
        <f>IFERROR(__xludf.DUMMYFUNCTION("""COMPUTED_VALUE"""),"Thursday")</f>
        <v>Thursday</v>
      </c>
      <c r="M15" s="74" t="str">
        <f>IFERROR(__xludf.DUMMYFUNCTION("""COMPUTED_VALUE"""),"MF")</f>
        <v>MF</v>
      </c>
      <c r="N15" s="166">
        <f>IFERROR(__xludf.DUMMYFUNCTION("""COMPUTED_VALUE"""),1.1458219905124147)</f>
        <v>1.145821991</v>
      </c>
      <c r="O15" s="74">
        <f>IFERROR(__xludf.DUMMYFUNCTION("""COMPUTED_VALUE"""),93.0)</f>
        <v>93</v>
      </c>
      <c r="P15" s="74">
        <f>IFERROR(__xludf.DUMMYFUNCTION("""COMPUTED_VALUE"""),141.0)</f>
        <v>141</v>
      </c>
      <c r="Q15" s="82">
        <f>IFERROR(__xludf.DUMMYFUNCTION("""COMPUTED_VALUE"""),0.07291666666424135)</f>
        <v>0.07291666666</v>
      </c>
      <c r="R15" s="82">
        <f>IFERROR(__xludf.DUMMYFUNCTION("""COMPUTED_VALUE"""),0.19097222222626442)</f>
        <v>0.1909722222</v>
      </c>
      <c r="S15" s="84">
        <f>IFERROR(__xludf.DUMMYFUNCTION("""COMPUTED_VALUE"""),53.142857144624756)</f>
        <v>53.14285714</v>
      </c>
      <c r="T15" s="84">
        <f>IFERROR(__xludf.DUMMYFUNCTION("""COMPUTED_VALUE"""),29.82601491244389)</f>
        <v>29.82601491</v>
      </c>
      <c r="U15" s="74">
        <f>IFERROR(__xludf.DUMMYFUNCTION("""COMPUTED_VALUE"""),234.0)</f>
        <v>234</v>
      </c>
      <c r="V15" s="82">
        <f>IFERROR(__xludf.DUMMYFUNCTION("""COMPUTED_VALUE"""),0.26388888889050577)</f>
        <v>0.2638888889</v>
      </c>
      <c r="W15" s="64">
        <f>IFERROR(__xludf.DUMMYFUNCTION("""COMPUTED_VALUE"""),36.94736842082625)</f>
        <v>36.94736842</v>
      </c>
      <c r="X15" s="84">
        <f>IFERROR(__xludf.DUMMYFUNCTION("""COMPUTED_VALUE"""),37.59829565650418)</f>
        <v>37.59829566</v>
      </c>
      <c r="Y15" s="114">
        <f>IFERROR(__xludf.DUMMYFUNCTION("""COMPUTED_VALUE"""),0.5327637210827683)</f>
        <v>0.5327637211</v>
      </c>
    </row>
    <row r="16">
      <c r="A16" s="109">
        <f>IFERROR(__xludf.DUMMYFUNCTION("""COMPUTED_VALUE"""),46052.58172553241)</f>
        <v>46052.58173</v>
      </c>
      <c r="B16" s="81" t="str">
        <f>IFERROR(__xludf.DUMMYFUNCTION("""COMPUTED_VALUE"""),"Brynn Hornig")</f>
        <v>Brynn Hornig</v>
      </c>
      <c r="C16" s="74" t="b">
        <f>IFERROR(__xludf.DUMMYFUNCTION("""COMPUTED_VALUE"""),FALSE)</f>
        <v>0</v>
      </c>
      <c r="D16" s="137">
        <f>IFERROR(__xludf.DUMMYFUNCTION("""COMPUTED_VALUE"""),0.5208333333357587)</f>
        <v>0.5208333333</v>
      </c>
      <c r="E16" s="82">
        <f>IFERROR(__xludf.DUMMYFUNCTION("""COMPUTED_VALUE"""),0.0625)</f>
        <v>0.0625</v>
      </c>
      <c r="F16" s="137">
        <f>IFERROR(__xludf.DUMMYFUNCTION("""COMPUTED_VALUE"""),0.5833333333357587)</f>
        <v>0.5833333333</v>
      </c>
      <c r="G16" s="82">
        <f>IFERROR(__xludf.DUMMYFUNCTION("""COMPUTED_VALUE"""),0.0625)</f>
        <v>0.0625</v>
      </c>
      <c r="H16" s="74">
        <f>IFERROR(__xludf.DUMMYFUNCTION("""COMPUTED_VALUE"""),76.0)</f>
        <v>76</v>
      </c>
      <c r="I16" s="84">
        <f>IFERROR(__xludf.DUMMYFUNCTION("""COMPUTED_VALUE"""),50.666666666666664)</f>
        <v>50.66666667</v>
      </c>
      <c r="J16" s="74" t="str">
        <f>IFERROR(__xludf.DUMMYFUNCTION("""COMPUTED_VALUE"""),"Lunch")</f>
        <v>Lunch</v>
      </c>
      <c r="K16" s="113">
        <f>IFERROR(__xludf.DUMMYFUNCTION("""COMPUTED_VALUE"""),46052.0)</f>
        <v>46052</v>
      </c>
      <c r="L16" s="74" t="str">
        <f>IFERROR(__xludf.DUMMYFUNCTION("""COMPUTED_VALUE"""),"Friday")</f>
        <v>Friday</v>
      </c>
      <c r="M16" s="74" t="str">
        <f>IFERROR(__xludf.DUMMYFUNCTION("""COMPUTED_VALUE"""),"BF")</f>
        <v>BF</v>
      </c>
      <c r="N16" s="166">
        <f>IFERROR(__xludf.DUMMYFUNCTION("""COMPUTED_VALUE"""),1.7871430753157198)</f>
        <v>1.787143075</v>
      </c>
      <c r="O16" s="74" t="str">
        <f>IFERROR(__xludf.DUMMYFUNCTION("""COMPUTED_VALUE"""),"")</f>
        <v/>
      </c>
      <c r="P16" s="74" t="str">
        <f>IFERROR(__xludf.DUMMYFUNCTION("""COMPUTED_VALUE"""),"")</f>
        <v/>
      </c>
      <c r="Q16" s="82" t="str">
        <f>IFERROR(__xludf.DUMMYFUNCTION("""COMPUTED_VALUE"""),"")</f>
        <v/>
      </c>
      <c r="R16" s="82" t="str">
        <f>IFERROR(__xludf.DUMMYFUNCTION("""COMPUTED_VALUE"""),"")</f>
        <v/>
      </c>
      <c r="S16" s="84" t="str">
        <f>IFERROR(__xludf.DUMMYFUNCTION("""COMPUTED_VALUE"""),"")</f>
        <v/>
      </c>
      <c r="T16" s="84" t="str">
        <f>IFERROR(__xludf.DUMMYFUNCTION("""COMPUTED_VALUE"""),"")</f>
        <v/>
      </c>
      <c r="U16" s="74" t="str">
        <f>IFERROR(__xludf.DUMMYFUNCTION("""COMPUTED_VALUE"""),"")</f>
        <v/>
      </c>
      <c r="V16" s="82" t="str">
        <f>IFERROR(__xludf.DUMMYFUNCTION("""COMPUTED_VALUE"""),"")</f>
        <v/>
      </c>
      <c r="W16" s="64" t="str">
        <f>IFERROR(__xludf.DUMMYFUNCTION("""COMPUTED_VALUE"""),"")</f>
        <v/>
      </c>
      <c r="X16" s="84" t="str">
        <f>IFERROR(__xludf.DUMMYFUNCTION("""COMPUTED_VALUE"""),"")</f>
        <v/>
      </c>
      <c r="Y16" s="114" t="str">
        <f>IFERROR(__xludf.DUMMYFUNCTION("""COMPUTED_VALUE"""),"")</f>
        <v/>
      </c>
    </row>
    <row r="17">
      <c r="A17" s="109">
        <f>IFERROR(__xludf.DUMMYFUNCTION("""COMPUTED_VALUE"""),46052.6284697338)</f>
        <v>46052.62847</v>
      </c>
      <c r="B17" s="81" t="str">
        <f>IFERROR(__xludf.DUMMYFUNCTION("""COMPUTED_VALUE"""),"Oluwatimilehin Shodipe")</f>
        <v>Oluwatimilehin Shodipe</v>
      </c>
      <c r="C17" s="74" t="b">
        <f>IFERROR(__xludf.DUMMYFUNCTION("""COMPUTED_VALUE"""),FALSE)</f>
        <v>0</v>
      </c>
      <c r="D17" s="137">
        <f>IFERROR(__xludf.DUMMYFUNCTION("""COMPUTED_VALUE"""),0.48263888889050577)</f>
        <v>0.4826388889</v>
      </c>
      <c r="E17" s="82">
        <f>IFERROR(__xludf.DUMMYFUNCTION("""COMPUTED_VALUE"""),0.14236111110949423)</f>
        <v>0.1423611111</v>
      </c>
      <c r="F17" s="137">
        <f>IFERROR(__xludf.DUMMYFUNCTION("""COMPUTED_VALUE"""),0.625)</f>
        <v>0.625</v>
      </c>
      <c r="G17" s="82">
        <f>IFERROR(__xludf.DUMMYFUNCTION("""COMPUTED_VALUE"""),0.14236111110949423)</f>
        <v>0.1423611111</v>
      </c>
      <c r="H17" s="74">
        <f>IFERROR(__xludf.DUMMYFUNCTION("""COMPUTED_VALUE"""),144.0)</f>
        <v>144</v>
      </c>
      <c r="I17" s="84">
        <f>IFERROR(__xludf.DUMMYFUNCTION("""COMPUTED_VALUE"""),42.146341463893314)</f>
        <v>42.14634146</v>
      </c>
      <c r="J17" s="74" t="str">
        <f>IFERROR(__xludf.DUMMYFUNCTION("""COMPUTED_VALUE"""),"Lunch")</f>
        <v>Lunch</v>
      </c>
      <c r="K17" s="113">
        <f>IFERROR(__xludf.DUMMYFUNCTION("""COMPUTED_VALUE"""),46052.0)</f>
        <v>46052</v>
      </c>
      <c r="L17" s="74" t="str">
        <f>IFERROR(__xludf.DUMMYFUNCTION("""COMPUTED_VALUE"""),"Friday")</f>
        <v>Friday</v>
      </c>
      <c r="M17" s="74" t="str">
        <f>IFERROR(__xludf.DUMMYFUNCTION("""COMPUTED_VALUE"""),"MF")</f>
        <v>MF</v>
      </c>
      <c r="N17" s="166">
        <f>IFERROR(__xludf.DUMMYFUNCTION("""COMPUTED_VALUE"""),0.8382745004876582)</f>
        <v>0.8382745005</v>
      </c>
      <c r="O17" s="74" t="str">
        <f>IFERROR(__xludf.DUMMYFUNCTION("""COMPUTED_VALUE"""),"")</f>
        <v/>
      </c>
      <c r="P17" s="74" t="str">
        <f>IFERROR(__xludf.DUMMYFUNCTION("""COMPUTED_VALUE"""),"")</f>
        <v/>
      </c>
      <c r="Q17" s="82" t="str">
        <f>IFERROR(__xludf.DUMMYFUNCTION("""COMPUTED_VALUE"""),"")</f>
        <v/>
      </c>
      <c r="R17" s="82" t="str">
        <f>IFERROR(__xludf.DUMMYFUNCTION("""COMPUTED_VALUE"""),"")</f>
        <v/>
      </c>
      <c r="S17" s="84" t="str">
        <f>IFERROR(__xludf.DUMMYFUNCTION("""COMPUTED_VALUE"""),"")</f>
        <v/>
      </c>
      <c r="T17" s="84" t="str">
        <f>IFERROR(__xludf.DUMMYFUNCTION("""COMPUTED_VALUE"""),"")</f>
        <v/>
      </c>
      <c r="U17" s="74" t="str">
        <f>IFERROR(__xludf.DUMMYFUNCTION("""COMPUTED_VALUE"""),"")</f>
        <v/>
      </c>
      <c r="V17" s="82" t="str">
        <f>IFERROR(__xludf.DUMMYFUNCTION("""COMPUTED_VALUE"""),"")</f>
        <v/>
      </c>
      <c r="W17" s="64" t="str">
        <f>IFERROR(__xludf.DUMMYFUNCTION("""COMPUTED_VALUE"""),"")</f>
        <v/>
      </c>
      <c r="X17" s="84" t="str">
        <f>IFERROR(__xludf.DUMMYFUNCTION("""COMPUTED_VALUE"""),"")</f>
        <v/>
      </c>
      <c r="Y17" s="114" t="str">
        <f>IFERROR(__xludf.DUMMYFUNCTION("""COMPUTED_VALUE"""),"")</f>
        <v/>
      </c>
    </row>
    <row r="18">
      <c r="A18" s="109">
        <f>IFERROR(__xludf.DUMMYFUNCTION("""COMPUTED_VALUE"""),46052.80948892361)</f>
        <v>46052.80949</v>
      </c>
      <c r="B18" s="81" t="str">
        <f>IFERROR(__xludf.DUMMYFUNCTION("""COMPUTED_VALUE"""),"Orpheus Wilson")</f>
        <v>Orpheus Wilson</v>
      </c>
      <c r="C18" s="74" t="b">
        <f>IFERROR(__xludf.DUMMYFUNCTION("""COMPUTED_VALUE"""),FALSE)</f>
        <v>0</v>
      </c>
      <c r="D18" s="137">
        <f>IFERROR(__xludf.DUMMYFUNCTION("""COMPUTED_VALUE"""),0.7472222222204437)</f>
        <v>0.7472222222</v>
      </c>
      <c r="E18" s="82">
        <f>IFERROR(__xludf.DUMMYFUNCTION("""COMPUTED_VALUE"""),0.061111111113859806)</f>
        <v>0.06111111111</v>
      </c>
      <c r="F18" s="137">
        <f>IFERROR(__xludf.DUMMYFUNCTION("""COMPUTED_VALUE"""),0.8083333333343035)</f>
        <v>0.8083333333</v>
      </c>
      <c r="G18" s="82">
        <f>IFERROR(__xludf.DUMMYFUNCTION("""COMPUTED_VALUE"""),0.0743055555576575)</f>
        <v>0.07430555556</v>
      </c>
      <c r="H18" s="74">
        <f>IFERROR(__xludf.DUMMYFUNCTION("""COMPUTED_VALUE"""),158.0)</f>
        <v>158</v>
      </c>
      <c r="I18" s="84">
        <f>IFERROR(__xludf.DUMMYFUNCTION("""COMPUTED_VALUE"""),107.10280373528805)</f>
        <v>107.1028037</v>
      </c>
      <c r="J18" s="74" t="str">
        <f>IFERROR(__xludf.DUMMYFUNCTION("""COMPUTED_VALUE"""),"Dinner")</f>
        <v>Dinner</v>
      </c>
      <c r="K18" s="113">
        <f>IFERROR(__xludf.DUMMYFUNCTION("""COMPUTED_VALUE"""),46052.0)</f>
        <v>46052</v>
      </c>
      <c r="L18" s="74" t="str">
        <f>IFERROR(__xludf.DUMMYFUNCTION("""COMPUTED_VALUE"""),"Friday")</f>
        <v>Friday</v>
      </c>
      <c r="M18" s="74" t="str">
        <f>IFERROR(__xludf.DUMMYFUNCTION("""COMPUTED_VALUE"""),"MF")</f>
        <v>MF</v>
      </c>
      <c r="N18" s="166">
        <f>IFERROR(__xludf.DUMMYFUNCTION("""COMPUTED_VALUE"""),2.3092613826059796)</f>
        <v>2.309261383</v>
      </c>
      <c r="O18" s="74" t="str">
        <f>IFERROR(__xludf.DUMMYFUNCTION("""COMPUTED_VALUE"""),"")</f>
        <v/>
      </c>
      <c r="P18" s="74" t="str">
        <f>IFERROR(__xludf.DUMMYFUNCTION("""COMPUTED_VALUE"""),"")</f>
        <v/>
      </c>
      <c r="Q18" s="82" t="str">
        <f>IFERROR(__xludf.DUMMYFUNCTION("""COMPUTED_VALUE"""),"")</f>
        <v/>
      </c>
      <c r="R18" s="82" t="str">
        <f>IFERROR(__xludf.DUMMYFUNCTION("""COMPUTED_VALUE"""),"")</f>
        <v/>
      </c>
      <c r="S18" s="84" t="str">
        <f>IFERROR(__xludf.DUMMYFUNCTION("""COMPUTED_VALUE"""),"")</f>
        <v/>
      </c>
      <c r="T18" s="84" t="str">
        <f>IFERROR(__xludf.DUMMYFUNCTION("""COMPUTED_VALUE"""),"")</f>
        <v/>
      </c>
      <c r="U18" s="74" t="str">
        <f>IFERROR(__xludf.DUMMYFUNCTION("""COMPUTED_VALUE"""),"")</f>
        <v/>
      </c>
      <c r="V18" s="82" t="str">
        <f>IFERROR(__xludf.DUMMYFUNCTION("""COMPUTED_VALUE"""),"")</f>
        <v/>
      </c>
      <c r="W18" s="64" t="str">
        <f>IFERROR(__xludf.DUMMYFUNCTION("""COMPUTED_VALUE"""),"")</f>
        <v/>
      </c>
      <c r="X18" s="84" t="str">
        <f>IFERROR(__xludf.DUMMYFUNCTION("""COMPUTED_VALUE"""),"")</f>
        <v/>
      </c>
      <c r="Y18" s="114" t="str">
        <f>IFERROR(__xludf.DUMMYFUNCTION("""COMPUTED_VALUE"""),"")</f>
        <v/>
      </c>
    </row>
    <row r="19">
      <c r="A19" s="109">
        <f>IFERROR(__xludf.DUMMYFUNCTION("""COMPUTED_VALUE"""),46052.83015725695)</f>
        <v>46052.83016</v>
      </c>
      <c r="B19" s="81" t="str">
        <f>IFERROR(__xludf.DUMMYFUNCTION("""COMPUTED_VALUE"""),"Orpheus Wilson")</f>
        <v>Orpheus Wilson</v>
      </c>
      <c r="C19" s="74" t="b">
        <f>IFERROR(__xludf.DUMMYFUNCTION("""COMPUTED_VALUE"""),TRUE)</f>
        <v>1</v>
      </c>
      <c r="D19" s="137">
        <f>IFERROR(__xludf.DUMMYFUNCTION("""COMPUTED_VALUE"""),0.8145833333328483)</f>
        <v>0.8145833333</v>
      </c>
      <c r="E19" s="82">
        <f>IFERROR(__xludf.DUMMYFUNCTION("""COMPUTED_VALUE"""),0.013194444443797693)</f>
        <v>0.01319444444</v>
      </c>
      <c r="F19" s="137">
        <f>IFERROR(__xludf.DUMMYFUNCTION("""COMPUTED_VALUE"""),0.827777777776646)</f>
        <v>0.8277777778</v>
      </c>
      <c r="G19" s="82" t="str">
        <f>IFERROR(__xludf.DUMMYFUNCTION("""COMPUTED_VALUE"""),"")</f>
        <v/>
      </c>
      <c r="H19" s="74">
        <f>IFERROR(__xludf.DUMMYFUNCTION("""COMPUTED_VALUE"""),33.0)</f>
        <v>33</v>
      </c>
      <c r="I19" s="84" t="str">
        <f>IFERROR(__xludf.DUMMYFUNCTION("""COMPUTED_VALUE"""),"")</f>
        <v/>
      </c>
      <c r="J19" s="74" t="str">
        <f>IFERROR(__xludf.DUMMYFUNCTION("""COMPUTED_VALUE"""),"Dinner")</f>
        <v>Dinner</v>
      </c>
      <c r="K19" s="113">
        <f>IFERROR(__xludf.DUMMYFUNCTION("""COMPUTED_VALUE"""),46052.0)</f>
        <v>46052</v>
      </c>
      <c r="L19" s="74" t="str">
        <f>IFERROR(__xludf.DUMMYFUNCTION("""COMPUTED_VALUE"""),"Friday")</f>
        <v>Friday</v>
      </c>
      <c r="M19" s="74" t="str">
        <f>IFERROR(__xludf.DUMMYFUNCTION("""COMPUTED_VALUE"""),"MF")</f>
        <v>MF</v>
      </c>
      <c r="N19" s="166" t="str">
        <f>IFERROR(__xludf.DUMMYFUNCTION("""COMPUTED_VALUE"""),"")</f>
        <v/>
      </c>
      <c r="O19" s="74">
        <f>IFERROR(__xludf.DUMMYFUNCTION("""COMPUTED_VALUE"""),335.0)</f>
        <v>335</v>
      </c>
      <c r="P19" s="74">
        <f>IFERROR(__xludf.DUMMYFUNCTION("""COMPUTED_VALUE"""),76.0)</f>
        <v>76</v>
      </c>
      <c r="Q19" s="82">
        <f>IFERROR(__xludf.DUMMYFUNCTION("""COMPUTED_VALUE"""),0.21666666666715173)</f>
        <v>0.2166666667</v>
      </c>
      <c r="R19" s="82">
        <f>IFERROR(__xludf.DUMMYFUNCTION("""COMPUTED_VALUE"""),0.0625)</f>
        <v>0.0625</v>
      </c>
      <c r="S19" s="84">
        <f>IFERROR(__xludf.DUMMYFUNCTION("""COMPUTED_VALUE"""),74.62457259959068)</f>
        <v>74.6245726</v>
      </c>
      <c r="T19" s="84">
        <f>IFERROR(__xludf.DUMMYFUNCTION("""COMPUTED_VALUE"""),50.666666666666664)</f>
        <v>50.66666667</v>
      </c>
      <c r="U19" s="74">
        <f>IFERROR(__xludf.DUMMYFUNCTION("""COMPUTED_VALUE"""),411.0)</f>
        <v>411</v>
      </c>
      <c r="V19" s="82">
        <f>IFERROR(__xludf.DUMMYFUNCTION("""COMPUTED_VALUE"""),0.27916666666715173)</f>
        <v>0.2791666667</v>
      </c>
      <c r="W19" s="64">
        <f>IFERROR(__xludf.DUMMYFUNCTION("""COMPUTED_VALUE"""),61.343283581982966)</f>
        <v>61.34328358</v>
      </c>
      <c r="X19" s="84">
        <f>IFERROR(__xludf.DUMMYFUNCTION("""COMPUTED_VALUE"""),66.63860395528268)</f>
        <v>66.63860396</v>
      </c>
      <c r="Y19" s="114">
        <f>IFERROR(__xludf.DUMMYFUNCTION("""COMPUTED_VALUE"""),0.9381059032592495)</f>
        <v>0.9381059033</v>
      </c>
    </row>
    <row r="20">
      <c r="A20" s="109">
        <f>IFERROR(__xludf.DUMMYFUNCTION("""COMPUTED_VALUE"""),46055.643042905096)</f>
        <v>46055.64304</v>
      </c>
      <c r="B20" s="81" t="str">
        <f>IFERROR(__xludf.DUMMYFUNCTION("""COMPUTED_VALUE"""),"Brynn Hornig")</f>
        <v>Brynn Hornig</v>
      </c>
      <c r="C20" s="74" t="b">
        <f>IFERROR(__xludf.DUMMYFUNCTION("""COMPUTED_VALUE"""),FALSE)</f>
        <v>0</v>
      </c>
      <c r="D20" s="137">
        <f>IFERROR(__xludf.DUMMYFUNCTION("""COMPUTED_VALUE"""),0.5208333333357587)</f>
        <v>0.5208333333</v>
      </c>
      <c r="E20" s="82">
        <f>IFERROR(__xludf.DUMMYFUNCTION("""COMPUTED_VALUE"""),0.125)</f>
        <v>0.125</v>
      </c>
      <c r="F20" s="137">
        <f>IFERROR(__xludf.DUMMYFUNCTION("""COMPUTED_VALUE"""),0.6458333333357587)</f>
        <v>0.6458333333</v>
      </c>
      <c r="G20" s="82">
        <f>IFERROR(__xludf.DUMMYFUNCTION("""COMPUTED_VALUE"""),0.125)</f>
        <v>0.125</v>
      </c>
      <c r="H20" s="74">
        <f>IFERROR(__xludf.DUMMYFUNCTION("""COMPUTED_VALUE"""),106.0)</f>
        <v>106</v>
      </c>
      <c r="I20" s="84">
        <f>IFERROR(__xludf.DUMMYFUNCTION("""COMPUTED_VALUE"""),35.333333333333336)</f>
        <v>35.33333333</v>
      </c>
      <c r="J20" s="74" t="str">
        <f>IFERROR(__xludf.DUMMYFUNCTION("""COMPUTED_VALUE"""),"Lunch")</f>
        <v>Lunch</v>
      </c>
      <c r="K20" s="113">
        <f>IFERROR(__xludf.DUMMYFUNCTION("""COMPUTED_VALUE"""),46055.0)</f>
        <v>46055</v>
      </c>
      <c r="L20" s="74" t="str">
        <f>IFERROR(__xludf.DUMMYFUNCTION("""COMPUTED_VALUE"""),"Monday")</f>
        <v>Monday</v>
      </c>
      <c r="M20" s="74" t="str">
        <f>IFERROR(__xludf.DUMMYFUNCTION("""COMPUTED_VALUE"""),"BF")</f>
        <v>BF</v>
      </c>
      <c r="N20" s="166">
        <f>IFERROR(__xludf.DUMMYFUNCTION("""COMPUTED_VALUE"""),1.246297144628068)</f>
        <v>1.246297145</v>
      </c>
      <c r="O20" s="74" t="str">
        <f>IFERROR(__xludf.DUMMYFUNCTION("""COMPUTED_VALUE"""),"")</f>
        <v/>
      </c>
      <c r="P20" s="74" t="str">
        <f>IFERROR(__xludf.DUMMYFUNCTION("""COMPUTED_VALUE"""),"")</f>
        <v/>
      </c>
      <c r="Q20" s="82" t="str">
        <f>IFERROR(__xludf.DUMMYFUNCTION("""COMPUTED_VALUE"""),"")</f>
        <v/>
      </c>
      <c r="R20" s="82" t="str">
        <f>IFERROR(__xludf.DUMMYFUNCTION("""COMPUTED_VALUE"""),"")</f>
        <v/>
      </c>
      <c r="S20" s="84" t="str">
        <f>IFERROR(__xludf.DUMMYFUNCTION("""COMPUTED_VALUE"""),"")</f>
        <v/>
      </c>
      <c r="T20" s="84" t="str">
        <f>IFERROR(__xludf.DUMMYFUNCTION("""COMPUTED_VALUE"""),"")</f>
        <v/>
      </c>
      <c r="U20" s="74" t="str">
        <f>IFERROR(__xludf.DUMMYFUNCTION("""COMPUTED_VALUE"""),"")</f>
        <v/>
      </c>
      <c r="V20" s="82" t="str">
        <f>IFERROR(__xludf.DUMMYFUNCTION("""COMPUTED_VALUE"""),"")</f>
        <v/>
      </c>
      <c r="W20" s="64" t="str">
        <f>IFERROR(__xludf.DUMMYFUNCTION("""COMPUTED_VALUE"""),"")</f>
        <v/>
      </c>
      <c r="X20" s="84" t="str">
        <f>IFERROR(__xludf.DUMMYFUNCTION("""COMPUTED_VALUE"""),"")</f>
        <v/>
      </c>
      <c r="Y20" s="114" t="str">
        <f>IFERROR(__xludf.DUMMYFUNCTION("""COMPUTED_VALUE"""),"")</f>
        <v/>
      </c>
    </row>
    <row r="21">
      <c r="A21" s="109">
        <f>IFERROR(__xludf.DUMMYFUNCTION("""COMPUTED_VALUE"""),46055.7456662037)</f>
        <v>46055.74567</v>
      </c>
      <c r="B21" s="81" t="str">
        <f>IFERROR(__xludf.DUMMYFUNCTION("""COMPUTED_VALUE"""),"Orpheus Wilson")</f>
        <v>Orpheus Wilson</v>
      </c>
      <c r="C21" s="74" t="b">
        <f>IFERROR(__xludf.DUMMYFUNCTION("""COMPUTED_VALUE"""),FALSE)</f>
        <v>0</v>
      </c>
      <c r="D21" s="137">
        <f>IFERROR(__xludf.DUMMYFUNCTION("""COMPUTED_VALUE"""),0.6666666666642413)</f>
        <v>0.6666666667</v>
      </c>
      <c r="E21" s="82">
        <f>IFERROR(__xludf.DUMMYFUNCTION("""COMPUTED_VALUE"""),0.07638888889050577)</f>
        <v>0.07638888889</v>
      </c>
      <c r="F21" s="137">
        <f>IFERROR(__xludf.DUMMYFUNCTION("""COMPUTED_VALUE"""),0.7430555555547471)</f>
        <v>0.7430555556</v>
      </c>
      <c r="G21" s="82">
        <f>IFERROR(__xludf.DUMMYFUNCTION("""COMPUTED_VALUE"""),0.07638888889050577)</f>
        <v>0.07638888889</v>
      </c>
      <c r="H21" s="74">
        <f>IFERROR(__xludf.DUMMYFUNCTION("""COMPUTED_VALUE"""),99.0)</f>
        <v>99</v>
      </c>
      <c r="I21" s="84">
        <f>IFERROR(__xludf.DUMMYFUNCTION("""COMPUTED_VALUE"""),53.999999998857014)</f>
        <v>54</v>
      </c>
      <c r="J21" s="74" t="str">
        <f>IFERROR(__xludf.DUMMYFUNCTION("""COMPUTED_VALUE"""),"Dinner")</f>
        <v>Dinner</v>
      </c>
      <c r="K21" s="113">
        <f>IFERROR(__xludf.DUMMYFUNCTION("""COMPUTED_VALUE"""),46055.0)</f>
        <v>46055</v>
      </c>
      <c r="L21" s="74" t="str">
        <f>IFERROR(__xludf.DUMMYFUNCTION("""COMPUTED_VALUE"""),"Monday")</f>
        <v>Monday</v>
      </c>
      <c r="M21" s="74" t="str">
        <f>IFERROR(__xludf.DUMMYFUNCTION("""COMPUTED_VALUE"""),"MF")</f>
        <v>MF</v>
      </c>
      <c r="N21" s="166">
        <f>IFERROR(__xludf.DUMMYFUNCTION("""COMPUTED_VALUE"""),1.1643029902960185)</f>
        <v>1.16430299</v>
      </c>
      <c r="O21" s="74" t="str">
        <f>IFERROR(__xludf.DUMMYFUNCTION("""COMPUTED_VALUE"""),"")</f>
        <v/>
      </c>
      <c r="P21" s="74" t="str">
        <f>IFERROR(__xludf.DUMMYFUNCTION("""COMPUTED_VALUE"""),"")</f>
        <v/>
      </c>
      <c r="Q21" s="82" t="str">
        <f>IFERROR(__xludf.DUMMYFUNCTION("""COMPUTED_VALUE"""),"")</f>
        <v/>
      </c>
      <c r="R21" s="82" t="str">
        <f>IFERROR(__xludf.DUMMYFUNCTION("""COMPUTED_VALUE"""),"")</f>
        <v/>
      </c>
      <c r="S21" s="84" t="str">
        <f>IFERROR(__xludf.DUMMYFUNCTION("""COMPUTED_VALUE"""),"")</f>
        <v/>
      </c>
      <c r="T21" s="84" t="str">
        <f>IFERROR(__xludf.DUMMYFUNCTION("""COMPUTED_VALUE"""),"")</f>
        <v/>
      </c>
      <c r="U21" s="74" t="str">
        <f>IFERROR(__xludf.DUMMYFUNCTION("""COMPUTED_VALUE"""),"")</f>
        <v/>
      </c>
      <c r="V21" s="82" t="str">
        <f>IFERROR(__xludf.DUMMYFUNCTION("""COMPUTED_VALUE"""),"")</f>
        <v/>
      </c>
      <c r="W21" s="64" t="str">
        <f>IFERROR(__xludf.DUMMYFUNCTION("""COMPUTED_VALUE"""),"")</f>
        <v/>
      </c>
      <c r="X21" s="84" t="str">
        <f>IFERROR(__xludf.DUMMYFUNCTION("""COMPUTED_VALUE"""),"")</f>
        <v/>
      </c>
      <c r="Y21" s="114" t="str">
        <f>IFERROR(__xludf.DUMMYFUNCTION("""COMPUTED_VALUE"""),"")</f>
        <v/>
      </c>
    </row>
    <row r="22">
      <c r="A22" s="109">
        <f>IFERROR(__xludf.DUMMYFUNCTION("""COMPUTED_VALUE"""),46055.86231668982)</f>
        <v>46055.86232</v>
      </c>
      <c r="B22" s="81" t="str">
        <f>IFERROR(__xludf.DUMMYFUNCTION("""COMPUTED_VALUE"""),"Arjya Aich")</f>
        <v>Arjya Aich</v>
      </c>
      <c r="C22" s="74" t="b">
        <f>IFERROR(__xludf.DUMMYFUNCTION("""COMPUTED_VALUE"""),FALSE)</f>
        <v>0</v>
      </c>
      <c r="D22" s="137">
        <f>IFERROR(__xludf.DUMMYFUNCTION("""COMPUTED_VALUE"""),0.6875)</f>
        <v>0.6875</v>
      </c>
      <c r="E22" s="82">
        <f>IFERROR(__xludf.DUMMYFUNCTION("""COMPUTED_VALUE"""),0.17013888889050577)</f>
        <v>0.1701388889</v>
      </c>
      <c r="F22" s="137">
        <f>IFERROR(__xludf.DUMMYFUNCTION("""COMPUTED_VALUE"""),0.8576388888905058)</f>
        <v>0.8576388889</v>
      </c>
      <c r="G22" s="82">
        <f>IFERROR(__xludf.DUMMYFUNCTION("""COMPUTED_VALUE"""),0.17013888889050577)</f>
        <v>0.1701388889</v>
      </c>
      <c r="H22" s="74">
        <f>IFERROR(__xludf.DUMMYFUNCTION("""COMPUTED_VALUE"""),171.0)</f>
        <v>171</v>
      </c>
      <c r="I22" s="84">
        <f>IFERROR(__xludf.DUMMYFUNCTION("""COMPUTED_VALUE"""),41.87755102001019)</f>
        <v>41.87755102</v>
      </c>
      <c r="J22" s="74" t="str">
        <f>IFERROR(__xludf.DUMMYFUNCTION("""COMPUTED_VALUE"""),"Dinner")</f>
        <v>Dinner</v>
      </c>
      <c r="K22" s="113">
        <f>IFERROR(__xludf.DUMMYFUNCTION("""COMPUTED_VALUE"""),46055.0)</f>
        <v>46055</v>
      </c>
      <c r="L22" s="74" t="str">
        <f>IFERROR(__xludf.DUMMYFUNCTION("""COMPUTED_VALUE"""),"Monday")</f>
        <v>Monday</v>
      </c>
      <c r="M22" s="74" t="str">
        <f>IFERROR(__xludf.DUMMYFUNCTION("""COMPUTED_VALUE"""),"BF")</f>
        <v>BF</v>
      </c>
      <c r="N22" s="166">
        <f>IFERROR(__xludf.DUMMYFUNCTION("""COMPUTED_VALUE"""),0.9425126572141354)</f>
        <v>0.9425126572</v>
      </c>
      <c r="O22" s="74" t="str">
        <f>IFERROR(__xludf.DUMMYFUNCTION("""COMPUTED_VALUE"""),"")</f>
        <v/>
      </c>
      <c r="P22" s="74" t="str">
        <f>IFERROR(__xludf.DUMMYFUNCTION("""COMPUTED_VALUE"""),"")</f>
        <v/>
      </c>
      <c r="Q22" s="82" t="str">
        <f>IFERROR(__xludf.DUMMYFUNCTION("""COMPUTED_VALUE"""),"")</f>
        <v/>
      </c>
      <c r="R22" s="82" t="str">
        <f>IFERROR(__xludf.DUMMYFUNCTION("""COMPUTED_VALUE"""),"")</f>
        <v/>
      </c>
      <c r="S22" s="84" t="str">
        <f>IFERROR(__xludf.DUMMYFUNCTION("""COMPUTED_VALUE"""),"")</f>
        <v/>
      </c>
      <c r="T22" s="84" t="str">
        <f>IFERROR(__xludf.DUMMYFUNCTION("""COMPUTED_VALUE"""),"")</f>
        <v/>
      </c>
      <c r="U22" s="74" t="str">
        <f>IFERROR(__xludf.DUMMYFUNCTION("""COMPUTED_VALUE"""),"")</f>
        <v/>
      </c>
      <c r="V22" s="82" t="str">
        <f>IFERROR(__xludf.DUMMYFUNCTION("""COMPUTED_VALUE"""),"")</f>
        <v/>
      </c>
      <c r="W22" s="64" t="str">
        <f>IFERROR(__xludf.DUMMYFUNCTION("""COMPUTED_VALUE"""),"")</f>
        <v/>
      </c>
      <c r="X22" s="84" t="str">
        <f>IFERROR(__xludf.DUMMYFUNCTION("""COMPUTED_VALUE"""),"")</f>
        <v/>
      </c>
      <c r="Y22" s="114" t="str">
        <f>IFERROR(__xludf.DUMMYFUNCTION("""COMPUTED_VALUE"""),"")</f>
        <v/>
      </c>
    </row>
    <row r="23">
      <c r="A23" s="109">
        <f>IFERROR(__xludf.DUMMYFUNCTION("""COMPUTED_VALUE"""),46055.86573452546)</f>
        <v>46055.86573</v>
      </c>
      <c r="B23" s="81" t="str">
        <f>IFERROR(__xludf.DUMMYFUNCTION("""COMPUTED_VALUE"""),"Maureen Surgot")</f>
        <v>Maureen Surgot</v>
      </c>
      <c r="C23" s="74" t="b">
        <f>IFERROR(__xludf.DUMMYFUNCTION("""COMPUTED_VALUE"""),FALSE)</f>
        <v>0</v>
      </c>
      <c r="D23" s="137">
        <f>IFERROR(__xludf.DUMMYFUNCTION("""COMPUTED_VALUE"""),0.75)</f>
        <v>0.75</v>
      </c>
      <c r="E23" s="82">
        <f>IFERROR(__xludf.DUMMYFUNCTION("""COMPUTED_VALUE"""),0.125)</f>
        <v>0.125</v>
      </c>
      <c r="F23" s="137">
        <f>IFERROR(__xludf.DUMMYFUNCTION("""COMPUTED_VALUE"""),0.875)</f>
        <v>0.875</v>
      </c>
      <c r="G23" s="82">
        <f>IFERROR(__xludf.DUMMYFUNCTION("""COMPUTED_VALUE"""),0.125)</f>
        <v>0.125</v>
      </c>
      <c r="H23" s="74">
        <f>IFERROR(__xludf.DUMMYFUNCTION("""COMPUTED_VALUE"""),144.0)</f>
        <v>144</v>
      </c>
      <c r="I23" s="84">
        <f>IFERROR(__xludf.DUMMYFUNCTION("""COMPUTED_VALUE"""),48.0)</f>
        <v>48</v>
      </c>
      <c r="J23" s="74" t="str">
        <f>IFERROR(__xludf.DUMMYFUNCTION("""COMPUTED_VALUE"""),"Dinner")</f>
        <v>Dinner</v>
      </c>
      <c r="K23" s="113">
        <f>IFERROR(__xludf.DUMMYFUNCTION("""COMPUTED_VALUE"""),46055.0)</f>
        <v>46055</v>
      </c>
      <c r="L23" s="74" t="str">
        <f>IFERROR(__xludf.DUMMYFUNCTION("""COMPUTED_VALUE"""),"Monday")</f>
        <v>Monday</v>
      </c>
      <c r="M23" s="74" t="str">
        <f>IFERROR(__xludf.DUMMYFUNCTION("""COMPUTED_VALUE"""),"MF")</f>
        <v>MF</v>
      </c>
      <c r="N23" s="166">
        <f>IFERROR(__xludf.DUMMYFUNCTION("""COMPUTED_VALUE"""),1.0349359913961445)</f>
        <v>1.034935991</v>
      </c>
      <c r="O23" s="74">
        <f>IFERROR(__xludf.DUMMYFUNCTION("""COMPUTED_VALUE"""),243.0)</f>
        <v>243</v>
      </c>
      <c r="P23" s="74">
        <f>IFERROR(__xludf.DUMMYFUNCTION("""COMPUTED_VALUE"""),277.0)</f>
        <v>277</v>
      </c>
      <c r="Q23" s="82">
        <f>IFERROR(__xludf.DUMMYFUNCTION("""COMPUTED_VALUE"""),0.20138888889050577)</f>
        <v>0.2013888889</v>
      </c>
      <c r="R23" s="82">
        <f>IFERROR(__xludf.DUMMYFUNCTION("""COMPUTED_VALUE"""),0.29513888889050577)</f>
        <v>0.2951388889</v>
      </c>
      <c r="S23" s="84">
        <f>IFERROR(__xludf.DUMMYFUNCTION("""COMPUTED_VALUE"""),50.99999999942851)</f>
        <v>51</v>
      </c>
      <c r="T23" s="84">
        <f>IFERROR(__xludf.DUMMYFUNCTION("""COMPUTED_VALUE"""),38.60544217667176)</f>
        <v>38.60544218</v>
      </c>
      <c r="U23" s="74">
        <f>IFERROR(__xludf.DUMMYFUNCTION("""COMPUTED_VALUE"""),520.0)</f>
        <v>520</v>
      </c>
      <c r="V23" s="82">
        <f>IFERROR(__xludf.DUMMYFUNCTION("""COMPUTED_VALUE"""),0.49652777778101154)</f>
        <v>0.4965277778</v>
      </c>
      <c r="W23" s="64">
        <f>IFERROR(__xludf.DUMMYFUNCTION("""COMPUTED_VALUE"""),43.636363636079444)</f>
        <v>43.63636364</v>
      </c>
      <c r="X23" s="84">
        <f>IFERROR(__xludf.DUMMYFUNCTION("""COMPUTED_VALUE"""),44.802721088050134)</f>
        <v>44.80272109</v>
      </c>
      <c r="Y23" s="114">
        <f>IFERROR(__xludf.DUMMYFUNCTION("""COMPUTED_VALUE"""),0.818129490353665)</f>
        <v>0.8181294904</v>
      </c>
    </row>
    <row r="24">
      <c r="A24" s="109">
        <f>IFERROR(__xludf.DUMMYFUNCTION("""COMPUTED_VALUE"""),46056.33595287037)</f>
        <v>46056.33595</v>
      </c>
      <c r="B24" s="81" t="str">
        <f>IFERROR(__xludf.DUMMYFUNCTION("""COMPUTED_VALUE"""),"Denise Romanszysn")</f>
        <v>Denise Romanszysn</v>
      </c>
      <c r="C24" s="74" t="b">
        <f>IFERROR(__xludf.DUMMYFUNCTION("""COMPUTED_VALUE"""),FALSE)</f>
        <v>0</v>
      </c>
      <c r="D24" s="137">
        <f>IFERROR(__xludf.DUMMYFUNCTION("""COMPUTED_VALUE"""),0.29861111110949423)</f>
        <v>0.2986111111</v>
      </c>
      <c r="E24" s="82">
        <f>IFERROR(__xludf.DUMMYFUNCTION("""COMPUTED_VALUE"""),0.02916666666715173)</f>
        <v>0.02916666667</v>
      </c>
      <c r="F24" s="137">
        <f>IFERROR(__xludf.DUMMYFUNCTION("""COMPUTED_VALUE"""),0.32777777777664596)</f>
        <v>0.3277777778</v>
      </c>
      <c r="G24" s="82">
        <f>IFERROR(__xludf.DUMMYFUNCTION("""COMPUTED_VALUE"""),0.14513888888905058)</f>
        <v>0.1451388889</v>
      </c>
      <c r="H24" s="74">
        <f>IFERROR(__xludf.DUMMYFUNCTION("""COMPUTED_VALUE"""),34.0)</f>
        <v>34</v>
      </c>
      <c r="I24" s="84">
        <f>IFERROR(__xludf.DUMMYFUNCTION("""COMPUTED_VALUE"""),39.04306220091344)</f>
        <v>39.0430622</v>
      </c>
      <c r="J24" s="74" t="str">
        <f>IFERROR(__xludf.DUMMYFUNCTION("""COMPUTED_VALUE"""),"Breakfast")</f>
        <v>Breakfast</v>
      </c>
      <c r="K24" s="113">
        <f>IFERROR(__xludf.DUMMYFUNCTION("""COMPUTED_VALUE"""),46056.0)</f>
        <v>46056</v>
      </c>
      <c r="L24" s="74" t="str">
        <f>IFERROR(__xludf.DUMMYFUNCTION("""COMPUTED_VALUE"""),"Tuesday")</f>
        <v>Tuesday</v>
      </c>
      <c r="M24" s="74" t="str">
        <f>IFERROR(__xludf.DUMMYFUNCTION("""COMPUTED_VALUE"""),"BF")</f>
        <v>BF</v>
      </c>
      <c r="N24" s="166">
        <f>IFERROR(__xludf.DUMMYFUNCTION("""COMPUTED_VALUE"""),1.3771487812792773)</f>
        <v>1.377148781</v>
      </c>
      <c r="O24" s="74" t="str">
        <f>IFERROR(__xludf.DUMMYFUNCTION("""COMPUTED_VALUE"""),"")</f>
        <v/>
      </c>
      <c r="P24" s="74" t="str">
        <f>IFERROR(__xludf.DUMMYFUNCTION("""COMPUTED_VALUE"""),"")</f>
        <v/>
      </c>
      <c r="Q24" s="82" t="str">
        <f>IFERROR(__xludf.DUMMYFUNCTION("""COMPUTED_VALUE"""),"")</f>
        <v/>
      </c>
      <c r="R24" s="82" t="str">
        <f>IFERROR(__xludf.DUMMYFUNCTION("""COMPUTED_VALUE"""),"")</f>
        <v/>
      </c>
      <c r="S24" s="84" t="str">
        <f>IFERROR(__xludf.DUMMYFUNCTION("""COMPUTED_VALUE"""),"")</f>
        <v/>
      </c>
      <c r="T24" s="84" t="str">
        <f>IFERROR(__xludf.DUMMYFUNCTION("""COMPUTED_VALUE"""),"")</f>
        <v/>
      </c>
      <c r="U24" s="74" t="str">
        <f>IFERROR(__xludf.DUMMYFUNCTION("""COMPUTED_VALUE"""),"")</f>
        <v/>
      </c>
      <c r="V24" s="82" t="str">
        <f>IFERROR(__xludf.DUMMYFUNCTION("""COMPUTED_VALUE"""),"")</f>
        <v/>
      </c>
      <c r="W24" s="64" t="str">
        <f>IFERROR(__xludf.DUMMYFUNCTION("""COMPUTED_VALUE"""),"")</f>
        <v/>
      </c>
      <c r="X24" s="84" t="str">
        <f>IFERROR(__xludf.DUMMYFUNCTION("""COMPUTED_VALUE"""),"")</f>
        <v/>
      </c>
      <c r="Y24" s="114" t="str">
        <f>IFERROR(__xludf.DUMMYFUNCTION("""COMPUTED_VALUE"""),"")</f>
        <v/>
      </c>
    </row>
    <row r="25">
      <c r="A25" s="109">
        <f>IFERROR(__xludf.DUMMYFUNCTION("""COMPUTED_VALUE"""),46056.49120446759)</f>
        <v>46056.4912</v>
      </c>
      <c r="B25" s="81" t="str">
        <f>IFERROR(__xludf.DUMMYFUNCTION("""COMPUTED_VALUE"""),"Denise Romanszysn")</f>
        <v>Denise Romanszysn</v>
      </c>
      <c r="C25" s="74" t="b">
        <f>IFERROR(__xludf.DUMMYFUNCTION("""COMPUTED_VALUE"""),TRUE)</f>
        <v>1</v>
      </c>
      <c r="D25" s="137">
        <f>IFERROR(__xludf.DUMMYFUNCTION("""COMPUTED_VALUE"""),0.3312500000029104)</f>
        <v>0.33125</v>
      </c>
      <c r="E25" s="82">
        <f>IFERROR(__xludf.DUMMYFUNCTION("""COMPUTED_VALUE"""),0.11597222222189885)</f>
        <v>0.1159722222</v>
      </c>
      <c r="F25" s="137">
        <f>IFERROR(__xludf.DUMMYFUNCTION("""COMPUTED_VALUE"""),0.44722222222480923)</f>
        <v>0.4472222222</v>
      </c>
      <c r="G25" s="82" t="str">
        <f>IFERROR(__xludf.DUMMYFUNCTION("""COMPUTED_VALUE"""),"")</f>
        <v/>
      </c>
      <c r="H25" s="74">
        <f>IFERROR(__xludf.DUMMYFUNCTION("""COMPUTED_VALUE"""),102.0)</f>
        <v>102</v>
      </c>
      <c r="I25" s="84" t="str">
        <f>IFERROR(__xludf.DUMMYFUNCTION("""COMPUTED_VALUE"""),"")</f>
        <v/>
      </c>
      <c r="J25" s="74" t="str">
        <f>IFERROR(__xludf.DUMMYFUNCTION("""COMPUTED_VALUE"""),"Breakfast")</f>
        <v>Breakfast</v>
      </c>
      <c r="K25" s="113">
        <f>IFERROR(__xludf.DUMMYFUNCTION("""COMPUTED_VALUE"""),46056.0)</f>
        <v>46056</v>
      </c>
      <c r="L25" s="74" t="str">
        <f>IFERROR(__xludf.DUMMYFUNCTION("""COMPUTED_VALUE"""),"Tuesday")</f>
        <v>Tuesday</v>
      </c>
      <c r="M25" s="74" t="str">
        <f>IFERROR(__xludf.DUMMYFUNCTION("""COMPUTED_VALUE"""),"BF")</f>
        <v>BF</v>
      </c>
      <c r="N25" s="166" t="str">
        <f>IFERROR(__xludf.DUMMYFUNCTION("""COMPUTED_VALUE"""),"")</f>
        <v/>
      </c>
      <c r="O25" s="74" t="str">
        <f>IFERROR(__xludf.DUMMYFUNCTION("""COMPUTED_VALUE"""),"")</f>
        <v/>
      </c>
      <c r="P25" s="74" t="str">
        <f>IFERROR(__xludf.DUMMYFUNCTION("""COMPUTED_VALUE"""),"")</f>
        <v/>
      </c>
      <c r="Q25" s="82" t="str">
        <f>IFERROR(__xludf.DUMMYFUNCTION("""COMPUTED_VALUE"""),"")</f>
        <v/>
      </c>
      <c r="R25" s="82" t="str">
        <f>IFERROR(__xludf.DUMMYFUNCTION("""COMPUTED_VALUE"""),"")</f>
        <v/>
      </c>
      <c r="S25" s="84" t="str">
        <f>IFERROR(__xludf.DUMMYFUNCTION("""COMPUTED_VALUE"""),"")</f>
        <v/>
      </c>
      <c r="T25" s="84" t="str">
        <f>IFERROR(__xludf.DUMMYFUNCTION("""COMPUTED_VALUE"""),"")</f>
        <v/>
      </c>
      <c r="U25" s="74" t="str">
        <f>IFERROR(__xludf.DUMMYFUNCTION("""COMPUTED_VALUE"""),"")</f>
        <v/>
      </c>
      <c r="V25" s="82" t="str">
        <f>IFERROR(__xludf.DUMMYFUNCTION("""COMPUTED_VALUE"""),"")</f>
        <v/>
      </c>
      <c r="W25" s="64" t="str">
        <f>IFERROR(__xludf.DUMMYFUNCTION("""COMPUTED_VALUE"""),"")</f>
        <v/>
      </c>
      <c r="X25" s="84" t="str">
        <f>IFERROR(__xludf.DUMMYFUNCTION("""COMPUTED_VALUE"""),"")</f>
        <v/>
      </c>
      <c r="Y25" s="114" t="str">
        <f>IFERROR(__xludf.DUMMYFUNCTION("""COMPUTED_VALUE"""),"")</f>
        <v/>
      </c>
    </row>
    <row r="26">
      <c r="A26" s="109">
        <f>IFERROR(__xludf.DUMMYFUNCTION("""COMPUTED_VALUE"""),46056.59429493056)</f>
        <v>46056.59429</v>
      </c>
      <c r="B26" s="81" t="str">
        <f>IFERROR(__xludf.DUMMYFUNCTION("""COMPUTED_VALUE"""),"Kaylie Forgue")</f>
        <v>Kaylie Forgue</v>
      </c>
      <c r="C26" s="74" t="b">
        <f>IFERROR(__xludf.DUMMYFUNCTION("""COMPUTED_VALUE"""),FALSE)</f>
        <v>0</v>
      </c>
      <c r="D26" s="137">
        <f>IFERROR(__xludf.DUMMYFUNCTION("""COMPUTED_VALUE"""),0.4444444444452529)</f>
        <v>0.4444444444</v>
      </c>
      <c r="E26" s="82">
        <f>IFERROR(__xludf.DUMMYFUNCTION("""COMPUTED_VALUE"""),0.07499999999708962)</f>
        <v>0.075</v>
      </c>
      <c r="F26" s="137">
        <f>IFERROR(__xludf.DUMMYFUNCTION("""COMPUTED_VALUE"""),0.5194444444423425)</f>
        <v>0.5194444444</v>
      </c>
      <c r="G26" s="82">
        <f>IFERROR(__xludf.DUMMYFUNCTION("""COMPUTED_VALUE"""),0.07499999999708962)</f>
        <v>0.075</v>
      </c>
      <c r="H26" s="74">
        <f>IFERROR(__xludf.DUMMYFUNCTION("""COMPUTED_VALUE"""),73.0)</f>
        <v>73</v>
      </c>
      <c r="I26" s="84">
        <f>IFERROR(__xludf.DUMMYFUNCTION("""COMPUTED_VALUE"""),40.55555555712932)</f>
        <v>40.55555556</v>
      </c>
      <c r="J26" s="74" t="str">
        <f>IFERROR(__xludf.DUMMYFUNCTION("""COMPUTED_VALUE"""),"Breakfast/Lunch")</f>
        <v>Breakfast/Lunch</v>
      </c>
      <c r="K26" s="113">
        <f>IFERROR(__xludf.DUMMYFUNCTION("""COMPUTED_VALUE"""),46056.0)</f>
        <v>46056</v>
      </c>
      <c r="L26" s="74" t="str">
        <f>IFERROR(__xludf.DUMMYFUNCTION("""COMPUTED_VALUE"""),"Tuesday")</f>
        <v>Tuesday</v>
      </c>
      <c r="M26" s="74" t="str">
        <f>IFERROR(__xludf.DUMMYFUNCTION("""COMPUTED_VALUE"""),"BF")</f>
        <v>BF</v>
      </c>
      <c r="N26" s="166">
        <f>IFERROR(__xludf.DUMMYFUNCTION("""COMPUTED_VALUE"""),1.2917771211858127)</f>
        <v>1.291777121</v>
      </c>
      <c r="O26" s="74" t="str">
        <f>IFERROR(__xludf.DUMMYFUNCTION("""COMPUTED_VALUE"""),"")</f>
        <v/>
      </c>
      <c r="P26" s="74" t="str">
        <f>IFERROR(__xludf.DUMMYFUNCTION("""COMPUTED_VALUE"""),"")</f>
        <v/>
      </c>
      <c r="Q26" s="82" t="str">
        <f>IFERROR(__xludf.DUMMYFUNCTION("""COMPUTED_VALUE"""),"")</f>
        <v/>
      </c>
      <c r="R26" s="82" t="str">
        <f>IFERROR(__xludf.DUMMYFUNCTION("""COMPUTED_VALUE"""),"")</f>
        <v/>
      </c>
      <c r="S26" s="84" t="str">
        <f>IFERROR(__xludf.DUMMYFUNCTION("""COMPUTED_VALUE"""),"")</f>
        <v/>
      </c>
      <c r="T26" s="84" t="str">
        <f>IFERROR(__xludf.DUMMYFUNCTION("""COMPUTED_VALUE"""),"")</f>
        <v/>
      </c>
      <c r="U26" s="74" t="str">
        <f>IFERROR(__xludf.DUMMYFUNCTION("""COMPUTED_VALUE"""),"")</f>
        <v/>
      </c>
      <c r="V26" s="82" t="str">
        <f>IFERROR(__xludf.DUMMYFUNCTION("""COMPUTED_VALUE"""),"")</f>
        <v/>
      </c>
      <c r="W26" s="64" t="str">
        <f>IFERROR(__xludf.DUMMYFUNCTION("""COMPUTED_VALUE"""),"")</f>
        <v/>
      </c>
      <c r="X26" s="84" t="str">
        <f>IFERROR(__xludf.DUMMYFUNCTION("""COMPUTED_VALUE"""),"")</f>
        <v/>
      </c>
      <c r="Y26" s="114" t="str">
        <f>IFERROR(__xludf.DUMMYFUNCTION("""COMPUTED_VALUE"""),"")</f>
        <v/>
      </c>
    </row>
    <row r="27">
      <c r="A27" s="109">
        <f>IFERROR(__xludf.DUMMYFUNCTION("""COMPUTED_VALUE"""),46056.55673972222)</f>
        <v>46056.55674</v>
      </c>
      <c r="B27" s="81" t="str">
        <f>IFERROR(__xludf.DUMMYFUNCTION("""COMPUTED_VALUE"""),"Kyra Turner")</f>
        <v>Kyra Turner</v>
      </c>
      <c r="C27" s="74" t="b">
        <f>IFERROR(__xludf.DUMMYFUNCTION("""COMPUTED_VALUE"""),FALSE)</f>
        <v>0</v>
      </c>
      <c r="D27" s="137">
        <f>IFERROR(__xludf.DUMMYFUNCTION("""COMPUTED_VALUE"""),0.48402777777664596)</f>
        <v>0.4840277778</v>
      </c>
      <c r="E27" s="82">
        <f>IFERROR(__xludf.DUMMYFUNCTION("""COMPUTED_VALUE"""),0.07013888889196096)</f>
        <v>0.07013888889</v>
      </c>
      <c r="F27" s="137">
        <f>IFERROR(__xludf.DUMMYFUNCTION("""COMPUTED_VALUE"""),0.5541666666686069)</f>
        <v>0.5541666667</v>
      </c>
      <c r="G27" s="82">
        <f>IFERROR(__xludf.DUMMYFUNCTION("""COMPUTED_VALUE"""),0.13263888889196096)</f>
        <v>0.1326388889</v>
      </c>
      <c r="H27" s="74">
        <f>IFERROR(__xludf.DUMMYFUNCTION("""COMPUTED_VALUE"""),109.0)</f>
        <v>109</v>
      </c>
      <c r="I27" s="84">
        <f>IFERROR(__xludf.DUMMYFUNCTION("""COMPUTED_VALUE"""),61.25654450119903)</f>
        <v>61.2565445</v>
      </c>
      <c r="J27" s="74" t="str">
        <f>IFERROR(__xludf.DUMMYFUNCTION("""COMPUTED_VALUE"""),"Lunch")</f>
        <v>Lunch</v>
      </c>
      <c r="K27" s="113">
        <f>IFERROR(__xludf.DUMMYFUNCTION("""COMPUTED_VALUE"""),46056.0)</f>
        <v>46056</v>
      </c>
      <c r="L27" s="74" t="str">
        <f>IFERROR(__xludf.DUMMYFUNCTION("""COMPUTED_VALUE"""),"Tuesday")</f>
        <v>Tuesday</v>
      </c>
      <c r="M27" s="74" t="str">
        <f>IFERROR(__xludf.DUMMYFUNCTION("""COMPUTED_VALUE"""),"MF")</f>
        <v>MF</v>
      </c>
      <c r="N27" s="166">
        <f>IFERROR(__xludf.DUMMYFUNCTION("""COMPUTED_VALUE"""),1.218369079255287)</f>
        <v>1.218369079</v>
      </c>
      <c r="O27" s="74" t="str">
        <f>IFERROR(__xludf.DUMMYFUNCTION("""COMPUTED_VALUE"""),"")</f>
        <v/>
      </c>
      <c r="P27" s="74" t="str">
        <f>IFERROR(__xludf.DUMMYFUNCTION("""COMPUTED_VALUE"""),"")</f>
        <v/>
      </c>
      <c r="Q27" s="82" t="str">
        <f>IFERROR(__xludf.DUMMYFUNCTION("""COMPUTED_VALUE"""),"")</f>
        <v/>
      </c>
      <c r="R27" s="82" t="str">
        <f>IFERROR(__xludf.DUMMYFUNCTION("""COMPUTED_VALUE"""),"")</f>
        <v/>
      </c>
      <c r="S27" s="84" t="str">
        <f>IFERROR(__xludf.DUMMYFUNCTION("""COMPUTED_VALUE"""),"")</f>
        <v/>
      </c>
      <c r="T27" s="84" t="str">
        <f>IFERROR(__xludf.DUMMYFUNCTION("""COMPUTED_VALUE"""),"")</f>
        <v/>
      </c>
      <c r="U27" s="74" t="str">
        <f>IFERROR(__xludf.DUMMYFUNCTION("""COMPUTED_VALUE"""),"")</f>
        <v/>
      </c>
      <c r="V27" s="82" t="str">
        <f>IFERROR(__xludf.DUMMYFUNCTION("""COMPUTED_VALUE"""),"")</f>
        <v/>
      </c>
      <c r="W27" s="64" t="str">
        <f>IFERROR(__xludf.DUMMYFUNCTION("""COMPUTED_VALUE"""),"")</f>
        <v/>
      </c>
      <c r="X27" s="84" t="str">
        <f>IFERROR(__xludf.DUMMYFUNCTION("""COMPUTED_VALUE"""),"")</f>
        <v/>
      </c>
      <c r="Y27" s="114" t="str">
        <f>IFERROR(__xludf.DUMMYFUNCTION("""COMPUTED_VALUE"""),"")</f>
        <v/>
      </c>
    </row>
    <row r="28">
      <c r="A28" s="109">
        <f>IFERROR(__xludf.DUMMYFUNCTION("""COMPUTED_VALUE"""),46056.62460309028)</f>
        <v>46056.6246</v>
      </c>
      <c r="B28" s="81" t="str">
        <f>IFERROR(__xludf.DUMMYFUNCTION("""COMPUTED_VALUE"""),"Kyra Turner")</f>
        <v>Kyra Turner</v>
      </c>
      <c r="C28" s="74" t="b">
        <f>IFERROR(__xludf.DUMMYFUNCTION("""COMPUTED_VALUE"""),TRUE)</f>
        <v>1</v>
      </c>
      <c r="D28" s="137">
        <f>IFERROR(__xludf.DUMMYFUNCTION("""COMPUTED_VALUE"""),0.5597222222204437)</f>
        <v>0.5597222222</v>
      </c>
      <c r="E28" s="82">
        <f>IFERROR(__xludf.DUMMYFUNCTION("""COMPUTED_VALUE"""),0.0625)</f>
        <v>0.0625</v>
      </c>
      <c r="F28" s="137">
        <f>IFERROR(__xludf.DUMMYFUNCTION("""COMPUTED_VALUE"""),0.6222222222204437)</f>
        <v>0.6222222222</v>
      </c>
      <c r="G28" s="82" t="str">
        <f>IFERROR(__xludf.DUMMYFUNCTION("""COMPUTED_VALUE"""),"")</f>
        <v/>
      </c>
      <c r="H28" s="74">
        <f>IFERROR(__xludf.DUMMYFUNCTION("""COMPUTED_VALUE"""),86.0)</f>
        <v>86</v>
      </c>
      <c r="I28" s="84" t="str">
        <f>IFERROR(__xludf.DUMMYFUNCTION("""COMPUTED_VALUE"""),"")</f>
        <v/>
      </c>
      <c r="J28" s="74" t="str">
        <f>IFERROR(__xludf.DUMMYFUNCTION("""COMPUTED_VALUE"""),"Lunch")</f>
        <v>Lunch</v>
      </c>
      <c r="K28" s="113">
        <f>IFERROR(__xludf.DUMMYFUNCTION("""COMPUTED_VALUE"""),46056.0)</f>
        <v>46056</v>
      </c>
      <c r="L28" s="74" t="str">
        <f>IFERROR(__xludf.DUMMYFUNCTION("""COMPUTED_VALUE"""),"Tuesday")</f>
        <v>Tuesday</v>
      </c>
      <c r="M28" s="74" t="str">
        <f>IFERROR(__xludf.DUMMYFUNCTION("""COMPUTED_VALUE"""),"MF")</f>
        <v>MF</v>
      </c>
      <c r="N28" s="166" t="str">
        <f>IFERROR(__xludf.DUMMYFUNCTION("""COMPUTED_VALUE"""),"")</f>
        <v/>
      </c>
      <c r="O28" s="74" t="str">
        <f>IFERROR(__xludf.DUMMYFUNCTION("""COMPUTED_VALUE"""),"")</f>
        <v/>
      </c>
      <c r="P28" s="74" t="str">
        <f>IFERROR(__xludf.DUMMYFUNCTION("""COMPUTED_VALUE"""),"")</f>
        <v/>
      </c>
      <c r="Q28" s="82" t="str">
        <f>IFERROR(__xludf.DUMMYFUNCTION("""COMPUTED_VALUE"""),"")</f>
        <v/>
      </c>
      <c r="R28" s="82" t="str">
        <f>IFERROR(__xludf.DUMMYFUNCTION("""COMPUTED_VALUE"""),"")</f>
        <v/>
      </c>
      <c r="S28" s="84" t="str">
        <f>IFERROR(__xludf.DUMMYFUNCTION("""COMPUTED_VALUE"""),"")</f>
        <v/>
      </c>
      <c r="T28" s="84" t="str">
        <f>IFERROR(__xludf.DUMMYFUNCTION("""COMPUTED_VALUE"""),"")</f>
        <v/>
      </c>
      <c r="U28" s="74" t="str">
        <f>IFERROR(__xludf.DUMMYFUNCTION("""COMPUTED_VALUE"""),"")</f>
        <v/>
      </c>
      <c r="V28" s="82" t="str">
        <f>IFERROR(__xludf.DUMMYFUNCTION("""COMPUTED_VALUE"""),"")</f>
        <v/>
      </c>
      <c r="W28" s="64" t="str">
        <f>IFERROR(__xludf.DUMMYFUNCTION("""COMPUTED_VALUE"""),"")</f>
        <v/>
      </c>
      <c r="X28" s="84" t="str">
        <f>IFERROR(__xludf.DUMMYFUNCTION("""COMPUTED_VALUE"""),"")</f>
        <v/>
      </c>
      <c r="Y28" s="114" t="str">
        <f>IFERROR(__xludf.DUMMYFUNCTION("""COMPUTED_VALUE"""),"")</f>
        <v/>
      </c>
    </row>
    <row r="29">
      <c r="A29" s="109">
        <f>IFERROR(__xludf.DUMMYFUNCTION("""COMPUTED_VALUE"""),46056.83776568287)</f>
        <v>46056.83777</v>
      </c>
      <c r="B29" s="81" t="str">
        <f>IFERROR(__xludf.DUMMYFUNCTION("""COMPUTED_VALUE"""),"Leah Bucci")</f>
        <v>Leah Bucci</v>
      </c>
      <c r="C29" s="74" t="b">
        <f>IFERROR(__xludf.DUMMYFUNCTION("""COMPUTED_VALUE"""),FALSE)</f>
        <v>0</v>
      </c>
      <c r="D29" s="137">
        <f>IFERROR(__xludf.DUMMYFUNCTION("""COMPUTED_VALUE"""),0.6875)</f>
        <v>0.6875</v>
      </c>
      <c r="E29" s="82">
        <f>IFERROR(__xludf.DUMMYFUNCTION("""COMPUTED_VALUE"""),0.0625)</f>
        <v>0.0625</v>
      </c>
      <c r="F29" s="137">
        <f>IFERROR(__xludf.DUMMYFUNCTION("""COMPUTED_VALUE"""),0.75)</f>
        <v>0.75</v>
      </c>
      <c r="G29" s="82">
        <f>IFERROR(__xludf.DUMMYFUNCTION("""COMPUTED_VALUE"""),0.14930555556202307)</f>
        <v>0.1493055556</v>
      </c>
      <c r="H29" s="74">
        <f>IFERROR(__xludf.DUMMYFUNCTION("""COMPUTED_VALUE"""),154.0)</f>
        <v>154</v>
      </c>
      <c r="I29" s="84">
        <f>IFERROR(__xludf.DUMMYFUNCTION("""COMPUTED_VALUE"""),60.558139532260505)</f>
        <v>60.55813953</v>
      </c>
      <c r="J29" s="74" t="str">
        <f>IFERROR(__xludf.DUMMYFUNCTION("""COMPUTED_VALUE"""),"Dinner")</f>
        <v>Dinner</v>
      </c>
      <c r="K29" s="113">
        <f>IFERROR(__xludf.DUMMYFUNCTION("""COMPUTED_VALUE"""),46056.0)</f>
        <v>46056</v>
      </c>
      <c r="L29" s="74" t="str">
        <f>IFERROR(__xludf.DUMMYFUNCTION("""COMPUTED_VALUE"""),"Tuesday")</f>
        <v>Tuesday</v>
      </c>
      <c r="M29" s="74" t="str">
        <f>IFERROR(__xludf.DUMMYFUNCTION("""COMPUTED_VALUE"""),"BF")</f>
        <v>BF</v>
      </c>
      <c r="N29" s="166">
        <f>IFERROR(__xludf.DUMMYFUNCTION("""COMPUTED_VALUE"""),1.3629453398366689)</f>
        <v>1.36294534</v>
      </c>
      <c r="O29" s="74" t="str">
        <f>IFERROR(__xludf.DUMMYFUNCTION("""COMPUTED_VALUE"""),"")</f>
        <v/>
      </c>
      <c r="P29" s="74" t="str">
        <f>IFERROR(__xludf.DUMMYFUNCTION("""COMPUTED_VALUE"""),"")</f>
        <v/>
      </c>
      <c r="Q29" s="82" t="str">
        <f>IFERROR(__xludf.DUMMYFUNCTION("""COMPUTED_VALUE"""),"")</f>
        <v/>
      </c>
      <c r="R29" s="82" t="str">
        <f>IFERROR(__xludf.DUMMYFUNCTION("""COMPUTED_VALUE"""),"")</f>
        <v/>
      </c>
      <c r="S29" s="84" t="str">
        <f>IFERROR(__xludf.DUMMYFUNCTION("""COMPUTED_VALUE"""),"")</f>
        <v/>
      </c>
      <c r="T29" s="84" t="str">
        <f>IFERROR(__xludf.DUMMYFUNCTION("""COMPUTED_VALUE"""),"")</f>
        <v/>
      </c>
      <c r="U29" s="74" t="str">
        <f>IFERROR(__xludf.DUMMYFUNCTION("""COMPUTED_VALUE"""),"")</f>
        <v/>
      </c>
      <c r="V29" s="82" t="str">
        <f>IFERROR(__xludf.DUMMYFUNCTION("""COMPUTED_VALUE"""),"")</f>
        <v/>
      </c>
      <c r="W29" s="64" t="str">
        <f>IFERROR(__xludf.DUMMYFUNCTION("""COMPUTED_VALUE"""),"")</f>
        <v/>
      </c>
      <c r="X29" s="84" t="str">
        <f>IFERROR(__xludf.DUMMYFUNCTION("""COMPUTED_VALUE"""),"")</f>
        <v/>
      </c>
      <c r="Y29" s="114" t="str">
        <f>IFERROR(__xludf.DUMMYFUNCTION("""COMPUTED_VALUE"""),"")</f>
        <v/>
      </c>
    </row>
    <row r="30">
      <c r="A30" s="109">
        <f>IFERROR(__xludf.DUMMYFUNCTION("""COMPUTED_VALUE"""),46056.83851019676)</f>
        <v>46056.83851</v>
      </c>
      <c r="B30" s="81" t="str">
        <f>IFERROR(__xludf.DUMMYFUNCTION("""COMPUTED_VALUE"""),"Leah Bucci")</f>
        <v>Leah Bucci</v>
      </c>
      <c r="C30" s="74" t="b">
        <f>IFERROR(__xludf.DUMMYFUNCTION("""COMPUTED_VALUE"""),TRUE)</f>
        <v>1</v>
      </c>
      <c r="D30" s="137">
        <f>IFERROR(__xludf.DUMMYFUNCTION("""COMPUTED_VALUE"""),0.7534722222189885)</f>
        <v>0.7534722222</v>
      </c>
      <c r="E30" s="82">
        <f>IFERROR(__xludf.DUMMYFUNCTION("""COMPUTED_VALUE"""),0.08680555556202307)</f>
        <v>0.08680555556</v>
      </c>
      <c r="F30" s="137">
        <f>IFERROR(__xludf.DUMMYFUNCTION("""COMPUTED_VALUE"""),0.8402777777810115)</f>
        <v>0.8402777778</v>
      </c>
      <c r="G30" s="82" t="str">
        <f>IFERROR(__xludf.DUMMYFUNCTION("""COMPUTED_VALUE"""),"")</f>
        <v/>
      </c>
      <c r="H30" s="74">
        <f>IFERROR(__xludf.DUMMYFUNCTION("""COMPUTED_VALUE"""),63.0)</f>
        <v>63</v>
      </c>
      <c r="I30" s="84" t="str">
        <f>IFERROR(__xludf.DUMMYFUNCTION("""COMPUTED_VALUE"""),"")</f>
        <v/>
      </c>
      <c r="J30" s="74" t="str">
        <f>IFERROR(__xludf.DUMMYFUNCTION("""COMPUTED_VALUE"""),"Dinner")</f>
        <v>Dinner</v>
      </c>
      <c r="K30" s="113">
        <f>IFERROR(__xludf.DUMMYFUNCTION("""COMPUTED_VALUE"""),46056.0)</f>
        <v>46056</v>
      </c>
      <c r="L30" s="74" t="str">
        <f>IFERROR(__xludf.DUMMYFUNCTION("""COMPUTED_VALUE"""),"Tuesday")</f>
        <v>Tuesday</v>
      </c>
      <c r="M30" s="74" t="str">
        <f>IFERROR(__xludf.DUMMYFUNCTION("""COMPUTED_VALUE"""),"BF")</f>
        <v>BF</v>
      </c>
      <c r="N30" s="166" t="str">
        <f>IFERROR(__xludf.DUMMYFUNCTION("""COMPUTED_VALUE"""),"")</f>
        <v/>
      </c>
      <c r="O30" s="74" t="str">
        <f>IFERROR(__xludf.DUMMYFUNCTION("""COMPUTED_VALUE"""),"")</f>
        <v/>
      </c>
      <c r="P30" s="74" t="str">
        <f>IFERROR(__xludf.DUMMYFUNCTION("""COMPUTED_VALUE"""),"")</f>
        <v/>
      </c>
      <c r="Q30" s="82" t="str">
        <f>IFERROR(__xludf.DUMMYFUNCTION("""COMPUTED_VALUE"""),"")</f>
        <v/>
      </c>
      <c r="R30" s="82" t="str">
        <f>IFERROR(__xludf.DUMMYFUNCTION("""COMPUTED_VALUE"""),"")</f>
        <v/>
      </c>
      <c r="S30" s="84" t="str">
        <f>IFERROR(__xludf.DUMMYFUNCTION("""COMPUTED_VALUE"""),"")</f>
        <v/>
      </c>
      <c r="T30" s="84" t="str">
        <f>IFERROR(__xludf.DUMMYFUNCTION("""COMPUTED_VALUE"""),"")</f>
        <v/>
      </c>
      <c r="U30" s="74" t="str">
        <f>IFERROR(__xludf.DUMMYFUNCTION("""COMPUTED_VALUE"""),"")</f>
        <v/>
      </c>
      <c r="V30" s="82" t="str">
        <f>IFERROR(__xludf.DUMMYFUNCTION("""COMPUTED_VALUE"""),"")</f>
        <v/>
      </c>
      <c r="W30" s="64" t="str">
        <f>IFERROR(__xludf.DUMMYFUNCTION("""COMPUTED_VALUE"""),"")</f>
        <v/>
      </c>
      <c r="X30" s="84" t="str">
        <f>IFERROR(__xludf.DUMMYFUNCTION("""COMPUTED_VALUE"""),"")</f>
        <v/>
      </c>
      <c r="Y30" s="114" t="str">
        <f>IFERROR(__xludf.DUMMYFUNCTION("""COMPUTED_VALUE"""),"")</f>
        <v/>
      </c>
    </row>
    <row r="31">
      <c r="A31" s="109">
        <f>IFERROR(__xludf.DUMMYFUNCTION("""COMPUTED_VALUE"""),46056.84040743056)</f>
        <v>46056.84041</v>
      </c>
      <c r="B31" s="81" t="str">
        <f>IFERROR(__xludf.DUMMYFUNCTION("""COMPUTED_VALUE"""),"Alexis Sylvestre")</f>
        <v>Alexis Sylvestre</v>
      </c>
      <c r="C31" s="74" t="b">
        <f>IFERROR(__xludf.DUMMYFUNCTION("""COMPUTED_VALUE"""),FALSE)</f>
        <v>0</v>
      </c>
      <c r="D31" s="137">
        <f>IFERROR(__xludf.DUMMYFUNCTION("""COMPUTED_VALUE"""),0.6666666666642413)</f>
        <v>0.6666666667</v>
      </c>
      <c r="E31" s="82">
        <f>IFERROR(__xludf.DUMMYFUNCTION("""COMPUTED_VALUE"""),0.0847222222291748)</f>
        <v>0.08472222223</v>
      </c>
      <c r="F31" s="137">
        <f>IFERROR(__xludf.DUMMYFUNCTION("""COMPUTED_VALUE"""),0.7513888888934162)</f>
        <v>0.7513888889</v>
      </c>
      <c r="G31" s="82">
        <f>IFERROR(__xludf.DUMMYFUNCTION("""COMPUTED_VALUE"""),0.0847222222291748)</f>
        <v>0.08472222223</v>
      </c>
      <c r="H31" s="74">
        <f>IFERROR(__xludf.DUMMYFUNCTION("""COMPUTED_VALUE"""),99.0)</f>
        <v>99</v>
      </c>
      <c r="I31" s="84">
        <f>IFERROR(__xludf.DUMMYFUNCTION("""COMPUTED_VALUE"""),48.6885245861684)</f>
        <v>48.68852459</v>
      </c>
      <c r="J31" s="74" t="str">
        <f>IFERROR(__xludf.DUMMYFUNCTION("""COMPUTED_VALUE"""),"Dinner")</f>
        <v>Dinner</v>
      </c>
      <c r="K31" s="113">
        <f>IFERROR(__xludf.DUMMYFUNCTION("""COMPUTED_VALUE"""),46056.0)</f>
        <v>46056</v>
      </c>
      <c r="L31" s="74" t="str">
        <f>IFERROR(__xludf.DUMMYFUNCTION("""COMPUTED_VALUE"""),"Tuesday")</f>
        <v>Tuesday</v>
      </c>
      <c r="M31" s="74" t="str">
        <f>IFERROR(__xludf.DUMMYFUNCTION("""COMPUTED_VALUE"""),"MF")</f>
        <v>MF</v>
      </c>
      <c r="N31" s="166">
        <f>IFERROR(__xludf.DUMMYFUNCTION("""COMPUTED_VALUE"""),1.049781384629203)</f>
        <v>1.049781385</v>
      </c>
      <c r="O31" s="74" t="str">
        <f>IFERROR(__xludf.DUMMYFUNCTION("""COMPUTED_VALUE"""),"")</f>
        <v/>
      </c>
      <c r="P31" s="74" t="str">
        <f>IFERROR(__xludf.DUMMYFUNCTION("""COMPUTED_VALUE"""),"")</f>
        <v/>
      </c>
      <c r="Q31" s="82" t="str">
        <f>IFERROR(__xludf.DUMMYFUNCTION("""COMPUTED_VALUE"""),"")</f>
        <v/>
      </c>
      <c r="R31" s="82" t="str">
        <f>IFERROR(__xludf.DUMMYFUNCTION("""COMPUTED_VALUE"""),"")</f>
        <v/>
      </c>
      <c r="S31" s="84" t="str">
        <f>IFERROR(__xludf.DUMMYFUNCTION("""COMPUTED_VALUE"""),"")</f>
        <v/>
      </c>
      <c r="T31" s="84" t="str">
        <f>IFERROR(__xludf.DUMMYFUNCTION("""COMPUTED_VALUE"""),"")</f>
        <v/>
      </c>
      <c r="U31" s="74" t="str">
        <f>IFERROR(__xludf.DUMMYFUNCTION("""COMPUTED_VALUE"""),"")</f>
        <v/>
      </c>
      <c r="V31" s="82" t="str">
        <f>IFERROR(__xludf.DUMMYFUNCTION("""COMPUTED_VALUE"""),"")</f>
        <v/>
      </c>
      <c r="W31" s="64" t="str">
        <f>IFERROR(__xludf.DUMMYFUNCTION("""COMPUTED_VALUE"""),"")</f>
        <v/>
      </c>
      <c r="X31" s="84" t="str">
        <f>IFERROR(__xludf.DUMMYFUNCTION("""COMPUTED_VALUE"""),"")</f>
        <v/>
      </c>
      <c r="Y31" s="114" t="str">
        <f>IFERROR(__xludf.DUMMYFUNCTION("""COMPUTED_VALUE"""),"")</f>
        <v/>
      </c>
    </row>
    <row r="32">
      <c r="A32" s="109">
        <f>IFERROR(__xludf.DUMMYFUNCTION("""COMPUTED_VALUE"""),46057.062216307866)</f>
        <v>46057.06222</v>
      </c>
      <c r="B32" s="81" t="str">
        <f>IFERROR(__xludf.DUMMYFUNCTION("""COMPUTED_VALUE"""),"Arjya Aich")</f>
        <v>Arjya Aich</v>
      </c>
      <c r="C32" s="74" t="b">
        <f>IFERROR(__xludf.DUMMYFUNCTION("""COMPUTED_VALUE"""),FALSE)</f>
        <v>0</v>
      </c>
      <c r="D32" s="137">
        <f>IFERROR(__xludf.DUMMYFUNCTION("""COMPUTED_VALUE"""),0.7916666666642413)</f>
        <v>0.7916666667</v>
      </c>
      <c r="E32" s="82">
        <f>IFERROR(__xludf.DUMMYFUNCTION("""COMPUTED_VALUE"""),0.08333333333575865)</f>
        <v>0.08333333334</v>
      </c>
      <c r="F32" s="137">
        <f>IFERROR(__xludf.DUMMYFUNCTION("""COMPUTED_VALUE"""),0.875)</f>
        <v>0.875</v>
      </c>
      <c r="G32" s="82">
        <f>IFERROR(__xludf.DUMMYFUNCTION("""COMPUTED_VALUE"""),0.08333333333575865)</f>
        <v>0.08333333334</v>
      </c>
      <c r="H32" s="74">
        <f>IFERROR(__xludf.DUMMYFUNCTION("""COMPUTED_VALUE"""),89.0)</f>
        <v>89</v>
      </c>
      <c r="I32" s="84">
        <f>IFERROR(__xludf.DUMMYFUNCTION("""COMPUTED_VALUE"""),44.49999999870488)</f>
        <v>44.5</v>
      </c>
      <c r="J32" s="74" t="str">
        <f>IFERROR(__xludf.DUMMYFUNCTION("""COMPUTED_VALUE"""),"Dinner")</f>
        <v>Dinner</v>
      </c>
      <c r="K32" s="113">
        <f>IFERROR(__xludf.DUMMYFUNCTION("""COMPUTED_VALUE"""),46056.0)</f>
        <v>46056</v>
      </c>
      <c r="L32" s="74" t="str">
        <f>IFERROR(__xludf.DUMMYFUNCTION("""COMPUTED_VALUE"""),"Tuesday")</f>
        <v>Tuesday</v>
      </c>
      <c r="M32" s="74" t="str">
        <f>IFERROR(__xludf.DUMMYFUNCTION("""COMPUTED_VALUE"""),"MF")</f>
        <v>MF</v>
      </c>
      <c r="N32" s="114">
        <f>IFERROR(__xludf.DUMMYFUNCTION("""COMPUTED_VALUE"""),0.9594719086622513)</f>
        <v>0.9594719087</v>
      </c>
      <c r="O32" s="74" t="str">
        <f>IFERROR(__xludf.DUMMYFUNCTION("""COMPUTED_VALUE"""),"")</f>
        <v/>
      </c>
      <c r="P32" s="74" t="str">
        <f>IFERROR(__xludf.DUMMYFUNCTION("""COMPUTED_VALUE"""),"")</f>
        <v/>
      </c>
      <c r="Q32" s="82" t="str">
        <f>IFERROR(__xludf.DUMMYFUNCTION("""COMPUTED_VALUE"""),"")</f>
        <v/>
      </c>
      <c r="R32" s="82" t="str">
        <f>IFERROR(__xludf.DUMMYFUNCTION("""COMPUTED_VALUE"""),"")</f>
        <v/>
      </c>
      <c r="S32" s="84" t="str">
        <f>IFERROR(__xludf.DUMMYFUNCTION("""COMPUTED_VALUE"""),"")</f>
        <v/>
      </c>
      <c r="T32" s="84" t="str">
        <f>IFERROR(__xludf.DUMMYFUNCTION("""COMPUTED_VALUE"""),"")</f>
        <v/>
      </c>
      <c r="U32" s="74" t="str">
        <f>IFERROR(__xludf.DUMMYFUNCTION("""COMPUTED_VALUE"""),"")</f>
        <v/>
      </c>
      <c r="V32" s="82" t="str">
        <f>IFERROR(__xludf.DUMMYFUNCTION("""COMPUTED_VALUE"""),"")</f>
        <v/>
      </c>
      <c r="W32" s="64" t="str">
        <f>IFERROR(__xludf.DUMMYFUNCTION("""COMPUTED_VALUE"""),"")</f>
        <v/>
      </c>
      <c r="X32" s="84" t="str">
        <f>IFERROR(__xludf.DUMMYFUNCTION("""COMPUTED_VALUE"""),"")</f>
        <v/>
      </c>
      <c r="Y32" s="114" t="str">
        <f>IFERROR(__xludf.DUMMYFUNCTION("""COMPUTED_VALUE"""),"")</f>
        <v/>
      </c>
    </row>
    <row r="33">
      <c r="A33" s="109">
        <f>IFERROR(__xludf.DUMMYFUNCTION("""COMPUTED_VALUE"""),46057.37776274305)</f>
        <v>46057.37776</v>
      </c>
      <c r="B33" s="81" t="str">
        <f>IFERROR(__xludf.DUMMYFUNCTION("""COMPUTED_VALUE"""),"Oluwatimilehin Shodipe")</f>
        <v>Oluwatimilehin Shodipe</v>
      </c>
      <c r="C33" s="74" t="b">
        <f>IFERROR(__xludf.DUMMYFUNCTION("""COMPUTED_VALUE"""),FALSE)</f>
        <v>0</v>
      </c>
      <c r="D33" s="137">
        <f>IFERROR(__xludf.DUMMYFUNCTION("""COMPUTED_VALUE"""),0.5243055555547471)</f>
        <v>0.5243055556</v>
      </c>
      <c r="E33" s="82">
        <f>IFERROR(__xludf.DUMMYFUNCTION("""COMPUTED_VALUE"""),0.12152777777858625)</f>
        <v>0.1215277778</v>
      </c>
      <c r="F33" s="137">
        <f>IFERROR(__xludf.DUMMYFUNCTION("""COMPUTED_VALUE"""),0.6458333333333334)</f>
        <v>0.6458333333</v>
      </c>
      <c r="G33" s="82">
        <f>IFERROR(__xludf.DUMMYFUNCTION("""COMPUTED_VALUE"""),0.12152777777858625)</f>
        <v>0.1215277778</v>
      </c>
      <c r="H33" s="74">
        <f>IFERROR(__xludf.DUMMYFUNCTION("""COMPUTED_VALUE"""),81.0)</f>
        <v>81</v>
      </c>
      <c r="I33" s="84">
        <f>IFERROR(__xludf.DUMMYFUNCTION("""COMPUTED_VALUE"""),27.77142857124382)</f>
        <v>27.77142857</v>
      </c>
      <c r="J33" s="74" t="str">
        <f>IFERROR(__xludf.DUMMYFUNCTION("""COMPUTED_VALUE"""),"Lunch")</f>
        <v>Lunch</v>
      </c>
      <c r="K33" s="113">
        <f>IFERROR(__xludf.DUMMYFUNCTION("""COMPUTED_VALUE"""),46056.0)</f>
        <v>46056</v>
      </c>
      <c r="L33" s="74" t="str">
        <f>IFERROR(__xludf.DUMMYFUNCTION("""COMPUTED_VALUE"""),"Tuesday")</f>
        <v>Tuesday</v>
      </c>
      <c r="M33" s="74" t="str">
        <f>IFERROR(__xludf.DUMMYFUNCTION("""COMPUTED_VALUE"""),"BF")</f>
        <v>BF</v>
      </c>
      <c r="N33" s="114">
        <f>IFERROR(__xludf.DUMMYFUNCTION("""COMPUTED_VALUE"""),0.979569399922175)</f>
        <v>0.9795693999</v>
      </c>
      <c r="O33" s="74">
        <f>IFERROR(__xludf.DUMMYFUNCTION("""COMPUTED_VALUE"""),383.0)</f>
        <v>383</v>
      </c>
      <c r="P33" s="74">
        <f>IFERROR(__xludf.DUMMYFUNCTION("""COMPUTED_VALUE"""),507.0)</f>
        <v>507</v>
      </c>
      <c r="Q33" s="82">
        <f>IFERROR(__xludf.DUMMYFUNCTION("""COMPUTED_VALUE"""),0.3006944444568944)</f>
        <v>0.3006944445</v>
      </c>
      <c r="R33" s="82">
        <f>IFERROR(__xludf.DUMMYFUNCTION("""COMPUTED_VALUE"""),0.4909722222267495)</f>
        <v>0.4909722222</v>
      </c>
      <c r="S33" s="84">
        <f>IFERROR(__xludf.DUMMYFUNCTION("""COMPUTED_VALUE"""),51.48168969535743)</f>
        <v>51.4816897</v>
      </c>
      <c r="T33" s="84">
        <f>IFERROR(__xludf.DUMMYFUNCTION("""COMPUTED_VALUE"""),41.98204646538677)</f>
        <v>41.98204647</v>
      </c>
      <c r="U33" s="74">
        <f>IFERROR(__xludf.DUMMYFUNCTION("""COMPUTED_VALUE"""),890.0)</f>
        <v>890</v>
      </c>
      <c r="V33" s="82">
        <f>IFERROR(__xludf.DUMMYFUNCTION("""COMPUTED_VALUE"""),0.7916666666836439)</f>
        <v>0.7916666667</v>
      </c>
      <c r="W33" s="64">
        <f>IFERROR(__xludf.DUMMYFUNCTION("""COMPUTED_VALUE"""),46.84210526215337)</f>
        <v>46.84210526</v>
      </c>
      <c r="X33" s="84">
        <f>IFERROR(__xludf.DUMMYFUNCTION("""COMPUTED_VALUE"""),46.053322135374195)</f>
        <v>46.05332214</v>
      </c>
      <c r="Y33" s="114">
        <f>IFERROR(__xludf.DUMMYFUNCTION("""COMPUTED_VALUE"""),0.6390684196348767)</f>
        <v>0.6390684196</v>
      </c>
    </row>
    <row r="34">
      <c r="A34" s="109">
        <f>IFERROR(__xludf.DUMMYFUNCTION("""COMPUTED_VALUE"""),46057.389669236116)</f>
        <v>46057.38967</v>
      </c>
      <c r="B34" s="81" t="str">
        <f>IFERROR(__xludf.DUMMYFUNCTION("""COMPUTED_VALUE"""),"Kaylie Forgue")</f>
        <v>Kaylie Forgue</v>
      </c>
      <c r="C34" s="74" t="b">
        <f>IFERROR(__xludf.DUMMYFUNCTION("""COMPUTED_VALUE"""),FALSE)</f>
        <v>0</v>
      </c>
      <c r="D34" s="137">
        <f>IFERROR(__xludf.DUMMYFUNCTION("""COMPUTED_VALUE"""),0.3118055555532919)</f>
        <v>0.3118055556</v>
      </c>
      <c r="E34" s="82">
        <f>IFERROR(__xludf.DUMMYFUNCTION("""COMPUTED_VALUE"""),0.05625000000145519)</f>
        <v>0.05625</v>
      </c>
      <c r="F34" s="137">
        <f>IFERROR(__xludf.DUMMYFUNCTION("""COMPUTED_VALUE"""),0.3680555555547471)</f>
        <v>0.3680555556</v>
      </c>
      <c r="G34" s="82">
        <f>IFERROR(__xludf.DUMMYFUNCTION("""COMPUTED_VALUE"""),0.05625000000145519)</f>
        <v>0.05625</v>
      </c>
      <c r="H34" s="74">
        <f>IFERROR(__xludf.DUMMYFUNCTION("""COMPUTED_VALUE"""),92.0)</f>
        <v>92</v>
      </c>
      <c r="I34" s="84">
        <f>IFERROR(__xludf.DUMMYFUNCTION("""COMPUTED_VALUE"""),68.14814814638515)</f>
        <v>68.14814815</v>
      </c>
      <c r="J34" s="74" t="str">
        <f>IFERROR(__xludf.DUMMYFUNCTION("""COMPUTED_VALUE"""),"Breakfast")</f>
        <v>Breakfast</v>
      </c>
      <c r="K34" s="113">
        <f>IFERROR(__xludf.DUMMYFUNCTION("""COMPUTED_VALUE"""),46057.0)</f>
        <v>46057</v>
      </c>
      <c r="L34" s="74" t="str">
        <f>IFERROR(__xludf.DUMMYFUNCTION("""COMPUTED_VALUE"""),"Wednesday")</f>
        <v>Wednesday</v>
      </c>
      <c r="M34" s="74" t="str">
        <f>IFERROR(__xludf.DUMMYFUNCTION("""COMPUTED_VALUE"""),"BF")</f>
        <v>BF</v>
      </c>
      <c r="N34" s="114">
        <f>IFERROR(__xludf.DUMMYFUNCTION("""COMPUTED_VALUE"""),2.403759691882935)</f>
        <v>2.403759692</v>
      </c>
      <c r="O34" s="74" t="str">
        <f>IFERROR(__xludf.DUMMYFUNCTION("""COMPUTED_VALUE"""),"")</f>
        <v/>
      </c>
      <c r="P34" s="74" t="str">
        <f>IFERROR(__xludf.DUMMYFUNCTION("""COMPUTED_VALUE"""),"")</f>
        <v/>
      </c>
      <c r="Q34" s="82" t="str">
        <f>IFERROR(__xludf.DUMMYFUNCTION("""COMPUTED_VALUE"""),"")</f>
        <v/>
      </c>
      <c r="R34" s="82" t="str">
        <f>IFERROR(__xludf.DUMMYFUNCTION("""COMPUTED_VALUE"""),"")</f>
        <v/>
      </c>
      <c r="S34" s="84" t="str">
        <f>IFERROR(__xludf.DUMMYFUNCTION("""COMPUTED_VALUE"""),"")</f>
        <v/>
      </c>
      <c r="T34" s="84" t="str">
        <f>IFERROR(__xludf.DUMMYFUNCTION("""COMPUTED_VALUE"""),"")</f>
        <v/>
      </c>
      <c r="U34" s="74" t="str">
        <f>IFERROR(__xludf.DUMMYFUNCTION("""COMPUTED_VALUE"""),"")</f>
        <v/>
      </c>
      <c r="V34" s="82" t="str">
        <f>IFERROR(__xludf.DUMMYFUNCTION("""COMPUTED_VALUE"""),"")</f>
        <v/>
      </c>
      <c r="W34" s="64" t="str">
        <f>IFERROR(__xludf.DUMMYFUNCTION("""COMPUTED_VALUE"""),"")</f>
        <v/>
      </c>
      <c r="X34" s="84" t="str">
        <f>IFERROR(__xludf.DUMMYFUNCTION("""COMPUTED_VALUE"""),"")</f>
        <v/>
      </c>
      <c r="Y34" s="114" t="str">
        <f>IFERROR(__xludf.DUMMYFUNCTION("""COMPUTED_VALUE"""),"")</f>
        <v/>
      </c>
    </row>
    <row r="35">
      <c r="A35" s="109">
        <f>IFERROR(__xludf.DUMMYFUNCTION("""COMPUTED_VALUE"""),46057.537840868055)</f>
        <v>46057.53784</v>
      </c>
      <c r="B35" s="81" t="str">
        <f>IFERROR(__xludf.DUMMYFUNCTION("""COMPUTED_VALUE"""),"Oluwatimilehin Shodipe")</f>
        <v>Oluwatimilehin Shodipe</v>
      </c>
      <c r="C35" s="74" t="b">
        <f>IFERROR(__xludf.DUMMYFUNCTION("""COMPUTED_VALUE"""),FALSE)</f>
        <v>0</v>
      </c>
      <c r="D35" s="137">
        <f>IFERROR(__xludf.DUMMYFUNCTION("""COMPUTED_VALUE"""),0.47916666666424135)</f>
        <v>0.4791666667</v>
      </c>
      <c r="E35" s="82">
        <f>IFERROR(__xludf.DUMMYFUNCTION("""COMPUTED_VALUE"""),0.05902777778101154)</f>
        <v>0.05902777778</v>
      </c>
      <c r="F35" s="137">
        <f>IFERROR(__xludf.DUMMYFUNCTION("""COMPUTED_VALUE"""),0.5381944444452529)</f>
        <v>0.5381944444</v>
      </c>
      <c r="G35" s="82">
        <f>IFERROR(__xludf.DUMMYFUNCTION("""COMPUTED_VALUE"""),0.05902777778101154)</f>
        <v>0.05902777778</v>
      </c>
      <c r="H35" s="74">
        <f>IFERROR(__xludf.DUMMYFUNCTION("""COMPUTED_VALUE"""),65.0)</f>
        <v>65</v>
      </c>
      <c r="I35" s="84">
        <f>IFERROR(__xludf.DUMMYFUNCTION("""COMPUTED_VALUE"""),45.88235293866287)</f>
        <v>45.88235294</v>
      </c>
      <c r="J35" s="74" t="str">
        <f>IFERROR(__xludf.DUMMYFUNCTION("""COMPUTED_VALUE"""),"Lunch")</f>
        <v>Lunch</v>
      </c>
      <c r="K35" s="113">
        <f>IFERROR(__xludf.DUMMYFUNCTION("""COMPUTED_VALUE"""),46057.0)</f>
        <v>46057</v>
      </c>
      <c r="L35" s="74" t="str">
        <f>IFERROR(__xludf.DUMMYFUNCTION("""COMPUTED_VALUE"""),"Wednesday")</f>
        <v>Wednesday</v>
      </c>
      <c r="M35" s="74" t="str">
        <f>IFERROR(__xludf.DUMMYFUNCTION("""COMPUTED_VALUE"""),"MF")</f>
        <v>MF</v>
      </c>
      <c r="N35" s="114">
        <f>IFERROR(__xludf.DUMMYFUNCTION("""COMPUTED_VALUE"""),0.9125823299231411)</f>
        <v>0.9125823299</v>
      </c>
      <c r="O35" s="74" t="str">
        <f>IFERROR(__xludf.DUMMYFUNCTION("""COMPUTED_VALUE"""),"")</f>
        <v/>
      </c>
      <c r="P35" s="74" t="str">
        <f>IFERROR(__xludf.DUMMYFUNCTION("""COMPUTED_VALUE"""),"")</f>
        <v/>
      </c>
      <c r="Q35" s="82" t="str">
        <f>IFERROR(__xludf.DUMMYFUNCTION("""COMPUTED_VALUE"""),"")</f>
        <v/>
      </c>
      <c r="R35" s="82" t="str">
        <f>IFERROR(__xludf.DUMMYFUNCTION("""COMPUTED_VALUE"""),"")</f>
        <v/>
      </c>
      <c r="S35" s="84" t="str">
        <f>IFERROR(__xludf.DUMMYFUNCTION("""COMPUTED_VALUE"""),"")</f>
        <v/>
      </c>
      <c r="T35" s="84" t="str">
        <f>IFERROR(__xludf.DUMMYFUNCTION("""COMPUTED_VALUE"""),"")</f>
        <v/>
      </c>
      <c r="U35" s="74" t="str">
        <f>IFERROR(__xludf.DUMMYFUNCTION("""COMPUTED_VALUE"""),"")</f>
        <v/>
      </c>
      <c r="V35" s="82" t="str">
        <f>IFERROR(__xludf.DUMMYFUNCTION("""COMPUTED_VALUE"""),"")</f>
        <v/>
      </c>
      <c r="W35" s="64" t="str">
        <f>IFERROR(__xludf.DUMMYFUNCTION("""COMPUTED_VALUE"""),"")</f>
        <v/>
      </c>
      <c r="X35" s="84" t="str">
        <f>IFERROR(__xludf.DUMMYFUNCTION("""COMPUTED_VALUE"""),"")</f>
        <v/>
      </c>
      <c r="Y35" s="114" t="str">
        <f>IFERROR(__xludf.DUMMYFUNCTION("""COMPUTED_VALUE"""),"")</f>
        <v/>
      </c>
    </row>
    <row r="36">
      <c r="A36" s="109">
        <f>IFERROR(__xludf.DUMMYFUNCTION("""COMPUTED_VALUE"""),46057.62108427084)</f>
        <v>46057.62108</v>
      </c>
      <c r="B36" s="81" t="str">
        <f>IFERROR(__xludf.DUMMYFUNCTION("""COMPUTED_VALUE"""),"Evan Morgan")</f>
        <v>Evan Morgan</v>
      </c>
      <c r="C36" s="74" t="b">
        <f>IFERROR(__xludf.DUMMYFUNCTION("""COMPUTED_VALUE"""),FALSE)</f>
        <v>0</v>
      </c>
      <c r="D36" s="137">
        <f>IFERROR(__xludf.DUMMYFUNCTION("""COMPUTED_VALUE"""),0.5416666666642413)</f>
        <v>0.5416666667</v>
      </c>
      <c r="E36" s="82">
        <f>IFERROR(__xludf.DUMMYFUNCTION("""COMPUTED_VALUE"""),0.07916666667006211)</f>
        <v>0.07916666667</v>
      </c>
      <c r="F36" s="137">
        <f>IFERROR(__xludf.DUMMYFUNCTION("""COMPUTED_VALUE"""),0.6208333333343035)</f>
        <v>0.6208333333</v>
      </c>
      <c r="G36" s="82">
        <f>IFERROR(__xludf.DUMMYFUNCTION("""COMPUTED_VALUE"""),0.07916666667006211)</f>
        <v>0.07916666667</v>
      </c>
      <c r="H36" s="74">
        <f>IFERROR(__xludf.DUMMYFUNCTION("""COMPUTED_VALUE"""),90.0)</f>
        <v>90</v>
      </c>
      <c r="I36" s="84">
        <f>IFERROR(__xludf.DUMMYFUNCTION("""COMPUTED_VALUE"""),47.368421050599956)</f>
        <v>47.36842105</v>
      </c>
      <c r="J36" s="74" t="str">
        <f>IFERROR(__xludf.DUMMYFUNCTION("""COMPUTED_VALUE"""),"Lunch")</f>
        <v>Lunch</v>
      </c>
      <c r="K36" s="113">
        <f>IFERROR(__xludf.DUMMYFUNCTION("""COMPUTED_VALUE"""),46057.0)</f>
        <v>46057</v>
      </c>
      <c r="L36" s="74" t="str">
        <f>IFERROR(__xludf.DUMMYFUNCTION("""COMPUTED_VALUE"""),"Wednesday")</f>
        <v>Wednesday</v>
      </c>
      <c r="M36" s="74" t="str">
        <f>IFERROR(__xludf.DUMMYFUNCTION("""COMPUTED_VALUE"""),"MF")</f>
        <v>MF</v>
      </c>
      <c r="N36" s="114">
        <f>IFERROR(__xludf.DUMMYFUNCTION("""COMPUTED_VALUE"""),0.9421396523610073)</f>
        <v>0.9421396524</v>
      </c>
      <c r="O36" s="74" t="str">
        <f>IFERROR(__xludf.DUMMYFUNCTION("""COMPUTED_VALUE"""),"")</f>
        <v/>
      </c>
      <c r="P36" s="74" t="str">
        <f>IFERROR(__xludf.DUMMYFUNCTION("""COMPUTED_VALUE"""),"")</f>
        <v/>
      </c>
      <c r="Q36" s="82" t="str">
        <f>IFERROR(__xludf.DUMMYFUNCTION("""COMPUTED_VALUE"""),"")</f>
        <v/>
      </c>
      <c r="R36" s="82" t="str">
        <f>IFERROR(__xludf.DUMMYFUNCTION("""COMPUTED_VALUE"""),"")</f>
        <v/>
      </c>
      <c r="S36" s="84" t="str">
        <f>IFERROR(__xludf.DUMMYFUNCTION("""COMPUTED_VALUE"""),"")</f>
        <v/>
      </c>
      <c r="T36" s="84" t="str">
        <f>IFERROR(__xludf.DUMMYFUNCTION("""COMPUTED_VALUE"""),"")</f>
        <v/>
      </c>
      <c r="U36" s="74" t="str">
        <f>IFERROR(__xludf.DUMMYFUNCTION("""COMPUTED_VALUE"""),"")</f>
        <v/>
      </c>
      <c r="V36" s="82" t="str">
        <f>IFERROR(__xludf.DUMMYFUNCTION("""COMPUTED_VALUE"""),"")</f>
        <v/>
      </c>
      <c r="W36" s="64" t="str">
        <f>IFERROR(__xludf.DUMMYFUNCTION("""COMPUTED_VALUE"""),"")</f>
        <v/>
      </c>
      <c r="X36" s="84" t="str">
        <f>IFERROR(__xludf.DUMMYFUNCTION("""COMPUTED_VALUE"""),"")</f>
        <v/>
      </c>
      <c r="Y36" s="114" t="str">
        <f>IFERROR(__xludf.DUMMYFUNCTION("""COMPUTED_VALUE"""),"")</f>
        <v/>
      </c>
    </row>
    <row r="37">
      <c r="A37" s="109">
        <f>IFERROR(__xludf.DUMMYFUNCTION("""COMPUTED_VALUE"""),46057.642263553236)</f>
        <v>46057.64226</v>
      </c>
      <c r="B37" s="81" t="str">
        <f>IFERROR(__xludf.DUMMYFUNCTION("""COMPUTED_VALUE"""),"Arjya Aich")</f>
        <v>Arjya Aich</v>
      </c>
      <c r="C37" s="74" t="b">
        <f>IFERROR(__xludf.DUMMYFUNCTION("""COMPUTED_VALUE"""),FALSE)</f>
        <v>0</v>
      </c>
      <c r="D37" s="137">
        <f>IFERROR(__xludf.DUMMYFUNCTION("""COMPUTED_VALUE"""),0.5)</f>
        <v>0.5</v>
      </c>
      <c r="E37" s="82">
        <f>IFERROR(__xludf.DUMMYFUNCTION("""COMPUTED_VALUE"""),0.14583333333575865)</f>
        <v>0.1458333333</v>
      </c>
      <c r="F37" s="137">
        <f>IFERROR(__xludf.DUMMYFUNCTION("""COMPUTED_VALUE"""),0.6458333333357587)</f>
        <v>0.6458333333</v>
      </c>
      <c r="G37" s="82">
        <f>IFERROR(__xludf.DUMMYFUNCTION("""COMPUTED_VALUE"""),0.14583333333575865)</f>
        <v>0.1458333333</v>
      </c>
      <c r="H37" s="74">
        <f>IFERROR(__xludf.DUMMYFUNCTION("""COMPUTED_VALUE"""),19.0)</f>
        <v>19</v>
      </c>
      <c r="I37" s="84">
        <f>IFERROR(__xludf.DUMMYFUNCTION("""COMPUTED_VALUE"""),5.428571428481147)</f>
        <v>5.428571428</v>
      </c>
      <c r="J37" s="74" t="str">
        <f>IFERROR(__xludf.DUMMYFUNCTION("""COMPUTED_VALUE"""),"Lunch")</f>
        <v>Lunch</v>
      </c>
      <c r="K37" s="113">
        <f>IFERROR(__xludf.DUMMYFUNCTION("""COMPUTED_VALUE"""),46057.0)</f>
        <v>46057</v>
      </c>
      <c r="L37" s="74" t="str">
        <f>IFERROR(__xludf.DUMMYFUNCTION("""COMPUTED_VALUE"""),"Wednesday")</f>
        <v>Wednesday</v>
      </c>
      <c r="M37" s="74" t="str">
        <f>IFERROR(__xludf.DUMMYFUNCTION("""COMPUTED_VALUE"""),"BF")</f>
        <v>BF</v>
      </c>
      <c r="N37" s="114">
        <f>IFERROR(__xludf.DUMMYFUNCTION("""COMPUTED_VALUE"""),0.1914796152092141)</f>
        <v>0.1914796152</v>
      </c>
      <c r="O37" s="74" t="str">
        <f>IFERROR(__xludf.DUMMYFUNCTION("""COMPUTED_VALUE"""),"")</f>
        <v/>
      </c>
      <c r="P37" s="74" t="str">
        <f>IFERROR(__xludf.DUMMYFUNCTION("""COMPUTED_VALUE"""),"")</f>
        <v/>
      </c>
      <c r="Q37" s="82" t="str">
        <f>IFERROR(__xludf.DUMMYFUNCTION("""COMPUTED_VALUE"""),"")</f>
        <v/>
      </c>
      <c r="R37" s="82" t="str">
        <f>IFERROR(__xludf.DUMMYFUNCTION("""COMPUTED_VALUE"""),"")</f>
        <v/>
      </c>
      <c r="S37" s="84" t="str">
        <f>IFERROR(__xludf.DUMMYFUNCTION("""COMPUTED_VALUE"""),"")</f>
        <v/>
      </c>
      <c r="T37" s="84" t="str">
        <f>IFERROR(__xludf.DUMMYFUNCTION("""COMPUTED_VALUE"""),"")</f>
        <v/>
      </c>
      <c r="U37" s="74" t="str">
        <f>IFERROR(__xludf.DUMMYFUNCTION("""COMPUTED_VALUE"""),"")</f>
        <v/>
      </c>
      <c r="V37" s="82" t="str">
        <f>IFERROR(__xludf.DUMMYFUNCTION("""COMPUTED_VALUE"""),"")</f>
        <v/>
      </c>
      <c r="W37" s="64" t="str">
        <f>IFERROR(__xludf.DUMMYFUNCTION("""COMPUTED_VALUE"""),"")</f>
        <v/>
      </c>
      <c r="X37" s="84" t="str">
        <f>IFERROR(__xludf.DUMMYFUNCTION("""COMPUTED_VALUE"""),"")</f>
        <v/>
      </c>
      <c r="Y37" s="114" t="str">
        <f>IFERROR(__xludf.DUMMYFUNCTION("""COMPUTED_VALUE"""),"")</f>
        <v/>
      </c>
    </row>
    <row r="38">
      <c r="A38" s="109">
        <f>IFERROR(__xludf.DUMMYFUNCTION("""COMPUTED_VALUE"""),46057.736328935185)</f>
        <v>46057.73633</v>
      </c>
      <c r="B38" s="81" t="str">
        <f>IFERROR(__xludf.DUMMYFUNCTION("""COMPUTED_VALUE"""),"Evan Morgan")</f>
        <v>Evan Morgan</v>
      </c>
      <c r="C38" s="74" t="b">
        <f>IFERROR(__xludf.DUMMYFUNCTION("""COMPUTED_VALUE"""),FALSE)</f>
        <v>0</v>
      </c>
      <c r="D38" s="137">
        <f>IFERROR(__xludf.DUMMYFUNCTION("""COMPUTED_VALUE"""),0.6666666666642413)</f>
        <v>0.6666666667</v>
      </c>
      <c r="E38" s="82">
        <f>IFERROR(__xludf.DUMMYFUNCTION("""COMPUTED_VALUE"""),0.0729166666715173)</f>
        <v>0.07291666667</v>
      </c>
      <c r="F38" s="137">
        <f>IFERROR(__xludf.DUMMYFUNCTION("""COMPUTED_VALUE"""),0.7395833333357587)</f>
        <v>0.7395833333</v>
      </c>
      <c r="G38" s="82">
        <f>IFERROR(__xludf.DUMMYFUNCTION("""COMPUTED_VALUE"""),0.0729166666715173)</f>
        <v>0.07291666667</v>
      </c>
      <c r="H38" s="74">
        <f>IFERROR(__xludf.DUMMYFUNCTION("""COMPUTED_VALUE"""),58.0)</f>
        <v>58</v>
      </c>
      <c r="I38" s="84">
        <f>IFERROR(__xludf.DUMMYFUNCTION("""COMPUTED_VALUE"""),33.14285714065238)</f>
        <v>33.14285714</v>
      </c>
      <c r="J38" s="74" t="str">
        <f>IFERROR(__xludf.DUMMYFUNCTION("""COMPUTED_VALUE"""),"Dinner")</f>
        <v>Dinner</v>
      </c>
      <c r="K38" s="113">
        <f>IFERROR(__xludf.DUMMYFUNCTION("""COMPUTED_VALUE"""),46057.0)</f>
        <v>46057</v>
      </c>
      <c r="L38" s="74" t="str">
        <f>IFERROR(__xludf.DUMMYFUNCTION("""COMPUTED_VALUE"""),"Wednesday")</f>
        <v>Wednesday</v>
      </c>
      <c r="M38" s="74" t="str">
        <f>IFERROR(__xludf.DUMMYFUNCTION("""COMPUTED_VALUE"""),"MF")</f>
        <v>MF</v>
      </c>
      <c r="N38" s="114">
        <f>IFERROR(__xludf.DUMMYFUNCTION("""COMPUTED_VALUE"""),0.7145986606783721)</f>
        <v>0.7145986607</v>
      </c>
      <c r="O38" s="74" t="str">
        <f>IFERROR(__xludf.DUMMYFUNCTION("""COMPUTED_VALUE"""),"")</f>
        <v/>
      </c>
      <c r="P38" s="74" t="str">
        <f>IFERROR(__xludf.DUMMYFUNCTION("""COMPUTED_VALUE"""),"")</f>
        <v/>
      </c>
      <c r="Q38" s="82" t="str">
        <f>IFERROR(__xludf.DUMMYFUNCTION("""COMPUTED_VALUE"""),"")</f>
        <v/>
      </c>
      <c r="R38" s="82" t="str">
        <f>IFERROR(__xludf.DUMMYFUNCTION("""COMPUTED_VALUE"""),"")</f>
        <v/>
      </c>
      <c r="S38" s="84" t="str">
        <f>IFERROR(__xludf.DUMMYFUNCTION("""COMPUTED_VALUE"""),"")</f>
        <v/>
      </c>
      <c r="T38" s="84" t="str">
        <f>IFERROR(__xludf.DUMMYFUNCTION("""COMPUTED_VALUE"""),"")</f>
        <v/>
      </c>
      <c r="U38" s="74" t="str">
        <f>IFERROR(__xludf.DUMMYFUNCTION("""COMPUTED_VALUE"""),"")</f>
        <v/>
      </c>
      <c r="V38" s="82" t="str">
        <f>IFERROR(__xludf.DUMMYFUNCTION("""COMPUTED_VALUE"""),"")</f>
        <v/>
      </c>
      <c r="W38" s="64" t="str">
        <f>IFERROR(__xludf.DUMMYFUNCTION("""COMPUTED_VALUE"""),"")</f>
        <v/>
      </c>
      <c r="X38" s="84" t="str">
        <f>IFERROR(__xludf.DUMMYFUNCTION("""COMPUTED_VALUE"""),"")</f>
        <v/>
      </c>
      <c r="Y38" s="114" t="str">
        <f>IFERROR(__xludf.DUMMYFUNCTION("""COMPUTED_VALUE"""),"")</f>
        <v/>
      </c>
    </row>
    <row r="39">
      <c r="A39" s="109">
        <f>IFERROR(__xludf.DUMMYFUNCTION("""COMPUTED_VALUE"""),46057.84896283565)</f>
        <v>46057.84896</v>
      </c>
      <c r="B39" s="81" t="str">
        <f>IFERROR(__xludf.DUMMYFUNCTION("""COMPUTED_VALUE"""),"Maureen Surgot")</f>
        <v>Maureen Surgot</v>
      </c>
      <c r="C39" s="74" t="b">
        <f>IFERROR(__xludf.DUMMYFUNCTION("""COMPUTED_VALUE"""),FALSE)</f>
        <v>0</v>
      </c>
      <c r="D39" s="137">
        <f>IFERROR(__xludf.DUMMYFUNCTION("""COMPUTED_VALUE"""),0.6875)</f>
        <v>0.6875</v>
      </c>
      <c r="E39" s="82">
        <f>IFERROR(__xludf.DUMMYFUNCTION("""COMPUTED_VALUE"""),0.16666666666424135)</f>
        <v>0.1666666667</v>
      </c>
      <c r="F39" s="137">
        <f>IFERROR(__xludf.DUMMYFUNCTION("""COMPUTED_VALUE"""),0.8541666666642413)</f>
        <v>0.8541666667</v>
      </c>
      <c r="G39" s="82">
        <f>IFERROR(__xludf.DUMMYFUNCTION("""COMPUTED_VALUE"""),0.16666666666424135)</f>
        <v>0.1666666667</v>
      </c>
      <c r="H39" s="74">
        <f>IFERROR(__xludf.DUMMYFUNCTION("""COMPUTED_VALUE"""),210.0)</f>
        <v>210</v>
      </c>
      <c r="I39" s="84">
        <f>IFERROR(__xludf.DUMMYFUNCTION("""COMPUTED_VALUE"""),52.500000000763976)</f>
        <v>52.5</v>
      </c>
      <c r="J39" s="74" t="str">
        <f>IFERROR(__xludf.DUMMYFUNCTION("""COMPUTED_VALUE"""),"Dinner")</f>
        <v>Dinner</v>
      </c>
      <c r="K39" s="113">
        <f>IFERROR(__xludf.DUMMYFUNCTION("""COMPUTED_VALUE"""),46057.0)</f>
        <v>46057</v>
      </c>
      <c r="L39" s="74" t="str">
        <f>IFERROR(__xludf.DUMMYFUNCTION("""COMPUTED_VALUE"""),"Wednesday")</f>
        <v>Wednesday</v>
      </c>
      <c r="M39" s="74" t="str">
        <f>IFERROR(__xludf.DUMMYFUNCTION("""COMPUTED_VALUE"""),"BF")</f>
        <v>BF</v>
      </c>
      <c r="N39" s="114">
        <f>IFERROR(__xludf.DUMMYFUNCTION("""COMPUTED_VALUE"""),1.1815856777493605)</f>
        <v>1.181585678</v>
      </c>
      <c r="O39" s="74" t="str">
        <f>IFERROR(__xludf.DUMMYFUNCTION("""COMPUTED_VALUE"""),"")</f>
        <v/>
      </c>
      <c r="P39" s="74" t="str">
        <f>IFERROR(__xludf.DUMMYFUNCTION("""COMPUTED_VALUE"""),"")</f>
        <v/>
      </c>
      <c r="Q39" s="82" t="str">
        <f>IFERROR(__xludf.DUMMYFUNCTION("""COMPUTED_VALUE"""),"")</f>
        <v/>
      </c>
      <c r="R39" s="82" t="str">
        <f>IFERROR(__xludf.DUMMYFUNCTION("""COMPUTED_VALUE"""),"")</f>
        <v/>
      </c>
      <c r="S39" s="84" t="str">
        <f>IFERROR(__xludf.DUMMYFUNCTION("""COMPUTED_VALUE"""),"")</f>
        <v/>
      </c>
      <c r="T39" s="84" t="str">
        <f>IFERROR(__xludf.DUMMYFUNCTION("""COMPUTED_VALUE"""),"")</f>
        <v/>
      </c>
      <c r="U39" s="74" t="str">
        <f>IFERROR(__xludf.DUMMYFUNCTION("""COMPUTED_VALUE"""),"")</f>
        <v/>
      </c>
      <c r="V39" s="82" t="str">
        <f>IFERROR(__xludf.DUMMYFUNCTION("""COMPUTED_VALUE"""),"")</f>
        <v/>
      </c>
      <c r="W39" s="64" t="str">
        <f>IFERROR(__xludf.DUMMYFUNCTION("""COMPUTED_VALUE"""),"")</f>
        <v/>
      </c>
      <c r="X39" s="84" t="str">
        <f>IFERROR(__xludf.DUMMYFUNCTION("""COMPUTED_VALUE"""),"")</f>
        <v/>
      </c>
      <c r="Y39" s="114" t="str">
        <f>IFERROR(__xludf.DUMMYFUNCTION("""COMPUTED_VALUE"""),"")</f>
        <v/>
      </c>
    </row>
    <row r="40">
      <c r="A40" s="109">
        <f>IFERROR(__xludf.DUMMYFUNCTION("""COMPUTED_VALUE"""),46057.97156842593)</f>
        <v>46057.97157</v>
      </c>
      <c r="B40" s="81" t="str">
        <f>IFERROR(__xludf.DUMMYFUNCTION("""COMPUTED_VALUE"""),"Oluwatimilehin Shodipe")</f>
        <v>Oluwatimilehin Shodipe</v>
      </c>
      <c r="C40" s="74" t="b">
        <f>IFERROR(__xludf.DUMMYFUNCTION("""COMPUTED_VALUE"""),FALSE)</f>
        <v>0</v>
      </c>
      <c r="D40" s="137">
        <f>IFERROR(__xludf.DUMMYFUNCTION("""COMPUTED_VALUE"""),0.42708333333575865)</f>
        <v>0.4270833333</v>
      </c>
      <c r="E40" s="82">
        <f>IFERROR(__xludf.DUMMYFUNCTION("""COMPUTED_VALUE"""),0.04513888888322981)</f>
        <v>0.04513888888</v>
      </c>
      <c r="F40" s="137">
        <f>IFERROR(__xludf.DUMMYFUNCTION("""COMPUTED_VALUE"""),0.47222222221898846)</f>
        <v>0.4722222222</v>
      </c>
      <c r="G40" s="82">
        <f>IFERROR(__xludf.DUMMYFUNCTION("""COMPUTED_VALUE"""),0.04513888888322981)</f>
        <v>0.04513888888</v>
      </c>
      <c r="H40" s="74">
        <f>IFERROR(__xludf.DUMMYFUNCTION("""COMPUTED_VALUE"""),68.0)</f>
        <v>68</v>
      </c>
      <c r="I40" s="84">
        <f>IFERROR(__xludf.DUMMYFUNCTION("""COMPUTED_VALUE"""),62.76923077710017)</f>
        <v>62.76923078</v>
      </c>
      <c r="J40" s="74" t="str">
        <f>IFERROR(__xludf.DUMMYFUNCTION("""COMPUTED_VALUE"""),"Breakfast/Lunch")</f>
        <v>Breakfast/Lunch</v>
      </c>
      <c r="K40" s="113">
        <f>IFERROR(__xludf.DUMMYFUNCTION("""COMPUTED_VALUE"""),46057.0)</f>
        <v>46057</v>
      </c>
      <c r="L40" s="74" t="str">
        <f>IFERROR(__xludf.DUMMYFUNCTION("""COMPUTED_VALUE"""),"Wednesday")</f>
        <v>Wednesday</v>
      </c>
      <c r="M40" s="74" t="str">
        <f>IFERROR(__xludf.DUMMYFUNCTION("""COMPUTED_VALUE"""),"BF")</f>
        <v>BF</v>
      </c>
      <c r="N40" s="114">
        <f>IFERROR(__xludf.DUMMYFUNCTION("""COMPUTED_VALUE"""),1.5797975165822569)</f>
        <v>1.579797517</v>
      </c>
      <c r="O40" s="74">
        <f>IFERROR(__xludf.DUMMYFUNCTION("""COMPUTED_VALUE"""),213.0)</f>
        <v>213</v>
      </c>
      <c r="P40" s="74">
        <f>IFERROR(__xludf.DUMMYFUNCTION("""COMPUTED_VALUE"""),389.0)</f>
        <v>389</v>
      </c>
      <c r="Q40" s="82">
        <f>IFERROR(__xludf.DUMMYFUNCTION("""COMPUTED_VALUE"""),0.21111111112259096)</f>
        <v>0.2111111111</v>
      </c>
      <c r="R40" s="82">
        <f>IFERROR(__xludf.DUMMYFUNCTION("""COMPUTED_VALUE"""),0.413888888884685)</f>
        <v>0.4138888889</v>
      </c>
      <c r="S40" s="84">
        <f>IFERROR(__xludf.DUMMYFUNCTION("""COMPUTED_VALUE"""),42.1312103766384)</f>
        <v>42.13121038</v>
      </c>
      <c r="T40" s="84">
        <f>IFERROR(__xludf.DUMMYFUNCTION("""COMPUTED_VALUE"""),47.211487588182614)</f>
        <v>47.21148759</v>
      </c>
      <c r="U40" s="74">
        <f>IFERROR(__xludf.DUMMYFUNCTION("""COMPUTED_VALUE"""),602.0)</f>
        <v>602</v>
      </c>
      <c r="V40" s="82">
        <f>IFERROR(__xludf.DUMMYFUNCTION("""COMPUTED_VALUE"""),0.625000000007276)</f>
        <v>0.625</v>
      </c>
      <c r="W40" s="64">
        <f>IFERROR(__xludf.DUMMYFUNCTION("""COMPUTED_VALUE"""),40.13333333286612)</f>
        <v>40.13333333</v>
      </c>
      <c r="X40" s="84">
        <f>IFERROR(__xludf.DUMMYFUNCTION("""COMPUTED_VALUE"""),45.03422592609223)</f>
        <v>45.03422593</v>
      </c>
      <c r="Y40" s="114">
        <f>IFERROR(__xludf.DUMMYFUNCTION("""COMPUTED_VALUE"""),0.9467093120195115)</f>
        <v>0.946709312</v>
      </c>
    </row>
    <row r="41">
      <c r="A41" s="109">
        <f>IFERROR(__xludf.DUMMYFUNCTION("""COMPUTED_VALUE"""),46058.36293699074)</f>
        <v>46058.36294</v>
      </c>
      <c r="B41" s="81" t="str">
        <f>IFERROR(__xludf.DUMMYFUNCTION("""COMPUTED_VALUE"""),"Evan Morgan")</f>
        <v>Evan Morgan</v>
      </c>
      <c r="C41" s="74" t="b">
        <f>IFERROR(__xludf.DUMMYFUNCTION("""COMPUTED_VALUE"""),FALSE)</f>
        <v>0</v>
      </c>
      <c r="D41" s="137">
        <f>IFERROR(__xludf.DUMMYFUNCTION("""COMPUTED_VALUE"""),0.29166666666424135)</f>
        <v>0.2916666667</v>
      </c>
      <c r="E41" s="82">
        <f>IFERROR(__xludf.DUMMYFUNCTION("""COMPUTED_VALUE"""),0.06944444444525288)</f>
        <v>0.06944444445</v>
      </c>
      <c r="F41" s="137">
        <f>IFERROR(__xludf.DUMMYFUNCTION("""COMPUTED_VALUE"""),0.36111111110949423)</f>
        <v>0.3611111111</v>
      </c>
      <c r="G41" s="82">
        <f>IFERROR(__xludf.DUMMYFUNCTION("""COMPUTED_VALUE"""),0.06944444444525288)</f>
        <v>0.06944444445</v>
      </c>
      <c r="H41" s="74">
        <f>IFERROR(__xludf.DUMMYFUNCTION("""COMPUTED_VALUE"""),18.0)</f>
        <v>18</v>
      </c>
      <c r="I41" s="84">
        <f>IFERROR(__xludf.DUMMYFUNCTION("""COMPUTED_VALUE"""),10.799999999874272)</f>
        <v>10.8</v>
      </c>
      <c r="J41" s="74" t="str">
        <f>IFERROR(__xludf.DUMMYFUNCTION("""COMPUTED_VALUE"""),"Breakfast")</f>
        <v>Breakfast</v>
      </c>
      <c r="K41" s="113">
        <f>IFERROR(__xludf.DUMMYFUNCTION("""COMPUTED_VALUE"""),46058.0)</f>
        <v>46058</v>
      </c>
      <c r="L41" s="74" t="str">
        <f>IFERROR(__xludf.DUMMYFUNCTION("""COMPUTED_VALUE"""),"Thursday")</f>
        <v>Thursday</v>
      </c>
      <c r="M41" s="74" t="str">
        <f>IFERROR(__xludf.DUMMYFUNCTION("""COMPUTED_VALUE"""),"BF")</f>
        <v>BF</v>
      </c>
      <c r="N41" s="114">
        <f>IFERROR(__xludf.DUMMYFUNCTION("""COMPUTED_VALUE"""),0.38094365552338977)</f>
        <v>0.3809436555</v>
      </c>
      <c r="O41" s="74" t="str">
        <f>IFERROR(__xludf.DUMMYFUNCTION("""COMPUTED_VALUE"""),"")</f>
        <v/>
      </c>
      <c r="P41" s="74" t="str">
        <f>IFERROR(__xludf.DUMMYFUNCTION("""COMPUTED_VALUE"""),"")</f>
        <v/>
      </c>
      <c r="Q41" s="82" t="str">
        <f>IFERROR(__xludf.DUMMYFUNCTION("""COMPUTED_VALUE"""),"")</f>
        <v/>
      </c>
      <c r="R41" s="82" t="str">
        <f>IFERROR(__xludf.DUMMYFUNCTION("""COMPUTED_VALUE"""),"")</f>
        <v/>
      </c>
      <c r="S41" s="84" t="str">
        <f>IFERROR(__xludf.DUMMYFUNCTION("""COMPUTED_VALUE"""),"")</f>
        <v/>
      </c>
      <c r="T41" s="84" t="str">
        <f>IFERROR(__xludf.DUMMYFUNCTION("""COMPUTED_VALUE"""),"")</f>
        <v/>
      </c>
      <c r="U41" s="74" t="str">
        <f>IFERROR(__xludf.DUMMYFUNCTION("""COMPUTED_VALUE"""),"")</f>
        <v/>
      </c>
      <c r="V41" s="82" t="str">
        <f>IFERROR(__xludf.DUMMYFUNCTION("""COMPUTED_VALUE"""),"")</f>
        <v/>
      </c>
      <c r="W41" s="64" t="str">
        <f>IFERROR(__xludf.DUMMYFUNCTION("""COMPUTED_VALUE"""),"")</f>
        <v/>
      </c>
      <c r="X41" s="84" t="str">
        <f>IFERROR(__xludf.DUMMYFUNCTION("""COMPUTED_VALUE"""),"")</f>
        <v/>
      </c>
      <c r="Y41" s="114" t="str">
        <f>IFERROR(__xludf.DUMMYFUNCTION("""COMPUTED_VALUE"""),"")</f>
        <v/>
      </c>
    </row>
    <row r="42">
      <c r="A42" s="109">
        <f>IFERROR(__xludf.DUMMYFUNCTION("""COMPUTED_VALUE"""),46058.4093524537)</f>
        <v>46058.40935</v>
      </c>
      <c r="B42" s="81" t="str">
        <f>IFERROR(__xludf.DUMMYFUNCTION("""COMPUTED_VALUE"""),"Sophia Kluck")</f>
        <v>Sophia Kluck</v>
      </c>
      <c r="C42" s="74" t="b">
        <f>IFERROR(__xludf.DUMMYFUNCTION("""COMPUTED_VALUE"""),FALSE)</f>
        <v>0</v>
      </c>
      <c r="D42" s="137">
        <f>IFERROR(__xludf.DUMMYFUNCTION("""COMPUTED_VALUE"""),0.36597222222189885)</f>
        <v>0.3659722222</v>
      </c>
      <c r="E42" s="82">
        <f>IFERROR(__xludf.DUMMYFUNCTION("""COMPUTED_VALUE"""),0.0430555555576575)</f>
        <v>0.04305555556</v>
      </c>
      <c r="F42" s="137">
        <f>IFERROR(__xludf.DUMMYFUNCTION("""COMPUTED_VALUE"""),0.40902777777955635)</f>
        <v>0.4090277778</v>
      </c>
      <c r="G42" s="82">
        <f>IFERROR(__xludf.DUMMYFUNCTION("""COMPUTED_VALUE"""),0.10277777777810115)</f>
        <v>0.1027777778</v>
      </c>
      <c r="H42" s="74">
        <f>IFERROR(__xludf.DUMMYFUNCTION("""COMPUTED_VALUE"""),32.0)</f>
        <v>32</v>
      </c>
      <c r="I42" s="84">
        <f>IFERROR(__xludf.DUMMYFUNCTION("""COMPUTED_VALUE"""),38.918918918796464)</f>
        <v>38.91891892</v>
      </c>
      <c r="J42" s="74" t="str">
        <f>IFERROR(__xludf.DUMMYFUNCTION("""COMPUTED_VALUE"""),"Breakfast")</f>
        <v>Breakfast</v>
      </c>
      <c r="K42" s="113">
        <f>IFERROR(__xludf.DUMMYFUNCTION("""COMPUTED_VALUE"""),46058.0)</f>
        <v>46058</v>
      </c>
      <c r="L42" s="74" t="str">
        <f>IFERROR(__xludf.DUMMYFUNCTION("""COMPUTED_VALUE"""),"Thursday")</f>
        <v>Thursday</v>
      </c>
      <c r="M42" s="74" t="str">
        <f>IFERROR(__xludf.DUMMYFUNCTION("""COMPUTED_VALUE"""),"BF")</f>
        <v>BF</v>
      </c>
      <c r="N42" s="114">
        <f>IFERROR(__xludf.DUMMYFUNCTION("""COMPUTED_VALUE"""),1.3727699298256788)</f>
        <v>1.37276993</v>
      </c>
      <c r="O42" s="74" t="str">
        <f>IFERROR(__xludf.DUMMYFUNCTION("""COMPUTED_VALUE"""),"")</f>
        <v/>
      </c>
      <c r="P42" s="74" t="str">
        <f>IFERROR(__xludf.DUMMYFUNCTION("""COMPUTED_VALUE"""),"")</f>
        <v/>
      </c>
      <c r="Q42" s="82" t="str">
        <f>IFERROR(__xludf.DUMMYFUNCTION("""COMPUTED_VALUE"""),"")</f>
        <v/>
      </c>
      <c r="R42" s="82" t="str">
        <f>IFERROR(__xludf.DUMMYFUNCTION("""COMPUTED_VALUE"""),"")</f>
        <v/>
      </c>
      <c r="S42" s="84" t="str">
        <f>IFERROR(__xludf.DUMMYFUNCTION("""COMPUTED_VALUE"""),"")</f>
        <v/>
      </c>
      <c r="T42" s="84" t="str">
        <f>IFERROR(__xludf.DUMMYFUNCTION("""COMPUTED_VALUE"""),"")</f>
        <v/>
      </c>
      <c r="U42" s="74" t="str">
        <f>IFERROR(__xludf.DUMMYFUNCTION("""COMPUTED_VALUE"""),"")</f>
        <v/>
      </c>
      <c r="V42" s="82" t="str">
        <f>IFERROR(__xludf.DUMMYFUNCTION("""COMPUTED_VALUE"""),"")</f>
        <v/>
      </c>
      <c r="W42" s="64" t="str">
        <f>IFERROR(__xludf.DUMMYFUNCTION("""COMPUTED_VALUE"""),"")</f>
        <v/>
      </c>
      <c r="X42" s="84" t="str">
        <f>IFERROR(__xludf.DUMMYFUNCTION("""COMPUTED_VALUE"""),"")</f>
        <v/>
      </c>
      <c r="Y42" s="114" t="str">
        <f>IFERROR(__xludf.DUMMYFUNCTION("""COMPUTED_VALUE"""),"")</f>
        <v/>
      </c>
    </row>
    <row r="43">
      <c r="A43" s="109">
        <f>IFERROR(__xludf.DUMMYFUNCTION("""COMPUTED_VALUE"""),46058.47202248842)</f>
        <v>46058.47202</v>
      </c>
      <c r="B43" s="81" t="str">
        <f>IFERROR(__xludf.DUMMYFUNCTION("""COMPUTED_VALUE"""),"Sophia Kluck")</f>
        <v>Sophia Kluck</v>
      </c>
      <c r="C43" s="74" t="b">
        <f>IFERROR(__xludf.DUMMYFUNCTION("""COMPUTED_VALUE"""),TRUE)</f>
        <v>1</v>
      </c>
      <c r="D43" s="137">
        <f>IFERROR(__xludf.DUMMYFUNCTION("""COMPUTED_VALUE"""),0.4118055555591127)</f>
        <v>0.4118055556</v>
      </c>
      <c r="E43" s="82">
        <f>IFERROR(__xludf.DUMMYFUNCTION("""COMPUTED_VALUE"""),0.059722222220443655)</f>
        <v>0.05972222222</v>
      </c>
      <c r="F43" s="137">
        <f>IFERROR(__xludf.DUMMYFUNCTION("""COMPUTED_VALUE"""),0.47152777777955635)</f>
        <v>0.4715277778</v>
      </c>
      <c r="G43" s="82" t="str">
        <f>IFERROR(__xludf.DUMMYFUNCTION("""COMPUTED_VALUE"""),"")</f>
        <v/>
      </c>
      <c r="H43" s="74">
        <f>IFERROR(__xludf.DUMMYFUNCTION("""COMPUTED_VALUE"""),64.0)</f>
        <v>64</v>
      </c>
      <c r="I43" s="84" t="str">
        <f>IFERROR(__xludf.DUMMYFUNCTION("""COMPUTED_VALUE"""),"")</f>
        <v/>
      </c>
      <c r="J43" s="74" t="str">
        <f>IFERROR(__xludf.DUMMYFUNCTION("""COMPUTED_VALUE"""),"Breakfast/Lunch")</f>
        <v>Breakfast/Lunch</v>
      </c>
      <c r="K43" s="113">
        <f>IFERROR(__xludf.DUMMYFUNCTION("""COMPUTED_VALUE"""),46058.0)</f>
        <v>46058</v>
      </c>
      <c r="L43" s="74" t="str">
        <f>IFERROR(__xludf.DUMMYFUNCTION("""COMPUTED_VALUE"""),"Thursday")</f>
        <v>Thursday</v>
      </c>
      <c r="M43" s="74" t="str">
        <f>IFERROR(__xludf.DUMMYFUNCTION("""COMPUTED_VALUE"""),"BF")</f>
        <v>BF</v>
      </c>
      <c r="N43" s="114" t="str">
        <f>IFERROR(__xludf.DUMMYFUNCTION("""COMPUTED_VALUE"""),"")</f>
        <v/>
      </c>
      <c r="O43" s="74" t="str">
        <f>IFERROR(__xludf.DUMMYFUNCTION("""COMPUTED_VALUE"""),"")</f>
        <v/>
      </c>
      <c r="P43" s="74" t="str">
        <f>IFERROR(__xludf.DUMMYFUNCTION("""COMPUTED_VALUE"""),"")</f>
        <v/>
      </c>
      <c r="Q43" s="82" t="str">
        <f>IFERROR(__xludf.DUMMYFUNCTION("""COMPUTED_VALUE"""),"")</f>
        <v/>
      </c>
      <c r="R43" s="82" t="str">
        <f>IFERROR(__xludf.DUMMYFUNCTION("""COMPUTED_VALUE"""),"")</f>
        <v/>
      </c>
      <c r="S43" s="84" t="str">
        <f>IFERROR(__xludf.DUMMYFUNCTION("""COMPUTED_VALUE"""),"")</f>
        <v/>
      </c>
      <c r="T43" s="84" t="str">
        <f>IFERROR(__xludf.DUMMYFUNCTION("""COMPUTED_VALUE"""),"")</f>
        <v/>
      </c>
      <c r="U43" s="74" t="str">
        <f>IFERROR(__xludf.DUMMYFUNCTION("""COMPUTED_VALUE"""),"")</f>
        <v/>
      </c>
      <c r="V43" s="82" t="str">
        <f>IFERROR(__xludf.DUMMYFUNCTION("""COMPUTED_VALUE"""),"")</f>
        <v/>
      </c>
      <c r="W43" s="64" t="str">
        <f>IFERROR(__xludf.DUMMYFUNCTION("""COMPUTED_VALUE"""),"")</f>
        <v/>
      </c>
      <c r="X43" s="84" t="str">
        <f>IFERROR(__xludf.DUMMYFUNCTION("""COMPUTED_VALUE"""),"")</f>
        <v/>
      </c>
      <c r="Y43" s="114" t="str">
        <f>IFERROR(__xludf.DUMMYFUNCTION("""COMPUTED_VALUE"""),"")</f>
        <v/>
      </c>
    </row>
    <row r="44">
      <c r="A44" s="109">
        <f>IFERROR(__xludf.DUMMYFUNCTION("""COMPUTED_VALUE"""),46058.526926481485)</f>
        <v>46058.52693</v>
      </c>
      <c r="B44" s="81" t="str">
        <f>IFERROR(__xludf.DUMMYFUNCTION("""COMPUTED_VALUE"""),"Emmett Khan")</f>
        <v>Emmett Khan</v>
      </c>
      <c r="C44" s="74" t="b">
        <f>IFERROR(__xludf.DUMMYFUNCTION("""COMPUTED_VALUE"""),FALSE)</f>
        <v>0</v>
      </c>
      <c r="D44" s="137">
        <f>IFERROR(__xludf.DUMMYFUNCTION("""COMPUTED_VALUE"""),0.47916666666424135)</f>
        <v>0.4791666667</v>
      </c>
      <c r="E44" s="82">
        <f>IFERROR(__xludf.DUMMYFUNCTION("""COMPUTED_VALUE"""),0.05208333333575865)</f>
        <v>0.05208333334</v>
      </c>
      <c r="F44" s="137">
        <f>IFERROR(__xludf.DUMMYFUNCTION("""COMPUTED_VALUE"""),0.53125)</f>
        <v>0.53125</v>
      </c>
      <c r="G44" s="82">
        <f>IFERROR(__xludf.DUMMYFUNCTION("""COMPUTED_VALUE"""),0.05208333333575865)</f>
        <v>0.05208333334</v>
      </c>
      <c r="H44" s="74">
        <f>IFERROR(__xludf.DUMMYFUNCTION("""COMPUTED_VALUE"""),50.0)</f>
        <v>50</v>
      </c>
      <c r="I44" s="84">
        <f>IFERROR(__xludf.DUMMYFUNCTION("""COMPUTED_VALUE"""),39.999999998137355)</f>
        <v>40</v>
      </c>
      <c r="J44" s="74" t="str">
        <f>IFERROR(__xludf.DUMMYFUNCTION("""COMPUTED_VALUE"""),"Lunch")</f>
        <v>Lunch</v>
      </c>
      <c r="K44" s="113">
        <f>IFERROR(__xludf.DUMMYFUNCTION("""COMPUTED_VALUE"""),46058.0)</f>
        <v>46058</v>
      </c>
      <c r="L44" s="74" t="str">
        <f>IFERROR(__xludf.DUMMYFUNCTION("""COMPUTED_VALUE"""),"Thursday")</f>
        <v>Thursday</v>
      </c>
      <c r="M44" s="74" t="str">
        <f>IFERROR(__xludf.DUMMYFUNCTION("""COMPUTED_VALUE"""),"MF")</f>
        <v>MF</v>
      </c>
      <c r="N44" s="114">
        <f>IFERROR(__xludf.DUMMYFUNCTION("""COMPUTED_VALUE"""),0.7955845953241479)</f>
        <v>0.7955845953</v>
      </c>
      <c r="O44" s="74" t="str">
        <f>IFERROR(__xludf.DUMMYFUNCTION("""COMPUTED_VALUE"""),"")</f>
        <v/>
      </c>
      <c r="P44" s="74" t="str">
        <f>IFERROR(__xludf.DUMMYFUNCTION("""COMPUTED_VALUE"""),"")</f>
        <v/>
      </c>
      <c r="Q44" s="82" t="str">
        <f>IFERROR(__xludf.DUMMYFUNCTION("""COMPUTED_VALUE"""),"")</f>
        <v/>
      </c>
      <c r="R44" s="82" t="str">
        <f>IFERROR(__xludf.DUMMYFUNCTION("""COMPUTED_VALUE"""),"")</f>
        <v/>
      </c>
      <c r="S44" s="84" t="str">
        <f>IFERROR(__xludf.DUMMYFUNCTION("""COMPUTED_VALUE"""),"")</f>
        <v/>
      </c>
      <c r="T44" s="84" t="str">
        <f>IFERROR(__xludf.DUMMYFUNCTION("""COMPUTED_VALUE"""),"")</f>
        <v/>
      </c>
      <c r="U44" s="74" t="str">
        <f>IFERROR(__xludf.DUMMYFUNCTION("""COMPUTED_VALUE"""),"")</f>
        <v/>
      </c>
      <c r="V44" s="82" t="str">
        <f>IFERROR(__xludf.DUMMYFUNCTION("""COMPUTED_VALUE"""),"")</f>
        <v/>
      </c>
      <c r="W44" s="64" t="str">
        <f>IFERROR(__xludf.DUMMYFUNCTION("""COMPUTED_VALUE"""),"")</f>
        <v/>
      </c>
      <c r="X44" s="84" t="str">
        <f>IFERROR(__xludf.DUMMYFUNCTION("""COMPUTED_VALUE"""),"")</f>
        <v/>
      </c>
      <c r="Y44" s="114" t="str">
        <f>IFERROR(__xludf.DUMMYFUNCTION("""COMPUTED_VALUE"""),"")</f>
        <v/>
      </c>
    </row>
    <row r="45">
      <c r="A45" s="109">
        <f>IFERROR(__xludf.DUMMYFUNCTION("""COMPUTED_VALUE"""),46058.777276967594)</f>
        <v>46058.77728</v>
      </c>
      <c r="B45" s="81" t="str">
        <f>IFERROR(__xludf.DUMMYFUNCTION("""COMPUTED_VALUE"""),"Emmett Khan")</f>
        <v>Emmett Khan</v>
      </c>
      <c r="C45" s="74" t="b">
        <f>IFERROR(__xludf.DUMMYFUNCTION("""COMPUTED_VALUE"""),FALSE)</f>
        <v>0</v>
      </c>
      <c r="D45" s="137">
        <f>IFERROR(__xludf.DUMMYFUNCTION("""COMPUTED_VALUE"""),0.7083333333357587)</f>
        <v>0.7083333333</v>
      </c>
      <c r="E45" s="82">
        <f>IFERROR(__xludf.DUMMYFUNCTION("""COMPUTED_VALUE"""),0.07291666666424135)</f>
        <v>0.07291666666</v>
      </c>
      <c r="F45" s="137">
        <f>IFERROR(__xludf.DUMMYFUNCTION("""COMPUTED_VALUE"""),0.78125)</f>
        <v>0.78125</v>
      </c>
      <c r="G45" s="82">
        <f>IFERROR(__xludf.DUMMYFUNCTION("""COMPUTED_VALUE"""),0.07291666666424135)</f>
        <v>0.07291666666</v>
      </c>
      <c r="H45" s="74">
        <f>IFERROR(__xludf.DUMMYFUNCTION("""COMPUTED_VALUE"""),155.0)</f>
        <v>155</v>
      </c>
      <c r="I45" s="84">
        <f>IFERROR(__xludf.DUMMYFUNCTION("""COMPUTED_VALUE"""),88.5714285743746)</f>
        <v>88.57142857</v>
      </c>
      <c r="J45" s="74" t="str">
        <f>IFERROR(__xludf.DUMMYFUNCTION("""COMPUTED_VALUE"""),"Dinner")</f>
        <v>Dinner</v>
      </c>
      <c r="K45" s="113">
        <f>IFERROR(__xludf.DUMMYFUNCTION("""COMPUTED_VALUE"""),46058.0)</f>
        <v>46058</v>
      </c>
      <c r="L45" s="74" t="str">
        <f>IFERROR(__xludf.DUMMYFUNCTION("""COMPUTED_VALUE"""),"Thursday")</f>
        <v>Thursday</v>
      </c>
      <c r="M45" s="74" t="str">
        <f>IFERROR(__xludf.DUMMYFUNCTION("""COMPUTED_VALUE"""),"MF")</f>
        <v>MF</v>
      </c>
      <c r="N45" s="114">
        <f>IFERROR(__xludf.DUMMYFUNCTION("""COMPUTED_VALUE"""),1.909703317520691)</f>
        <v>1.909703318</v>
      </c>
      <c r="O45" s="74" t="str">
        <f>IFERROR(__xludf.DUMMYFUNCTION("""COMPUTED_VALUE"""),"")</f>
        <v/>
      </c>
      <c r="P45" s="74" t="str">
        <f>IFERROR(__xludf.DUMMYFUNCTION("""COMPUTED_VALUE"""),"")</f>
        <v/>
      </c>
      <c r="Q45" s="82" t="str">
        <f>IFERROR(__xludf.DUMMYFUNCTION("""COMPUTED_VALUE"""),"")</f>
        <v/>
      </c>
      <c r="R45" s="82" t="str">
        <f>IFERROR(__xludf.DUMMYFUNCTION("""COMPUTED_VALUE"""),"")</f>
        <v/>
      </c>
      <c r="S45" s="84" t="str">
        <f>IFERROR(__xludf.DUMMYFUNCTION("""COMPUTED_VALUE"""),"")</f>
        <v/>
      </c>
      <c r="T45" s="84" t="str">
        <f>IFERROR(__xludf.DUMMYFUNCTION("""COMPUTED_VALUE"""),"")</f>
        <v/>
      </c>
      <c r="U45" s="74" t="str">
        <f>IFERROR(__xludf.DUMMYFUNCTION("""COMPUTED_VALUE"""),"")</f>
        <v/>
      </c>
      <c r="V45" s="82" t="str">
        <f>IFERROR(__xludf.DUMMYFUNCTION("""COMPUTED_VALUE"""),"")</f>
        <v/>
      </c>
      <c r="W45" s="64" t="str">
        <f>IFERROR(__xludf.DUMMYFUNCTION("""COMPUTED_VALUE"""),"")</f>
        <v/>
      </c>
      <c r="X45" s="84" t="str">
        <f>IFERROR(__xludf.DUMMYFUNCTION("""COMPUTED_VALUE"""),"")</f>
        <v/>
      </c>
      <c r="Y45" s="114" t="str">
        <f>IFERROR(__xludf.DUMMYFUNCTION("""COMPUTED_VALUE"""),"")</f>
        <v/>
      </c>
    </row>
    <row r="46">
      <c r="A46" s="109">
        <f>IFERROR(__xludf.DUMMYFUNCTION("""COMPUTED_VALUE"""),46058.855831469904)</f>
        <v>46058.85583</v>
      </c>
      <c r="B46" s="81" t="str">
        <f>IFERROR(__xludf.DUMMYFUNCTION("""COMPUTED_VALUE"""),"Leah Bucci")</f>
        <v>Leah Bucci</v>
      </c>
      <c r="C46" s="74" t="b">
        <f>IFERROR(__xludf.DUMMYFUNCTION("""COMPUTED_VALUE"""),FALSE)</f>
        <v>0</v>
      </c>
      <c r="D46" s="137">
        <f>IFERROR(__xludf.DUMMYFUNCTION("""COMPUTED_VALUE"""),0.6875)</f>
        <v>0.6875</v>
      </c>
      <c r="E46" s="82">
        <f>IFERROR(__xludf.DUMMYFUNCTION("""COMPUTED_VALUE"""),0.04166666666424135)</f>
        <v>0.04166666666</v>
      </c>
      <c r="F46" s="137">
        <f>IFERROR(__xludf.DUMMYFUNCTION("""COMPUTED_VALUE"""),0.7291666666642413)</f>
        <v>0.7291666667</v>
      </c>
      <c r="G46" s="82">
        <f>IFERROR(__xludf.DUMMYFUNCTION("""COMPUTED_VALUE"""),0.1701388888832298)</f>
        <v>0.1701388889</v>
      </c>
      <c r="H46" s="74">
        <f>IFERROR(__xludf.DUMMYFUNCTION("""COMPUTED_VALUE"""),77.0)</f>
        <v>77</v>
      </c>
      <c r="I46" s="84">
        <f>IFERROR(__xludf.DUMMYFUNCTION("""COMPUTED_VALUE"""),103.10204081975586)</f>
        <v>103.1020408</v>
      </c>
      <c r="J46" s="74" t="str">
        <f>IFERROR(__xludf.DUMMYFUNCTION("""COMPUTED_VALUE"""),"Dinner")</f>
        <v>Dinner</v>
      </c>
      <c r="K46" s="113">
        <f>IFERROR(__xludf.DUMMYFUNCTION("""COMPUTED_VALUE"""),46058.0)</f>
        <v>46058</v>
      </c>
      <c r="L46" s="74" t="str">
        <f>IFERROR(__xludf.DUMMYFUNCTION("""COMPUTED_VALUE"""),"Thursday")</f>
        <v>Thursday</v>
      </c>
      <c r="M46" s="74" t="str">
        <f>IFERROR(__xludf.DUMMYFUNCTION("""COMPUTED_VALUE"""),"BF")</f>
        <v>BF</v>
      </c>
      <c r="N46" s="114">
        <f>IFERROR(__xludf.DUMMYFUNCTION("""COMPUTED_VALUE"""),2.3204551386205847)</f>
        <v>2.320455139</v>
      </c>
      <c r="O46" s="74" t="str">
        <f>IFERROR(__xludf.DUMMYFUNCTION("""COMPUTED_VALUE"""),"")</f>
        <v/>
      </c>
      <c r="P46" s="74" t="str">
        <f>IFERROR(__xludf.DUMMYFUNCTION("""COMPUTED_VALUE"""),"")</f>
        <v/>
      </c>
      <c r="Q46" s="82" t="str">
        <f>IFERROR(__xludf.DUMMYFUNCTION("""COMPUTED_VALUE"""),"")</f>
        <v/>
      </c>
      <c r="R46" s="82" t="str">
        <f>IFERROR(__xludf.DUMMYFUNCTION("""COMPUTED_VALUE"""),"")</f>
        <v/>
      </c>
      <c r="S46" s="84" t="str">
        <f>IFERROR(__xludf.DUMMYFUNCTION("""COMPUTED_VALUE"""),"")</f>
        <v/>
      </c>
      <c r="T46" s="84" t="str">
        <f>IFERROR(__xludf.DUMMYFUNCTION("""COMPUTED_VALUE"""),"")</f>
        <v/>
      </c>
      <c r="U46" s="74" t="str">
        <f>IFERROR(__xludf.DUMMYFUNCTION("""COMPUTED_VALUE"""),"")</f>
        <v/>
      </c>
      <c r="V46" s="82" t="str">
        <f>IFERROR(__xludf.DUMMYFUNCTION("""COMPUTED_VALUE"""),"")</f>
        <v/>
      </c>
      <c r="W46" s="64" t="str">
        <f>IFERROR(__xludf.DUMMYFUNCTION("""COMPUTED_VALUE"""),"")</f>
        <v/>
      </c>
      <c r="X46" s="84" t="str">
        <f>IFERROR(__xludf.DUMMYFUNCTION("""COMPUTED_VALUE"""),"")</f>
        <v/>
      </c>
      <c r="Y46" s="114" t="str">
        <f>IFERROR(__xludf.DUMMYFUNCTION("""COMPUTED_VALUE"""),"")</f>
        <v/>
      </c>
    </row>
    <row r="47">
      <c r="A47" s="109">
        <f>IFERROR(__xludf.DUMMYFUNCTION("""COMPUTED_VALUE"""),46058.85662983796)</f>
        <v>46058.85663</v>
      </c>
      <c r="B47" s="81" t="str">
        <f>IFERROR(__xludf.DUMMYFUNCTION("""COMPUTED_VALUE"""),"Leah Bucci")</f>
        <v>Leah Bucci</v>
      </c>
      <c r="C47" s="74" t="b">
        <f>IFERROR(__xludf.DUMMYFUNCTION("""COMPUTED_VALUE"""),TRUE)</f>
        <v>1</v>
      </c>
      <c r="D47" s="137">
        <f>IFERROR(__xludf.DUMMYFUNCTION("""COMPUTED_VALUE"""),0.7326388888905058)</f>
        <v>0.7326388889</v>
      </c>
      <c r="E47" s="82">
        <f>IFERROR(__xludf.DUMMYFUNCTION("""COMPUTED_VALUE"""),0.038194444445252884)</f>
        <v>0.03819444445</v>
      </c>
      <c r="F47" s="137">
        <f>IFERROR(__xludf.DUMMYFUNCTION("""COMPUTED_VALUE"""),0.7708333333357587)</f>
        <v>0.7708333333</v>
      </c>
      <c r="G47" s="82" t="str">
        <f>IFERROR(__xludf.DUMMYFUNCTION("""COMPUTED_VALUE"""),"")</f>
        <v/>
      </c>
      <c r="H47" s="74">
        <f>IFERROR(__xludf.DUMMYFUNCTION("""COMPUTED_VALUE"""),79.0)</f>
        <v>79</v>
      </c>
      <c r="I47" s="84" t="str">
        <f>IFERROR(__xludf.DUMMYFUNCTION("""COMPUTED_VALUE"""),"")</f>
        <v/>
      </c>
      <c r="J47" s="74" t="str">
        <f>IFERROR(__xludf.DUMMYFUNCTION("""COMPUTED_VALUE"""),"Dinner")</f>
        <v>Dinner</v>
      </c>
      <c r="K47" s="113">
        <f>IFERROR(__xludf.DUMMYFUNCTION("""COMPUTED_VALUE"""),46058.0)</f>
        <v>46058</v>
      </c>
      <c r="L47" s="74" t="str">
        <f>IFERROR(__xludf.DUMMYFUNCTION("""COMPUTED_VALUE"""),"Thursday")</f>
        <v>Thursday</v>
      </c>
      <c r="M47" s="74" t="str">
        <f>IFERROR(__xludf.DUMMYFUNCTION("""COMPUTED_VALUE"""),"BF")</f>
        <v>BF</v>
      </c>
      <c r="N47" s="114" t="str">
        <f>IFERROR(__xludf.DUMMYFUNCTION("""COMPUTED_VALUE"""),"")</f>
        <v/>
      </c>
      <c r="O47" s="74" t="str">
        <f>IFERROR(__xludf.DUMMYFUNCTION("""COMPUTED_VALUE"""),"")</f>
        <v/>
      </c>
      <c r="P47" s="74" t="str">
        <f>IFERROR(__xludf.DUMMYFUNCTION("""COMPUTED_VALUE"""),"")</f>
        <v/>
      </c>
      <c r="Q47" s="82" t="str">
        <f>IFERROR(__xludf.DUMMYFUNCTION("""COMPUTED_VALUE"""),"")</f>
        <v/>
      </c>
      <c r="R47" s="82" t="str">
        <f>IFERROR(__xludf.DUMMYFUNCTION("""COMPUTED_VALUE"""),"")</f>
        <v/>
      </c>
      <c r="S47" s="84" t="str">
        <f>IFERROR(__xludf.DUMMYFUNCTION("""COMPUTED_VALUE"""),"")</f>
        <v/>
      </c>
      <c r="T47" s="84" t="str">
        <f>IFERROR(__xludf.DUMMYFUNCTION("""COMPUTED_VALUE"""),"")</f>
        <v/>
      </c>
      <c r="U47" s="74" t="str">
        <f>IFERROR(__xludf.DUMMYFUNCTION("""COMPUTED_VALUE"""),"")</f>
        <v/>
      </c>
      <c r="V47" s="82" t="str">
        <f>IFERROR(__xludf.DUMMYFUNCTION("""COMPUTED_VALUE"""),"")</f>
        <v/>
      </c>
      <c r="W47" s="64" t="str">
        <f>IFERROR(__xludf.DUMMYFUNCTION("""COMPUTED_VALUE"""),"")</f>
        <v/>
      </c>
      <c r="X47" s="84" t="str">
        <f>IFERROR(__xludf.DUMMYFUNCTION("""COMPUTED_VALUE"""),"")</f>
        <v/>
      </c>
      <c r="Y47" s="114" t="str">
        <f>IFERROR(__xludf.DUMMYFUNCTION("""COMPUTED_VALUE"""),"")</f>
        <v/>
      </c>
    </row>
    <row r="48">
      <c r="A48" s="109">
        <f>IFERROR(__xludf.DUMMYFUNCTION("""COMPUTED_VALUE"""),46058.8581721875)</f>
        <v>46058.85817</v>
      </c>
      <c r="B48" s="81" t="str">
        <f>IFERROR(__xludf.DUMMYFUNCTION("""COMPUTED_VALUE"""),"Leah Bucci")</f>
        <v>Leah Bucci</v>
      </c>
      <c r="C48" s="74" t="b">
        <f>IFERROR(__xludf.DUMMYFUNCTION("""COMPUTED_VALUE"""),TRUE)</f>
        <v>1</v>
      </c>
      <c r="D48" s="137">
        <f>IFERROR(__xludf.DUMMYFUNCTION("""COMPUTED_VALUE"""),0.7638888888905058)</f>
        <v>0.7638888889</v>
      </c>
      <c r="E48" s="82">
        <f>IFERROR(__xludf.DUMMYFUNCTION("""COMPUTED_VALUE"""),0.02777777777373558)</f>
        <v>0.02777777777</v>
      </c>
      <c r="F48" s="137">
        <f>IFERROR(__xludf.DUMMYFUNCTION("""COMPUTED_VALUE"""),0.7916666666642413)</f>
        <v>0.7916666667</v>
      </c>
      <c r="G48" s="82" t="str">
        <f>IFERROR(__xludf.DUMMYFUNCTION("""COMPUTED_VALUE"""),"")</f>
        <v/>
      </c>
      <c r="H48" s="74">
        <f>IFERROR(__xludf.DUMMYFUNCTION("""COMPUTED_VALUE"""),199.0)</f>
        <v>199</v>
      </c>
      <c r="I48" s="84" t="str">
        <f>IFERROR(__xludf.DUMMYFUNCTION("""COMPUTED_VALUE"""),"")</f>
        <v/>
      </c>
      <c r="J48" s="74" t="str">
        <f>IFERROR(__xludf.DUMMYFUNCTION("""COMPUTED_VALUE"""),"Dinner")</f>
        <v>Dinner</v>
      </c>
      <c r="K48" s="113">
        <f>IFERROR(__xludf.DUMMYFUNCTION("""COMPUTED_VALUE"""),46058.0)</f>
        <v>46058</v>
      </c>
      <c r="L48" s="74" t="str">
        <f>IFERROR(__xludf.DUMMYFUNCTION("""COMPUTED_VALUE"""),"Thursday")</f>
        <v>Thursday</v>
      </c>
      <c r="M48" s="74" t="str">
        <f>IFERROR(__xludf.DUMMYFUNCTION("""COMPUTED_VALUE"""),"BF")</f>
        <v>BF</v>
      </c>
      <c r="N48" s="114" t="str">
        <f>IFERROR(__xludf.DUMMYFUNCTION("""COMPUTED_VALUE"""),"")</f>
        <v/>
      </c>
      <c r="O48" s="74" t="str">
        <f>IFERROR(__xludf.DUMMYFUNCTION("""COMPUTED_VALUE"""),"")</f>
        <v/>
      </c>
      <c r="P48" s="74" t="str">
        <f>IFERROR(__xludf.DUMMYFUNCTION("""COMPUTED_VALUE"""),"")</f>
        <v/>
      </c>
      <c r="Q48" s="82" t="str">
        <f>IFERROR(__xludf.DUMMYFUNCTION("""COMPUTED_VALUE"""),"")</f>
        <v/>
      </c>
      <c r="R48" s="82" t="str">
        <f>IFERROR(__xludf.DUMMYFUNCTION("""COMPUTED_VALUE"""),"")</f>
        <v/>
      </c>
      <c r="S48" s="84" t="str">
        <f>IFERROR(__xludf.DUMMYFUNCTION("""COMPUTED_VALUE"""),"")</f>
        <v/>
      </c>
      <c r="T48" s="84" t="str">
        <f>IFERROR(__xludf.DUMMYFUNCTION("""COMPUTED_VALUE"""),"")</f>
        <v/>
      </c>
      <c r="U48" s="74" t="str">
        <f>IFERROR(__xludf.DUMMYFUNCTION("""COMPUTED_VALUE"""),"")</f>
        <v/>
      </c>
      <c r="V48" s="82" t="str">
        <f>IFERROR(__xludf.DUMMYFUNCTION("""COMPUTED_VALUE"""),"")</f>
        <v/>
      </c>
      <c r="W48" s="64" t="str">
        <f>IFERROR(__xludf.DUMMYFUNCTION("""COMPUTED_VALUE"""),"")</f>
        <v/>
      </c>
      <c r="X48" s="84" t="str">
        <f>IFERROR(__xludf.DUMMYFUNCTION("""COMPUTED_VALUE"""),"")</f>
        <v/>
      </c>
      <c r="Y48" s="114" t="str">
        <f>IFERROR(__xludf.DUMMYFUNCTION("""COMPUTED_VALUE"""),"")</f>
        <v/>
      </c>
    </row>
    <row r="49">
      <c r="A49" s="109">
        <f>IFERROR(__xludf.DUMMYFUNCTION("""COMPUTED_VALUE"""),46058.85883106482)</f>
        <v>46058.85883</v>
      </c>
      <c r="B49" s="81" t="str">
        <f>IFERROR(__xludf.DUMMYFUNCTION("""COMPUTED_VALUE"""),"Leah Bucci")</f>
        <v>Leah Bucci</v>
      </c>
      <c r="C49" s="74" t="b">
        <f>IFERROR(__xludf.DUMMYFUNCTION("""COMPUTED_VALUE"""),TRUE)</f>
        <v>1</v>
      </c>
      <c r="D49" s="137">
        <f>IFERROR(__xludf.DUMMYFUNCTION("""COMPUTED_VALUE"""),0.7916666666642413)</f>
        <v>0.7916666667</v>
      </c>
      <c r="E49" s="82">
        <f>IFERROR(__xludf.DUMMYFUNCTION("""COMPUTED_VALUE"""),0.0625)</f>
        <v>0.0625</v>
      </c>
      <c r="F49" s="137">
        <f>IFERROR(__xludf.DUMMYFUNCTION("""COMPUTED_VALUE"""),0.8541666666642413)</f>
        <v>0.8541666667</v>
      </c>
      <c r="G49" s="82" t="str">
        <f>IFERROR(__xludf.DUMMYFUNCTION("""COMPUTED_VALUE"""),"")</f>
        <v/>
      </c>
      <c r="H49" s="74">
        <f>IFERROR(__xludf.DUMMYFUNCTION("""COMPUTED_VALUE"""),66.0)</f>
        <v>66</v>
      </c>
      <c r="I49" s="84" t="str">
        <f>IFERROR(__xludf.DUMMYFUNCTION("""COMPUTED_VALUE"""),"")</f>
        <v/>
      </c>
      <c r="J49" s="74" t="str">
        <f>IFERROR(__xludf.DUMMYFUNCTION("""COMPUTED_VALUE"""),"Dinner")</f>
        <v>Dinner</v>
      </c>
      <c r="K49" s="113">
        <f>IFERROR(__xludf.DUMMYFUNCTION("""COMPUTED_VALUE"""),46058.0)</f>
        <v>46058</v>
      </c>
      <c r="L49" s="74" t="str">
        <f>IFERROR(__xludf.DUMMYFUNCTION("""COMPUTED_VALUE"""),"Thursday")</f>
        <v>Thursday</v>
      </c>
      <c r="M49" s="74" t="str">
        <f>IFERROR(__xludf.DUMMYFUNCTION("""COMPUTED_VALUE"""),"BF")</f>
        <v>BF</v>
      </c>
      <c r="N49" s="114" t="str">
        <f>IFERROR(__xludf.DUMMYFUNCTION("""COMPUTED_VALUE"""),"")</f>
        <v/>
      </c>
      <c r="O49" s="74" t="str">
        <f>IFERROR(__xludf.DUMMYFUNCTION("""COMPUTED_VALUE"""),"")</f>
        <v/>
      </c>
      <c r="P49" s="74" t="str">
        <f>IFERROR(__xludf.DUMMYFUNCTION("""COMPUTED_VALUE"""),"")</f>
        <v/>
      </c>
      <c r="Q49" s="82" t="str">
        <f>IFERROR(__xludf.DUMMYFUNCTION("""COMPUTED_VALUE"""),"")</f>
        <v/>
      </c>
      <c r="R49" s="82" t="str">
        <f>IFERROR(__xludf.DUMMYFUNCTION("""COMPUTED_VALUE"""),"")</f>
        <v/>
      </c>
      <c r="S49" s="84" t="str">
        <f>IFERROR(__xludf.DUMMYFUNCTION("""COMPUTED_VALUE"""),"")</f>
        <v/>
      </c>
      <c r="T49" s="84" t="str">
        <f>IFERROR(__xludf.DUMMYFUNCTION("""COMPUTED_VALUE"""),"")</f>
        <v/>
      </c>
      <c r="U49" s="74" t="str">
        <f>IFERROR(__xludf.DUMMYFUNCTION("""COMPUTED_VALUE"""),"")</f>
        <v/>
      </c>
      <c r="V49" s="82" t="str">
        <f>IFERROR(__xludf.DUMMYFUNCTION("""COMPUTED_VALUE"""),"")</f>
        <v/>
      </c>
      <c r="W49" s="64" t="str">
        <f>IFERROR(__xludf.DUMMYFUNCTION("""COMPUTED_VALUE"""),"")</f>
        <v/>
      </c>
      <c r="X49" s="84" t="str">
        <f>IFERROR(__xludf.DUMMYFUNCTION("""COMPUTED_VALUE"""),"")</f>
        <v/>
      </c>
      <c r="Y49" s="114" t="str">
        <f>IFERROR(__xludf.DUMMYFUNCTION("""COMPUTED_VALUE"""),"")</f>
        <v/>
      </c>
    </row>
    <row r="50">
      <c r="A50" s="109">
        <f>IFERROR(__xludf.DUMMYFUNCTION("""COMPUTED_VALUE"""),46059.05051597222)</f>
        <v>46059.05052</v>
      </c>
      <c r="B50" s="81" t="str">
        <f>IFERROR(__xludf.DUMMYFUNCTION("""COMPUTED_VALUE"""),"Arjya Aich")</f>
        <v>Arjya Aich</v>
      </c>
      <c r="C50" s="74" t="b">
        <f>IFERROR(__xludf.DUMMYFUNCTION("""COMPUTED_VALUE"""),FALSE)</f>
        <v>0</v>
      </c>
      <c r="D50" s="137">
        <f>IFERROR(__xludf.DUMMYFUNCTION("""COMPUTED_VALUE"""),0.7916666666642413)</f>
        <v>0.7916666667</v>
      </c>
      <c r="E50" s="82">
        <f>IFERROR(__xludf.DUMMYFUNCTION("""COMPUTED_VALUE"""),0.08333333333575865)</f>
        <v>0.08333333334</v>
      </c>
      <c r="F50" s="137">
        <f>IFERROR(__xludf.DUMMYFUNCTION("""COMPUTED_VALUE"""),0.875)</f>
        <v>0.875</v>
      </c>
      <c r="G50" s="82">
        <f>IFERROR(__xludf.DUMMYFUNCTION("""COMPUTED_VALUE"""),0.08333333333575865)</f>
        <v>0.08333333334</v>
      </c>
      <c r="H50" s="74">
        <f>IFERROR(__xludf.DUMMYFUNCTION("""COMPUTED_VALUE"""),76.0)</f>
        <v>76</v>
      </c>
      <c r="I50" s="84">
        <f>IFERROR(__xludf.DUMMYFUNCTION("""COMPUTED_VALUE"""),37.999999998894054)</f>
        <v>38</v>
      </c>
      <c r="J50" s="74" t="str">
        <f>IFERROR(__xludf.DUMMYFUNCTION("""COMPUTED_VALUE"""),"Dinner")</f>
        <v>Dinner</v>
      </c>
      <c r="K50" s="113">
        <f>IFERROR(__xludf.DUMMYFUNCTION("""COMPUTED_VALUE"""),46058.0)</f>
        <v>46058</v>
      </c>
      <c r="L50" s="74" t="str">
        <f>IFERROR(__xludf.DUMMYFUNCTION("""COMPUTED_VALUE"""),"Thursday")</f>
        <v>Thursday</v>
      </c>
      <c r="M50" s="74" t="str">
        <f>IFERROR(__xludf.DUMMYFUNCTION("""COMPUTED_VALUE"""),"MF")</f>
        <v>MF</v>
      </c>
      <c r="N50" s="114">
        <f>IFERROR(__xludf.DUMMYFUNCTION("""COMPUTED_VALUE"""),0.8193243264981023)</f>
        <v>0.8193243265</v>
      </c>
      <c r="O50" s="74">
        <f>IFERROR(__xludf.DUMMYFUNCTION("""COMPUTED_VALUE"""),281.0)</f>
        <v>281</v>
      </c>
      <c r="P50" s="74">
        <f>IFERROR(__xludf.DUMMYFUNCTION("""COMPUTED_VALUE"""),535.0)</f>
        <v>535</v>
      </c>
      <c r="Q50" s="82">
        <f>IFERROR(__xludf.DUMMYFUNCTION("""COMPUTED_VALUE"""),0.20833333333575865)</f>
        <v>0.2083333333</v>
      </c>
      <c r="R50" s="82">
        <f>IFERROR(__xludf.DUMMYFUNCTION("""COMPUTED_VALUE"""),0.34236111110658385)</f>
        <v>0.3423611111</v>
      </c>
      <c r="S50" s="84">
        <f>IFERROR(__xludf.DUMMYFUNCTION("""COMPUTED_VALUE"""),55.523809523801994)</f>
        <v>55.52380952</v>
      </c>
      <c r="T50" s="84">
        <f>IFERROR(__xludf.DUMMYFUNCTION("""COMPUTED_VALUE"""),50.94031991280887)</f>
        <v>50.94031991</v>
      </c>
      <c r="U50" s="74">
        <f>IFERROR(__xludf.DUMMYFUNCTION("""COMPUTED_VALUE"""),816.0)</f>
        <v>816</v>
      </c>
      <c r="V50" s="82">
        <f>IFERROR(__xludf.DUMMYFUNCTION("""COMPUTED_VALUE"""),0.5506944444423425)</f>
        <v>0.5506944444</v>
      </c>
      <c r="W50" s="64">
        <f>IFERROR(__xludf.DUMMYFUNCTION("""COMPUTED_VALUE"""),61.740226986364284)</f>
        <v>61.74022699</v>
      </c>
      <c r="X50" s="84">
        <f>IFERROR(__xludf.DUMMYFUNCTION("""COMPUTED_VALUE"""),53.23206471830543)</f>
        <v>53.23206472</v>
      </c>
      <c r="Y50" s="114">
        <f>IFERROR(__xludf.DUMMYFUNCTION("""COMPUTED_VALUE"""),0.6407113864962394)</f>
        <v>0.6407113865</v>
      </c>
    </row>
    <row r="51">
      <c r="A51" s="109">
        <f>IFERROR(__xludf.DUMMYFUNCTION("""COMPUTED_VALUE"""),46059.579424606476)</f>
        <v>46059.57942</v>
      </c>
      <c r="B51" s="81" t="str">
        <f>IFERROR(__xludf.DUMMYFUNCTION("""COMPUTED_VALUE"""),"Brynn Hornig")</f>
        <v>Brynn Hornig</v>
      </c>
      <c r="C51" s="74" t="b">
        <f>IFERROR(__xludf.DUMMYFUNCTION("""COMPUTED_VALUE"""),FALSE)</f>
        <v>0</v>
      </c>
      <c r="D51" s="137">
        <f>IFERROR(__xludf.DUMMYFUNCTION("""COMPUTED_VALUE"""),0.5208333333357587)</f>
        <v>0.5208333333</v>
      </c>
      <c r="E51" s="82">
        <f>IFERROR(__xludf.DUMMYFUNCTION("""COMPUTED_VALUE"""),0.0625)</f>
        <v>0.0625</v>
      </c>
      <c r="F51" s="137">
        <f>IFERROR(__xludf.DUMMYFUNCTION("""COMPUTED_VALUE"""),0.5833333333357587)</f>
        <v>0.5833333333</v>
      </c>
      <c r="G51" s="82">
        <f>IFERROR(__xludf.DUMMYFUNCTION("""COMPUTED_VALUE"""),0.0625)</f>
        <v>0.0625</v>
      </c>
      <c r="H51" s="74">
        <f>IFERROR(__xludf.DUMMYFUNCTION("""COMPUTED_VALUE"""),50.0)</f>
        <v>50</v>
      </c>
      <c r="I51" s="84">
        <f>IFERROR(__xludf.DUMMYFUNCTION("""COMPUTED_VALUE"""),33.333333333333336)</f>
        <v>33.33333333</v>
      </c>
      <c r="J51" s="74" t="str">
        <f>IFERROR(__xludf.DUMMYFUNCTION("""COMPUTED_VALUE"""),"Lunch")</f>
        <v>Lunch</v>
      </c>
      <c r="K51" s="113">
        <f>IFERROR(__xludf.DUMMYFUNCTION("""COMPUTED_VALUE"""),46059.0)</f>
        <v>46059</v>
      </c>
      <c r="L51" s="74" t="str">
        <f>IFERROR(__xludf.DUMMYFUNCTION("""COMPUTED_VALUE"""),"Friday")</f>
        <v>Friday</v>
      </c>
      <c r="M51" s="74" t="str">
        <f>IFERROR(__xludf.DUMMYFUNCTION("""COMPUTED_VALUE"""),"BF")</f>
        <v>BF</v>
      </c>
      <c r="N51" s="114">
        <f>IFERROR(__xludf.DUMMYFUNCTION("""COMPUTED_VALUE"""),1.1757520232340264)</f>
        <v>1.175752023</v>
      </c>
      <c r="O51" s="74" t="str">
        <f>IFERROR(__xludf.DUMMYFUNCTION("""COMPUTED_VALUE"""),"")</f>
        <v/>
      </c>
      <c r="P51" s="74" t="str">
        <f>IFERROR(__xludf.DUMMYFUNCTION("""COMPUTED_VALUE"""),"")</f>
        <v/>
      </c>
      <c r="Q51" s="82" t="str">
        <f>IFERROR(__xludf.DUMMYFUNCTION("""COMPUTED_VALUE"""),"")</f>
        <v/>
      </c>
      <c r="R51" s="82" t="str">
        <f>IFERROR(__xludf.DUMMYFUNCTION("""COMPUTED_VALUE"""),"")</f>
        <v/>
      </c>
      <c r="S51" s="84" t="str">
        <f>IFERROR(__xludf.DUMMYFUNCTION("""COMPUTED_VALUE"""),"")</f>
        <v/>
      </c>
      <c r="T51" s="84" t="str">
        <f>IFERROR(__xludf.DUMMYFUNCTION("""COMPUTED_VALUE"""),"")</f>
        <v/>
      </c>
      <c r="U51" s="74" t="str">
        <f>IFERROR(__xludf.DUMMYFUNCTION("""COMPUTED_VALUE"""),"")</f>
        <v/>
      </c>
      <c r="V51" s="82" t="str">
        <f>IFERROR(__xludf.DUMMYFUNCTION("""COMPUTED_VALUE"""),"")</f>
        <v/>
      </c>
      <c r="W51" s="64" t="str">
        <f>IFERROR(__xludf.DUMMYFUNCTION("""COMPUTED_VALUE"""),"")</f>
        <v/>
      </c>
      <c r="X51" s="84" t="str">
        <f>IFERROR(__xludf.DUMMYFUNCTION("""COMPUTED_VALUE"""),"")</f>
        <v/>
      </c>
      <c r="Y51" s="114" t="str">
        <f>IFERROR(__xludf.DUMMYFUNCTION("""COMPUTED_VALUE"""),"")</f>
        <v/>
      </c>
    </row>
    <row r="52">
      <c r="A52" s="109">
        <f>IFERROR(__xludf.DUMMYFUNCTION("""COMPUTED_VALUE"""),46059.62125418981)</f>
        <v>46059.62125</v>
      </c>
      <c r="B52" s="81" t="str">
        <f>IFERROR(__xludf.DUMMYFUNCTION("""COMPUTED_VALUE"""),"Oluwatimilehin Shodipe")</f>
        <v>Oluwatimilehin Shodipe</v>
      </c>
      <c r="C52" s="74" t="b">
        <f>IFERROR(__xludf.DUMMYFUNCTION("""COMPUTED_VALUE"""),FALSE)</f>
        <v>0</v>
      </c>
      <c r="D52" s="137">
        <f>IFERROR(__xludf.DUMMYFUNCTION("""COMPUTED_VALUE"""),0.47916666666424135)</f>
        <v>0.4791666667</v>
      </c>
      <c r="E52" s="82">
        <f>IFERROR(__xludf.DUMMYFUNCTION("""COMPUTED_VALUE"""),0.14375000000291038)</f>
        <v>0.14375</v>
      </c>
      <c r="F52" s="137">
        <f>IFERROR(__xludf.DUMMYFUNCTION("""COMPUTED_VALUE"""),0.6229166666671517)</f>
        <v>0.6229166667</v>
      </c>
      <c r="G52" s="82">
        <f>IFERROR(__xludf.DUMMYFUNCTION("""COMPUTED_VALUE"""),0.14375000000291038)</f>
        <v>0.14375</v>
      </c>
      <c r="H52" s="74">
        <f>IFERROR(__xludf.DUMMYFUNCTION("""COMPUTED_VALUE"""),191.0)</f>
        <v>191</v>
      </c>
      <c r="I52" s="84">
        <f>IFERROR(__xludf.DUMMYFUNCTION("""COMPUTED_VALUE"""),55.36231883945884)</f>
        <v>55.36231884</v>
      </c>
      <c r="J52" s="74" t="str">
        <f>IFERROR(__xludf.DUMMYFUNCTION("""COMPUTED_VALUE"""),"Lunch")</f>
        <v>Lunch</v>
      </c>
      <c r="K52" s="113">
        <f>IFERROR(__xludf.DUMMYFUNCTION("""COMPUTED_VALUE"""),46059.0)</f>
        <v>46059</v>
      </c>
      <c r="L52" s="74" t="str">
        <f>IFERROR(__xludf.DUMMYFUNCTION("""COMPUTED_VALUE"""),"Friday")</f>
        <v>Friday</v>
      </c>
      <c r="M52" s="74" t="str">
        <f>IFERROR(__xludf.DUMMYFUNCTION("""COMPUTED_VALUE"""),"MF")</f>
        <v>MF</v>
      </c>
      <c r="N52" s="114">
        <f>IFERROR(__xludf.DUMMYFUNCTION("""COMPUTED_VALUE"""),1.1011352008037083)</f>
        <v>1.101135201</v>
      </c>
      <c r="O52" s="74" t="str">
        <f>IFERROR(__xludf.DUMMYFUNCTION("""COMPUTED_VALUE"""),"")</f>
        <v/>
      </c>
      <c r="P52" s="74" t="str">
        <f>IFERROR(__xludf.DUMMYFUNCTION("""COMPUTED_VALUE"""),"")</f>
        <v/>
      </c>
      <c r="Q52" s="82" t="str">
        <f>IFERROR(__xludf.DUMMYFUNCTION("""COMPUTED_VALUE"""),"")</f>
        <v/>
      </c>
      <c r="R52" s="82" t="str">
        <f>IFERROR(__xludf.DUMMYFUNCTION("""COMPUTED_VALUE"""),"")</f>
        <v/>
      </c>
      <c r="S52" s="84" t="str">
        <f>IFERROR(__xludf.DUMMYFUNCTION("""COMPUTED_VALUE"""),"")</f>
        <v/>
      </c>
      <c r="T52" s="84" t="str">
        <f>IFERROR(__xludf.DUMMYFUNCTION("""COMPUTED_VALUE"""),"")</f>
        <v/>
      </c>
      <c r="U52" s="74" t="str">
        <f>IFERROR(__xludf.DUMMYFUNCTION("""COMPUTED_VALUE"""),"")</f>
        <v/>
      </c>
      <c r="V52" s="82" t="str">
        <f>IFERROR(__xludf.DUMMYFUNCTION("""COMPUTED_VALUE"""),"")</f>
        <v/>
      </c>
      <c r="W52" s="64" t="str">
        <f>IFERROR(__xludf.DUMMYFUNCTION("""COMPUTED_VALUE"""),"")</f>
        <v/>
      </c>
      <c r="X52" s="84" t="str">
        <f>IFERROR(__xludf.DUMMYFUNCTION("""COMPUTED_VALUE"""),"")</f>
        <v/>
      </c>
      <c r="Y52" s="114" t="str">
        <f>IFERROR(__xludf.DUMMYFUNCTION("""COMPUTED_VALUE"""),"")</f>
        <v/>
      </c>
    </row>
    <row r="53">
      <c r="A53" s="109">
        <f>IFERROR(__xludf.DUMMYFUNCTION("""COMPUTED_VALUE"""),46059.78689563657)</f>
        <v>46059.7869</v>
      </c>
      <c r="B53" s="81" t="str">
        <f>IFERROR(__xludf.DUMMYFUNCTION("""COMPUTED_VALUE"""),"Leah Bucci")</f>
        <v>Leah Bucci</v>
      </c>
      <c r="C53" s="74" t="b">
        <f>IFERROR(__xludf.DUMMYFUNCTION("""COMPUTED_VALUE"""),FALSE)</f>
        <v>0</v>
      </c>
      <c r="D53" s="137">
        <f>IFERROR(__xludf.DUMMYFUNCTION("""COMPUTED_VALUE"""),0.6666666666642413)</f>
        <v>0.6666666667</v>
      </c>
      <c r="E53" s="82">
        <f>IFERROR(__xludf.DUMMYFUNCTION("""COMPUTED_VALUE"""),0.08333333333575865)</f>
        <v>0.08333333334</v>
      </c>
      <c r="F53" s="137">
        <f>IFERROR(__xludf.DUMMYFUNCTION("""COMPUTED_VALUE"""),0.75)</f>
        <v>0.75</v>
      </c>
      <c r="G53" s="82">
        <f>IFERROR(__xludf.DUMMYFUNCTION("""COMPUTED_VALUE"""),0.08333333333575865)</f>
        <v>0.08333333334</v>
      </c>
      <c r="H53" s="74">
        <f>IFERROR(__xludf.DUMMYFUNCTION("""COMPUTED_VALUE"""),124.0)</f>
        <v>124</v>
      </c>
      <c r="I53" s="84">
        <f>IFERROR(__xludf.DUMMYFUNCTION("""COMPUTED_VALUE"""),61.99999999819556)</f>
        <v>62</v>
      </c>
      <c r="J53" s="74" t="str">
        <f>IFERROR(__xludf.DUMMYFUNCTION("""COMPUTED_VALUE"""),"Dinner")</f>
        <v>Dinner</v>
      </c>
      <c r="K53" s="113">
        <f>IFERROR(__xludf.DUMMYFUNCTION("""COMPUTED_VALUE"""),46059.0)</f>
        <v>46059</v>
      </c>
      <c r="L53" s="74" t="str">
        <f>IFERROR(__xludf.DUMMYFUNCTION("""COMPUTED_VALUE"""),"Friday")</f>
        <v>Friday</v>
      </c>
      <c r="M53" s="74" t="str">
        <f>IFERROR(__xludf.DUMMYFUNCTION("""COMPUTED_VALUE"""),"MF")</f>
        <v>MF</v>
      </c>
      <c r="N53" s="114">
        <f>IFERROR(__xludf.DUMMYFUNCTION("""COMPUTED_VALUE"""),1.3367923221811142)</f>
        <v>1.336792322</v>
      </c>
      <c r="O53" s="74" t="str">
        <f>IFERROR(__xludf.DUMMYFUNCTION("""COMPUTED_VALUE"""),"")</f>
        <v/>
      </c>
      <c r="P53" s="74" t="str">
        <f>IFERROR(__xludf.DUMMYFUNCTION("""COMPUTED_VALUE"""),"")</f>
        <v/>
      </c>
      <c r="Q53" s="82" t="str">
        <f>IFERROR(__xludf.DUMMYFUNCTION("""COMPUTED_VALUE"""),"")</f>
        <v/>
      </c>
      <c r="R53" s="82" t="str">
        <f>IFERROR(__xludf.DUMMYFUNCTION("""COMPUTED_VALUE"""),"")</f>
        <v/>
      </c>
      <c r="S53" s="84" t="str">
        <f>IFERROR(__xludf.DUMMYFUNCTION("""COMPUTED_VALUE"""),"")</f>
        <v/>
      </c>
      <c r="T53" s="84" t="str">
        <f>IFERROR(__xludf.DUMMYFUNCTION("""COMPUTED_VALUE"""),"")</f>
        <v/>
      </c>
      <c r="U53" s="74" t="str">
        <f>IFERROR(__xludf.DUMMYFUNCTION("""COMPUTED_VALUE"""),"")</f>
        <v/>
      </c>
      <c r="V53" s="82" t="str">
        <f>IFERROR(__xludf.DUMMYFUNCTION("""COMPUTED_VALUE"""),"")</f>
        <v/>
      </c>
      <c r="W53" s="64" t="str">
        <f>IFERROR(__xludf.DUMMYFUNCTION("""COMPUTED_VALUE"""),"")</f>
        <v/>
      </c>
      <c r="X53" s="84" t="str">
        <f>IFERROR(__xludf.DUMMYFUNCTION("""COMPUTED_VALUE"""),"")</f>
        <v/>
      </c>
      <c r="Y53" s="114" t="str">
        <f>IFERROR(__xludf.DUMMYFUNCTION("""COMPUTED_VALUE"""),"")</f>
        <v/>
      </c>
    </row>
    <row r="54">
      <c r="A54" s="109">
        <f>IFERROR(__xludf.DUMMYFUNCTION("""COMPUTED_VALUE"""),46059.79432734953)</f>
        <v>46059.79433</v>
      </c>
      <c r="B54" s="81" t="str">
        <f>IFERROR(__xludf.DUMMYFUNCTION("""COMPUTED_VALUE"""),"Orpheus Wilson")</f>
        <v>Orpheus Wilson</v>
      </c>
      <c r="C54" s="74" t="b">
        <f>IFERROR(__xludf.DUMMYFUNCTION("""COMPUTED_VALUE"""),FALSE)</f>
        <v>0</v>
      </c>
      <c r="D54" s="137">
        <f>IFERROR(__xludf.DUMMYFUNCTION("""COMPUTED_VALUE"""),0.7493055555532919)</f>
        <v>0.7493055556</v>
      </c>
      <c r="E54" s="82">
        <f>IFERROR(__xludf.DUMMYFUNCTION("""COMPUTED_VALUE"""),0.04652777778392192)</f>
        <v>0.04652777778</v>
      </c>
      <c r="F54" s="137">
        <f>IFERROR(__xludf.DUMMYFUNCTION("""COMPUTED_VALUE"""),0.7958333333372138)</f>
        <v>0.7958333333</v>
      </c>
      <c r="G54" s="82">
        <f>IFERROR(__xludf.DUMMYFUNCTION("""COMPUTED_VALUE"""),0.08055555556347826)</f>
        <v>0.08055555556</v>
      </c>
      <c r="H54" s="74">
        <f>IFERROR(__xludf.DUMMYFUNCTION("""COMPUTED_VALUE"""),150.0)</f>
        <v>150</v>
      </c>
      <c r="I54" s="84">
        <f>IFERROR(__xludf.DUMMYFUNCTION("""COMPUTED_VALUE"""),129.8275861941279)</f>
        <v>129.8275862</v>
      </c>
      <c r="J54" s="74" t="str">
        <f>IFERROR(__xludf.DUMMYFUNCTION("""COMPUTED_VALUE"""),"Dinner")</f>
        <v>Dinner</v>
      </c>
      <c r="K54" s="113">
        <f>IFERROR(__xludf.DUMMYFUNCTION("""COMPUTED_VALUE"""),46059.0)</f>
        <v>46059</v>
      </c>
      <c r="L54" s="74" t="str">
        <f>IFERROR(__xludf.DUMMYFUNCTION("""COMPUTED_VALUE"""),"Friday")</f>
        <v>Friday</v>
      </c>
      <c r="M54" s="74" t="str">
        <f>IFERROR(__xludf.DUMMYFUNCTION("""COMPUTED_VALUE"""),"MF")</f>
        <v>MF</v>
      </c>
      <c r="N54" s="114">
        <f>IFERROR(__xludf.DUMMYFUNCTION("""COMPUTED_VALUE"""),2.7992342005914197)</f>
        <v>2.799234201</v>
      </c>
      <c r="O54" s="74" t="str">
        <f>IFERROR(__xludf.DUMMYFUNCTION("""COMPUTED_VALUE"""),"")</f>
        <v/>
      </c>
      <c r="P54" s="74" t="str">
        <f>IFERROR(__xludf.DUMMYFUNCTION("""COMPUTED_VALUE"""),"")</f>
        <v/>
      </c>
      <c r="Q54" s="82" t="str">
        <f>IFERROR(__xludf.DUMMYFUNCTION("""COMPUTED_VALUE"""),"")</f>
        <v/>
      </c>
      <c r="R54" s="82" t="str">
        <f>IFERROR(__xludf.DUMMYFUNCTION("""COMPUTED_VALUE"""),"")</f>
        <v/>
      </c>
      <c r="S54" s="84" t="str">
        <f>IFERROR(__xludf.DUMMYFUNCTION("""COMPUTED_VALUE"""),"")</f>
        <v/>
      </c>
      <c r="T54" s="84" t="str">
        <f>IFERROR(__xludf.DUMMYFUNCTION("""COMPUTED_VALUE"""),"")</f>
        <v/>
      </c>
      <c r="U54" s="74" t="str">
        <f>IFERROR(__xludf.DUMMYFUNCTION("""COMPUTED_VALUE"""),"")</f>
        <v/>
      </c>
      <c r="V54" s="82" t="str">
        <f>IFERROR(__xludf.DUMMYFUNCTION("""COMPUTED_VALUE"""),"")</f>
        <v/>
      </c>
      <c r="W54" s="64" t="str">
        <f>IFERROR(__xludf.DUMMYFUNCTION("""COMPUTED_VALUE"""),"")</f>
        <v/>
      </c>
      <c r="X54" s="84" t="str">
        <f>IFERROR(__xludf.DUMMYFUNCTION("""COMPUTED_VALUE"""),"")</f>
        <v/>
      </c>
      <c r="Y54" s="114" t="str">
        <f>IFERROR(__xludf.DUMMYFUNCTION("""COMPUTED_VALUE"""),"")</f>
        <v/>
      </c>
    </row>
    <row r="55">
      <c r="A55" s="109">
        <f>IFERROR(__xludf.DUMMYFUNCTION("""COMPUTED_VALUE"""),46060.02027628472)</f>
        <v>46060.02028</v>
      </c>
      <c r="B55" s="81" t="str">
        <f>IFERROR(__xludf.DUMMYFUNCTION("""COMPUTED_VALUE"""),"Orpheus Wilson")</f>
        <v>Orpheus Wilson</v>
      </c>
      <c r="C55" s="74" t="b">
        <f>IFERROR(__xludf.DUMMYFUNCTION("""COMPUTED_VALUE"""),TRUE)</f>
        <v>1</v>
      </c>
      <c r="D55" s="137">
        <f>IFERROR(__xludf.DUMMYFUNCTION("""COMPUTED_VALUE"""),0.7937499999970896)</f>
        <v>0.79375</v>
      </c>
      <c r="E55" s="82">
        <f>IFERROR(__xludf.DUMMYFUNCTION("""COMPUTED_VALUE"""),0.034027777779556345)</f>
        <v>0.03402777778</v>
      </c>
      <c r="F55" s="137">
        <f>IFERROR(__xludf.DUMMYFUNCTION("""COMPUTED_VALUE"""),0.827777777776646)</f>
        <v>0.8277777778</v>
      </c>
      <c r="G55" s="82" t="str">
        <f>IFERROR(__xludf.DUMMYFUNCTION("""COMPUTED_VALUE"""),"")</f>
        <v/>
      </c>
      <c r="H55" s="74">
        <f>IFERROR(__xludf.DUMMYFUNCTION("""COMPUTED_VALUE"""),101.0)</f>
        <v>101</v>
      </c>
      <c r="I55" s="84" t="str">
        <f>IFERROR(__xludf.DUMMYFUNCTION("""COMPUTED_VALUE"""),"")</f>
        <v/>
      </c>
      <c r="J55" s="74" t="str">
        <f>IFERROR(__xludf.DUMMYFUNCTION("""COMPUTED_VALUE"""),"Dinner")</f>
        <v>Dinner</v>
      </c>
      <c r="K55" s="113">
        <f>IFERROR(__xludf.DUMMYFUNCTION("""COMPUTED_VALUE"""),46059.0)</f>
        <v>46059</v>
      </c>
      <c r="L55" s="74" t="str">
        <f>IFERROR(__xludf.DUMMYFUNCTION("""COMPUTED_VALUE"""),"Friday")</f>
        <v>Friday</v>
      </c>
      <c r="M55" s="74" t="str">
        <f>IFERROR(__xludf.DUMMYFUNCTION("""COMPUTED_VALUE"""),"MF")</f>
        <v>MF</v>
      </c>
      <c r="N55" s="114" t="str">
        <f>IFERROR(__xludf.DUMMYFUNCTION("""COMPUTED_VALUE"""),"")</f>
        <v/>
      </c>
      <c r="O55" s="74">
        <f>IFERROR(__xludf.DUMMYFUNCTION("""COMPUTED_VALUE"""),566.0)</f>
        <v>566</v>
      </c>
      <c r="P55" s="74">
        <f>IFERROR(__xludf.DUMMYFUNCTION("""COMPUTED_VALUE"""),50.0)</f>
        <v>50</v>
      </c>
      <c r="Q55" s="82">
        <f>IFERROR(__xludf.DUMMYFUNCTION("""COMPUTED_VALUE"""),0.3076388889021473)</f>
        <v>0.3076388889</v>
      </c>
      <c r="R55" s="82">
        <f>IFERROR(__xludf.DUMMYFUNCTION("""COMPUTED_VALUE"""),0.0625)</f>
        <v>0.0625</v>
      </c>
      <c r="S55" s="84">
        <f>IFERROR(__xludf.DUMMYFUNCTION("""COMPUTED_VALUE"""),82.3966350105941)</f>
        <v>82.39663501</v>
      </c>
      <c r="T55" s="84">
        <f>IFERROR(__xludf.DUMMYFUNCTION("""COMPUTED_VALUE"""),33.333333333333336)</f>
        <v>33.33333333</v>
      </c>
      <c r="U55" s="74">
        <f>IFERROR(__xludf.DUMMYFUNCTION("""COMPUTED_VALUE"""),616.0)</f>
        <v>616</v>
      </c>
      <c r="V55" s="82">
        <f>IFERROR(__xludf.DUMMYFUNCTION("""COMPUTED_VALUE"""),0.3701388889021473)</f>
        <v>0.3701388889</v>
      </c>
      <c r="W55" s="64">
        <f>IFERROR(__xludf.DUMMYFUNCTION("""COMPUTED_VALUE"""),69.34333958475814)</f>
        <v>69.34333958</v>
      </c>
      <c r="X55" s="84">
        <f>IFERROR(__xludf.DUMMYFUNCTION("""COMPUTED_VALUE"""),70.1308095912789)</f>
        <v>70.13080959</v>
      </c>
      <c r="Y55" s="114">
        <f>IFERROR(__xludf.DUMMYFUNCTION("""COMPUTED_VALUE"""),1.037243436649552)</f>
        <v>1.037243437</v>
      </c>
    </row>
    <row r="56">
      <c r="A56" s="109">
        <f>IFERROR(__xludf.DUMMYFUNCTION("""COMPUTED_VALUE"""),46062.437844444445)</f>
        <v>46062.43784</v>
      </c>
      <c r="B56" s="81" t="str">
        <f>IFERROR(__xludf.DUMMYFUNCTION("""COMPUTED_VALUE"""),"Sophia Kluck")</f>
        <v>Sophia Kluck</v>
      </c>
      <c r="C56" s="74" t="b">
        <f>IFERROR(__xludf.DUMMYFUNCTION("""COMPUTED_VALUE"""),FALSE)</f>
        <v>0</v>
      </c>
      <c r="D56" s="137">
        <f>IFERROR(__xludf.DUMMYFUNCTION("""COMPUTED_VALUE"""),0.3694444444408873)</f>
        <v>0.3694444444</v>
      </c>
      <c r="E56" s="82">
        <f>IFERROR(__xludf.DUMMYFUNCTION("""COMPUTED_VALUE"""),0.06527777777955635)</f>
        <v>0.06527777778</v>
      </c>
      <c r="F56" s="137">
        <f>IFERROR(__xludf.DUMMYFUNCTION("""COMPUTED_VALUE"""),0.43472222222044365)</f>
        <v>0.4347222222</v>
      </c>
      <c r="G56" s="82">
        <f>IFERROR(__xludf.DUMMYFUNCTION("""COMPUTED_VALUE"""),0.06527777777955635)</f>
        <v>0.06527777778</v>
      </c>
      <c r="H56" s="74">
        <f>IFERROR(__xludf.DUMMYFUNCTION("""COMPUTED_VALUE"""),51.0)</f>
        <v>51</v>
      </c>
      <c r="I56" s="84">
        <f>IFERROR(__xludf.DUMMYFUNCTION("""COMPUTED_VALUE"""),32.55319148847475)</f>
        <v>32.55319149</v>
      </c>
      <c r="J56" s="74" t="str">
        <f>IFERROR(__xludf.DUMMYFUNCTION("""COMPUTED_VALUE"""),"Breakfast")</f>
        <v>Breakfast</v>
      </c>
      <c r="K56" s="113">
        <f>IFERROR(__xludf.DUMMYFUNCTION("""COMPUTED_VALUE"""),46062.0)</f>
        <v>46062</v>
      </c>
      <c r="L56" s="74" t="str">
        <f>IFERROR(__xludf.DUMMYFUNCTION("""COMPUTED_VALUE"""),"Monday")</f>
        <v>Monday</v>
      </c>
      <c r="M56" s="74" t="str">
        <f>IFERROR(__xludf.DUMMYFUNCTION("""COMPUTED_VALUE"""),"BF")</f>
        <v>BF</v>
      </c>
      <c r="N56" s="114">
        <f>IFERROR(__xludf.DUMMYFUNCTION("""COMPUTED_VALUE"""),1.148234422658966)</f>
        <v>1.148234423</v>
      </c>
      <c r="O56" s="74" t="str">
        <f>IFERROR(__xludf.DUMMYFUNCTION("""COMPUTED_VALUE"""),"")</f>
        <v/>
      </c>
      <c r="P56" s="74" t="str">
        <f>IFERROR(__xludf.DUMMYFUNCTION("""COMPUTED_VALUE"""),"")</f>
        <v/>
      </c>
      <c r="Q56" s="82" t="str">
        <f>IFERROR(__xludf.DUMMYFUNCTION("""COMPUTED_VALUE"""),"")</f>
        <v/>
      </c>
      <c r="R56" s="82" t="str">
        <f>IFERROR(__xludf.DUMMYFUNCTION("""COMPUTED_VALUE"""),"")</f>
        <v/>
      </c>
      <c r="S56" s="84" t="str">
        <f>IFERROR(__xludf.DUMMYFUNCTION("""COMPUTED_VALUE"""),"")</f>
        <v/>
      </c>
      <c r="T56" s="84" t="str">
        <f>IFERROR(__xludf.DUMMYFUNCTION("""COMPUTED_VALUE"""),"")</f>
        <v/>
      </c>
      <c r="U56" s="74" t="str">
        <f>IFERROR(__xludf.DUMMYFUNCTION("""COMPUTED_VALUE"""),"")</f>
        <v/>
      </c>
      <c r="V56" s="82" t="str">
        <f>IFERROR(__xludf.DUMMYFUNCTION("""COMPUTED_VALUE"""),"")</f>
        <v/>
      </c>
      <c r="W56" s="64" t="str">
        <f>IFERROR(__xludf.DUMMYFUNCTION("""COMPUTED_VALUE"""),"")</f>
        <v/>
      </c>
      <c r="X56" s="84" t="str">
        <f>IFERROR(__xludf.DUMMYFUNCTION("""COMPUTED_VALUE"""),"")</f>
        <v/>
      </c>
      <c r="Y56" s="114" t="str">
        <f>IFERROR(__xludf.DUMMYFUNCTION("""COMPUTED_VALUE"""),"")</f>
        <v/>
      </c>
    </row>
    <row r="57">
      <c r="A57" s="109">
        <f>IFERROR(__xludf.DUMMYFUNCTION("""COMPUTED_VALUE"""),46062.642289062496)</f>
        <v>46062.64229</v>
      </c>
      <c r="B57" s="81" t="str">
        <f>IFERROR(__xludf.DUMMYFUNCTION("""COMPUTED_VALUE"""),"Brynn Hornig")</f>
        <v>Brynn Hornig</v>
      </c>
      <c r="C57" s="74" t="b">
        <f>IFERROR(__xludf.DUMMYFUNCTION("""COMPUTED_VALUE"""),FALSE)</f>
        <v>0</v>
      </c>
      <c r="D57" s="137">
        <f>IFERROR(__xludf.DUMMYFUNCTION("""COMPUTED_VALUE"""),0.5208333333357587)</f>
        <v>0.5208333333</v>
      </c>
      <c r="E57" s="82">
        <f>IFERROR(__xludf.DUMMYFUNCTION("""COMPUTED_VALUE"""),0.125)</f>
        <v>0.125</v>
      </c>
      <c r="F57" s="137">
        <f>IFERROR(__xludf.DUMMYFUNCTION("""COMPUTED_VALUE"""),0.6458333333357587)</f>
        <v>0.6458333333</v>
      </c>
      <c r="G57" s="82">
        <f>IFERROR(__xludf.DUMMYFUNCTION("""COMPUTED_VALUE"""),0.125)</f>
        <v>0.125</v>
      </c>
      <c r="H57" s="74">
        <f>IFERROR(__xludf.DUMMYFUNCTION("""COMPUTED_VALUE"""),69.0)</f>
        <v>69</v>
      </c>
      <c r="I57" s="84">
        <f>IFERROR(__xludf.DUMMYFUNCTION("""COMPUTED_VALUE"""),23.0)</f>
        <v>23</v>
      </c>
      <c r="J57" s="74" t="str">
        <f>IFERROR(__xludf.DUMMYFUNCTION("""COMPUTED_VALUE"""),"Lunch")</f>
        <v>Lunch</v>
      </c>
      <c r="K57" s="113">
        <f>IFERROR(__xludf.DUMMYFUNCTION("""COMPUTED_VALUE"""),46062.0)</f>
        <v>46062</v>
      </c>
      <c r="L57" s="74" t="str">
        <f>IFERROR(__xludf.DUMMYFUNCTION("""COMPUTED_VALUE"""),"Monday")</f>
        <v>Monday</v>
      </c>
      <c r="M57" s="74" t="str">
        <f>IFERROR(__xludf.DUMMYFUNCTION("""COMPUTED_VALUE"""),"BF")</f>
        <v>BF</v>
      </c>
      <c r="N57" s="114">
        <f>IFERROR(__xludf.DUMMYFUNCTION("""COMPUTED_VALUE"""),0.8112688960314781)</f>
        <v>0.811268896</v>
      </c>
      <c r="O57" s="74" t="str">
        <f>IFERROR(__xludf.DUMMYFUNCTION("""COMPUTED_VALUE"""),"")</f>
        <v/>
      </c>
      <c r="P57" s="74" t="str">
        <f>IFERROR(__xludf.DUMMYFUNCTION("""COMPUTED_VALUE"""),"")</f>
        <v/>
      </c>
      <c r="Q57" s="82" t="str">
        <f>IFERROR(__xludf.DUMMYFUNCTION("""COMPUTED_VALUE"""),"")</f>
        <v/>
      </c>
      <c r="R57" s="82" t="str">
        <f>IFERROR(__xludf.DUMMYFUNCTION("""COMPUTED_VALUE"""),"")</f>
        <v/>
      </c>
      <c r="S57" s="84" t="str">
        <f>IFERROR(__xludf.DUMMYFUNCTION("""COMPUTED_VALUE"""),"")</f>
        <v/>
      </c>
      <c r="T57" s="84" t="str">
        <f>IFERROR(__xludf.DUMMYFUNCTION("""COMPUTED_VALUE"""),"")</f>
        <v/>
      </c>
      <c r="U57" s="74" t="str">
        <f>IFERROR(__xludf.DUMMYFUNCTION("""COMPUTED_VALUE"""),"")</f>
        <v/>
      </c>
      <c r="V57" s="82" t="str">
        <f>IFERROR(__xludf.DUMMYFUNCTION("""COMPUTED_VALUE"""),"")</f>
        <v/>
      </c>
      <c r="W57" s="64" t="str">
        <f>IFERROR(__xludf.DUMMYFUNCTION("""COMPUTED_VALUE"""),"")</f>
        <v/>
      </c>
      <c r="X57" s="84" t="str">
        <f>IFERROR(__xludf.DUMMYFUNCTION("""COMPUTED_VALUE"""),"")</f>
        <v/>
      </c>
      <c r="Y57" s="114" t="str">
        <f>IFERROR(__xludf.DUMMYFUNCTION("""COMPUTED_VALUE"""),"")</f>
        <v/>
      </c>
    </row>
    <row r="58">
      <c r="A58" s="109">
        <f>IFERROR(__xludf.DUMMYFUNCTION("""COMPUTED_VALUE"""),46062.748181724535)</f>
        <v>46062.74818</v>
      </c>
      <c r="B58" s="81" t="str">
        <f>IFERROR(__xludf.DUMMYFUNCTION("""COMPUTED_VALUE"""),"Orpheus Wilson")</f>
        <v>Orpheus Wilson</v>
      </c>
      <c r="C58" s="74" t="b">
        <f>IFERROR(__xludf.DUMMYFUNCTION("""COMPUTED_VALUE"""),FALSE)</f>
        <v>0</v>
      </c>
      <c r="D58" s="137">
        <f>IFERROR(__xludf.DUMMYFUNCTION("""COMPUTED_VALUE"""),0.6652777777781012)</f>
        <v>0.6652777778</v>
      </c>
      <c r="E58" s="82">
        <f>IFERROR(__xludf.DUMMYFUNCTION("""COMPUTED_VALUE"""),0.08125000000291038)</f>
        <v>0.08125</v>
      </c>
      <c r="F58" s="137">
        <f>IFERROR(__xludf.DUMMYFUNCTION("""COMPUTED_VALUE"""),0.7465277777810115)</f>
        <v>0.7465277778</v>
      </c>
      <c r="G58" s="82">
        <f>IFERROR(__xludf.DUMMYFUNCTION("""COMPUTED_VALUE"""),0.08125000000291038)</f>
        <v>0.08125</v>
      </c>
      <c r="H58" s="74">
        <f>IFERROR(__xludf.DUMMYFUNCTION("""COMPUTED_VALUE"""),122.0)</f>
        <v>122</v>
      </c>
      <c r="I58" s="84">
        <f>IFERROR(__xludf.DUMMYFUNCTION("""COMPUTED_VALUE"""),62.56410256186151)</f>
        <v>62.56410256</v>
      </c>
      <c r="J58" s="74" t="str">
        <f>IFERROR(__xludf.DUMMYFUNCTION("""COMPUTED_VALUE"""),"Dinner")</f>
        <v>Dinner</v>
      </c>
      <c r="K58" s="113">
        <f>IFERROR(__xludf.DUMMYFUNCTION("""COMPUTED_VALUE"""),46062.0)</f>
        <v>46062</v>
      </c>
      <c r="L58" s="74" t="str">
        <f>IFERROR(__xludf.DUMMYFUNCTION("""COMPUTED_VALUE"""),"Monday")</f>
        <v>Monday</v>
      </c>
      <c r="M58" s="74" t="str">
        <f>IFERROR(__xludf.DUMMYFUNCTION("""COMPUTED_VALUE"""),"MF")</f>
        <v>MF</v>
      </c>
      <c r="N58" s="114">
        <f>IFERROR(__xludf.DUMMYFUNCTION("""COMPUTED_VALUE"""),1.348955031472296)</f>
        <v>1.348955031</v>
      </c>
      <c r="O58" s="74" t="str">
        <f>IFERROR(__xludf.DUMMYFUNCTION("""COMPUTED_VALUE"""),"")</f>
        <v/>
      </c>
      <c r="P58" s="74" t="str">
        <f>IFERROR(__xludf.DUMMYFUNCTION("""COMPUTED_VALUE"""),"")</f>
        <v/>
      </c>
      <c r="Q58" s="82" t="str">
        <f>IFERROR(__xludf.DUMMYFUNCTION("""COMPUTED_VALUE"""),"")</f>
        <v/>
      </c>
      <c r="R58" s="82" t="str">
        <f>IFERROR(__xludf.DUMMYFUNCTION("""COMPUTED_VALUE"""),"")</f>
        <v/>
      </c>
      <c r="S58" s="84" t="str">
        <f>IFERROR(__xludf.DUMMYFUNCTION("""COMPUTED_VALUE"""),"")</f>
        <v/>
      </c>
      <c r="T58" s="84" t="str">
        <f>IFERROR(__xludf.DUMMYFUNCTION("""COMPUTED_VALUE"""),"")</f>
        <v/>
      </c>
      <c r="U58" s="74" t="str">
        <f>IFERROR(__xludf.DUMMYFUNCTION("""COMPUTED_VALUE"""),"")</f>
        <v/>
      </c>
      <c r="V58" s="82" t="str">
        <f>IFERROR(__xludf.DUMMYFUNCTION("""COMPUTED_VALUE"""),"")</f>
        <v/>
      </c>
      <c r="W58" s="64" t="str">
        <f>IFERROR(__xludf.DUMMYFUNCTION("""COMPUTED_VALUE"""),"")</f>
        <v/>
      </c>
      <c r="X58" s="84" t="str">
        <f>IFERROR(__xludf.DUMMYFUNCTION("""COMPUTED_VALUE"""),"")</f>
        <v/>
      </c>
      <c r="Y58" s="114" t="str">
        <f>IFERROR(__xludf.DUMMYFUNCTION("""COMPUTED_VALUE"""),"")</f>
        <v/>
      </c>
    </row>
    <row r="59">
      <c r="A59" s="109">
        <f>IFERROR(__xludf.DUMMYFUNCTION("""COMPUTED_VALUE"""),46062.8551894213)</f>
        <v>46062.85519</v>
      </c>
      <c r="B59" s="81" t="str">
        <f>IFERROR(__xludf.DUMMYFUNCTION("""COMPUTED_VALUE"""),"Arjya Aich")</f>
        <v>Arjya Aich</v>
      </c>
      <c r="C59" s="74" t="b">
        <f>IFERROR(__xludf.DUMMYFUNCTION("""COMPUTED_VALUE"""),FALSE)</f>
        <v>0</v>
      </c>
      <c r="D59" s="137">
        <f>IFERROR(__xludf.DUMMYFUNCTION("""COMPUTED_VALUE"""),0.6875)</f>
        <v>0.6875</v>
      </c>
      <c r="E59" s="82">
        <f>IFERROR(__xludf.DUMMYFUNCTION("""COMPUTED_VALUE"""),0.16666666666424135)</f>
        <v>0.1666666667</v>
      </c>
      <c r="F59" s="137">
        <f>IFERROR(__xludf.DUMMYFUNCTION("""COMPUTED_VALUE"""),0.8541666666642413)</f>
        <v>0.8541666667</v>
      </c>
      <c r="G59" s="82">
        <f>IFERROR(__xludf.DUMMYFUNCTION("""COMPUTED_VALUE"""),0.16666666666424135)</f>
        <v>0.1666666667</v>
      </c>
      <c r="H59" s="74">
        <f>IFERROR(__xludf.DUMMYFUNCTION("""COMPUTED_VALUE"""),130.0)</f>
        <v>130</v>
      </c>
      <c r="I59" s="84">
        <f>IFERROR(__xludf.DUMMYFUNCTION("""COMPUTED_VALUE"""),32.50000000047294)</f>
        <v>32.5</v>
      </c>
      <c r="J59" s="74" t="str">
        <f>IFERROR(__xludf.DUMMYFUNCTION("""COMPUTED_VALUE"""),"Dinner")</f>
        <v>Dinner</v>
      </c>
      <c r="K59" s="113">
        <f>IFERROR(__xludf.DUMMYFUNCTION("""COMPUTED_VALUE"""),46062.0)</f>
        <v>46062</v>
      </c>
      <c r="L59" s="74" t="str">
        <f>IFERROR(__xludf.DUMMYFUNCTION("""COMPUTED_VALUE"""),"Monday")</f>
        <v>Monday</v>
      </c>
      <c r="M59" s="74" t="str">
        <f>IFERROR(__xludf.DUMMYFUNCTION("""COMPUTED_VALUE"""),"BF")</f>
        <v>BF</v>
      </c>
      <c r="N59" s="114">
        <f>IFERROR(__xludf.DUMMYFUNCTION("""COMPUTED_VALUE"""),0.7314578005115089)</f>
        <v>0.7314578005</v>
      </c>
      <c r="O59" s="74" t="str">
        <f>IFERROR(__xludf.DUMMYFUNCTION("""COMPUTED_VALUE"""),"")</f>
        <v/>
      </c>
      <c r="P59" s="74" t="str">
        <f>IFERROR(__xludf.DUMMYFUNCTION("""COMPUTED_VALUE"""),"")</f>
        <v/>
      </c>
      <c r="Q59" s="82" t="str">
        <f>IFERROR(__xludf.DUMMYFUNCTION("""COMPUTED_VALUE"""),"")</f>
        <v/>
      </c>
      <c r="R59" s="82" t="str">
        <f>IFERROR(__xludf.DUMMYFUNCTION("""COMPUTED_VALUE"""),"")</f>
        <v/>
      </c>
      <c r="S59" s="84" t="str">
        <f>IFERROR(__xludf.DUMMYFUNCTION("""COMPUTED_VALUE"""),"")</f>
        <v/>
      </c>
      <c r="T59" s="84" t="str">
        <f>IFERROR(__xludf.DUMMYFUNCTION("""COMPUTED_VALUE"""),"")</f>
        <v/>
      </c>
      <c r="U59" s="74" t="str">
        <f>IFERROR(__xludf.DUMMYFUNCTION("""COMPUTED_VALUE"""),"")</f>
        <v/>
      </c>
      <c r="V59" s="82" t="str">
        <f>IFERROR(__xludf.DUMMYFUNCTION("""COMPUTED_VALUE"""),"")</f>
        <v/>
      </c>
      <c r="W59" s="64" t="str">
        <f>IFERROR(__xludf.DUMMYFUNCTION("""COMPUTED_VALUE"""),"")</f>
        <v/>
      </c>
      <c r="X59" s="84" t="str">
        <f>IFERROR(__xludf.DUMMYFUNCTION("""COMPUTED_VALUE"""),"")</f>
        <v/>
      </c>
      <c r="Y59" s="114" t="str">
        <f>IFERROR(__xludf.DUMMYFUNCTION("""COMPUTED_VALUE"""),"")</f>
        <v/>
      </c>
    </row>
    <row r="60">
      <c r="A60" s="109">
        <f>IFERROR(__xludf.DUMMYFUNCTION("""COMPUTED_VALUE"""),46062.86871931713)</f>
        <v>46062.86872</v>
      </c>
      <c r="B60" s="81" t="str">
        <f>IFERROR(__xludf.DUMMYFUNCTION("""COMPUTED_VALUE"""),"Maureen Surgot")</f>
        <v>Maureen Surgot</v>
      </c>
      <c r="C60" s="74" t="b">
        <f>IFERROR(__xludf.DUMMYFUNCTION("""COMPUTED_VALUE"""),FALSE)</f>
        <v>0</v>
      </c>
      <c r="D60" s="137">
        <f>IFERROR(__xludf.DUMMYFUNCTION("""COMPUTED_VALUE"""),0.75)</f>
        <v>0.75</v>
      </c>
      <c r="E60" s="82">
        <f>IFERROR(__xludf.DUMMYFUNCTION("""COMPUTED_VALUE"""),0.125)</f>
        <v>0.125</v>
      </c>
      <c r="F60" s="137">
        <f>IFERROR(__xludf.DUMMYFUNCTION("""COMPUTED_VALUE"""),0.875)</f>
        <v>0.875</v>
      </c>
      <c r="G60" s="82">
        <f>IFERROR(__xludf.DUMMYFUNCTION("""COMPUTED_VALUE"""),0.125)</f>
        <v>0.125</v>
      </c>
      <c r="H60" s="74">
        <f>IFERROR(__xludf.DUMMYFUNCTION("""COMPUTED_VALUE"""),86.0)</f>
        <v>86</v>
      </c>
      <c r="I60" s="84">
        <f>IFERROR(__xludf.DUMMYFUNCTION("""COMPUTED_VALUE"""),28.666666666666668)</f>
        <v>28.66666667</v>
      </c>
      <c r="J60" s="74" t="str">
        <f>IFERROR(__xludf.DUMMYFUNCTION("""COMPUTED_VALUE"""),"Dinner")</f>
        <v>Dinner</v>
      </c>
      <c r="K60" s="113">
        <f>IFERROR(__xludf.DUMMYFUNCTION("""COMPUTED_VALUE"""),46062.0)</f>
        <v>46062</v>
      </c>
      <c r="L60" s="74" t="str">
        <f>IFERROR(__xludf.DUMMYFUNCTION("""COMPUTED_VALUE"""),"Monday")</f>
        <v>Monday</v>
      </c>
      <c r="M60" s="74" t="str">
        <f>IFERROR(__xludf.DUMMYFUNCTION("""COMPUTED_VALUE"""),"MF")</f>
        <v>MF</v>
      </c>
      <c r="N60" s="114">
        <f>IFERROR(__xludf.DUMMYFUNCTION("""COMPUTED_VALUE"""),0.6180867726393641)</f>
        <v>0.6180867726</v>
      </c>
      <c r="O60" s="74" t="str">
        <f>IFERROR(__xludf.DUMMYFUNCTION("""COMPUTED_VALUE"""),"")</f>
        <v/>
      </c>
      <c r="P60" s="74" t="str">
        <f>IFERROR(__xludf.DUMMYFUNCTION("""COMPUTED_VALUE"""),"")</f>
        <v/>
      </c>
      <c r="Q60" s="82" t="str">
        <f>IFERROR(__xludf.DUMMYFUNCTION("""COMPUTED_VALUE"""),"")</f>
        <v/>
      </c>
      <c r="R60" s="82" t="str">
        <f>IFERROR(__xludf.DUMMYFUNCTION("""COMPUTED_VALUE"""),"")</f>
        <v/>
      </c>
      <c r="S60" s="84" t="str">
        <f>IFERROR(__xludf.DUMMYFUNCTION("""COMPUTED_VALUE"""),"")</f>
        <v/>
      </c>
      <c r="T60" s="84" t="str">
        <f>IFERROR(__xludf.DUMMYFUNCTION("""COMPUTED_VALUE"""),"")</f>
        <v/>
      </c>
      <c r="U60" s="74" t="str">
        <f>IFERROR(__xludf.DUMMYFUNCTION("""COMPUTED_VALUE"""),"")</f>
        <v/>
      </c>
      <c r="V60" s="82" t="str">
        <f>IFERROR(__xludf.DUMMYFUNCTION("""COMPUTED_VALUE"""),"")</f>
        <v/>
      </c>
      <c r="W60" s="64" t="str">
        <f>IFERROR(__xludf.DUMMYFUNCTION("""COMPUTED_VALUE"""),"")</f>
        <v/>
      </c>
      <c r="X60" s="84" t="str">
        <f>IFERROR(__xludf.DUMMYFUNCTION("""COMPUTED_VALUE"""),"")</f>
        <v/>
      </c>
      <c r="Y60" s="114" t="str">
        <f>IFERROR(__xludf.DUMMYFUNCTION("""COMPUTED_VALUE"""),"")</f>
        <v/>
      </c>
    </row>
    <row r="61">
      <c r="A61" s="109">
        <f>IFERROR(__xludf.DUMMYFUNCTION("""COMPUTED_VALUE"""),46062.987411759255)</f>
        <v>46062.98741</v>
      </c>
      <c r="B61" s="81" t="str">
        <f>IFERROR(__xludf.DUMMYFUNCTION("""COMPUTED_VALUE"""),"Denise Romanszysn")</f>
        <v>Denise Romanszysn</v>
      </c>
      <c r="C61" s="74" t="b">
        <f>IFERROR(__xludf.DUMMYFUNCTION("""COMPUTED_VALUE"""),FALSE)</f>
        <v>0</v>
      </c>
      <c r="D61" s="137">
        <f>IFERROR(__xludf.DUMMYFUNCTION("""COMPUTED_VALUE"""),0.4437499999985448)</f>
        <v>0.44375</v>
      </c>
      <c r="E61" s="82">
        <f>IFERROR(__xludf.DUMMYFUNCTION("""COMPUTED_VALUE"""),0.04236111111094942)</f>
        <v>0.04236111111</v>
      </c>
      <c r="F61" s="137">
        <f>IFERROR(__xludf.DUMMYFUNCTION("""COMPUTED_VALUE"""),0.48611111110949423)</f>
        <v>0.4861111111</v>
      </c>
      <c r="G61" s="82">
        <f>IFERROR(__xludf.DUMMYFUNCTION("""COMPUTED_VALUE"""),0.04236111111094942)</f>
        <v>0.04236111111</v>
      </c>
      <c r="H61" s="74">
        <f>IFERROR(__xludf.DUMMYFUNCTION("""COMPUTED_VALUE"""),53.0)</f>
        <v>53</v>
      </c>
      <c r="I61" s="84">
        <f>IFERROR(__xludf.DUMMYFUNCTION("""COMPUTED_VALUE"""),52.131147541182585)</f>
        <v>52.13114754</v>
      </c>
      <c r="J61" s="74" t="str">
        <f>IFERROR(__xludf.DUMMYFUNCTION("""COMPUTED_VALUE"""),"Breakfast/Lunch")</f>
        <v>Breakfast/Lunch</v>
      </c>
      <c r="K61" s="113">
        <f>IFERROR(__xludf.DUMMYFUNCTION("""COMPUTED_VALUE"""),46062.0)</f>
        <v>46062</v>
      </c>
      <c r="L61" s="74" t="str">
        <f>IFERROR(__xludf.DUMMYFUNCTION("""COMPUTED_VALUE"""),"Monday")</f>
        <v>Monday</v>
      </c>
      <c r="M61" s="74" t="str">
        <f>IFERROR(__xludf.DUMMYFUNCTION("""COMPUTED_VALUE"""),"BF")</f>
        <v>BF</v>
      </c>
      <c r="N61" s="114">
        <f>IFERROR(__xludf.DUMMYFUNCTION("""COMPUTED_VALUE"""),1.5327977815064826)</f>
        <v>1.532797782</v>
      </c>
      <c r="O61" s="74" t="str">
        <f>IFERROR(__xludf.DUMMYFUNCTION("""COMPUTED_VALUE"""),"")</f>
        <v/>
      </c>
      <c r="P61" s="74" t="str">
        <f>IFERROR(__xludf.DUMMYFUNCTION("""COMPUTED_VALUE"""),"")</f>
        <v/>
      </c>
      <c r="Q61" s="82" t="str">
        <f>IFERROR(__xludf.DUMMYFUNCTION("""COMPUTED_VALUE"""),"")</f>
        <v/>
      </c>
      <c r="R61" s="82" t="str">
        <f>IFERROR(__xludf.DUMMYFUNCTION("""COMPUTED_VALUE"""),"")</f>
        <v/>
      </c>
      <c r="S61" s="84" t="str">
        <f>IFERROR(__xludf.DUMMYFUNCTION("""COMPUTED_VALUE"""),"")</f>
        <v/>
      </c>
      <c r="T61" s="84" t="str">
        <f>IFERROR(__xludf.DUMMYFUNCTION("""COMPUTED_VALUE"""),"")</f>
        <v/>
      </c>
      <c r="U61" s="74" t="str">
        <f>IFERROR(__xludf.DUMMYFUNCTION("""COMPUTED_VALUE"""),"")</f>
        <v/>
      </c>
      <c r="V61" s="82" t="str">
        <f>IFERROR(__xludf.DUMMYFUNCTION("""COMPUTED_VALUE"""),"")</f>
        <v/>
      </c>
      <c r="W61" s="64" t="str">
        <f>IFERROR(__xludf.DUMMYFUNCTION("""COMPUTED_VALUE"""),"")</f>
        <v/>
      </c>
      <c r="X61" s="84" t="str">
        <f>IFERROR(__xludf.DUMMYFUNCTION("""COMPUTED_VALUE"""),"")</f>
        <v/>
      </c>
      <c r="Y61" s="114" t="str">
        <f>IFERROR(__xludf.DUMMYFUNCTION("""COMPUTED_VALUE"""),"")</f>
        <v/>
      </c>
    </row>
    <row r="62">
      <c r="A62" s="109">
        <f>IFERROR(__xludf.DUMMYFUNCTION("""COMPUTED_VALUE"""),46062.98841665509)</f>
        <v>46062.98842</v>
      </c>
      <c r="B62" s="81" t="str">
        <f>IFERROR(__xludf.DUMMYFUNCTION("""COMPUTED_VALUE"""),"Denise Romanszysn")</f>
        <v>Denise Romanszysn</v>
      </c>
      <c r="C62" s="74" t="b">
        <f>IFERROR(__xludf.DUMMYFUNCTION("""COMPUTED_VALUE"""),FALSE)</f>
        <v>0</v>
      </c>
      <c r="D62" s="137">
        <f>IFERROR(__xludf.DUMMYFUNCTION("""COMPUTED_VALUE"""),0.5479166666627862)</f>
        <v>0.5479166667</v>
      </c>
      <c r="E62" s="82">
        <f>IFERROR(__xludf.DUMMYFUNCTION("""COMPUTED_VALUE"""),0.0743055555576575)</f>
        <v>0.07430555556</v>
      </c>
      <c r="F62" s="137">
        <f>IFERROR(__xludf.DUMMYFUNCTION("""COMPUTED_VALUE"""),0.6222222222204437)</f>
        <v>0.6222222222</v>
      </c>
      <c r="G62" s="82">
        <f>IFERROR(__xludf.DUMMYFUNCTION("""COMPUTED_VALUE"""),0.0743055555576575)</f>
        <v>0.07430555556</v>
      </c>
      <c r="H62" s="74">
        <f>IFERROR(__xludf.DUMMYFUNCTION("""COMPUTED_VALUE"""),117.0)</f>
        <v>117</v>
      </c>
      <c r="I62" s="84">
        <f>IFERROR(__xludf.DUMMYFUNCTION("""COMPUTED_VALUE"""),65.60747663365812)</f>
        <v>65.60747663</v>
      </c>
      <c r="J62" s="74" t="str">
        <f>IFERROR(__xludf.DUMMYFUNCTION("""COMPUTED_VALUE"""),"Lunch")</f>
        <v>Lunch</v>
      </c>
      <c r="K62" s="113">
        <f>IFERROR(__xludf.DUMMYFUNCTION("""COMPUTED_VALUE"""),46062.0)</f>
        <v>46062</v>
      </c>
      <c r="L62" s="74" t="str">
        <f>IFERROR(__xludf.DUMMYFUNCTION("""COMPUTED_VALUE"""),"Monday")</f>
        <v>Monday</v>
      </c>
      <c r="M62" s="74" t="str">
        <f>IFERROR(__xludf.DUMMYFUNCTION("""COMPUTED_VALUE"""),"MF")</f>
        <v>MF</v>
      </c>
      <c r="N62" s="114">
        <f>IFERROR(__xludf.DUMMYFUNCTION("""COMPUTED_VALUE"""),1.3049074437564494)</f>
        <v>1.304907444</v>
      </c>
      <c r="O62" s="74">
        <f>IFERROR(__xludf.DUMMYFUNCTION("""COMPUTED_VALUE"""),325.0)</f>
        <v>325</v>
      </c>
      <c r="P62" s="74">
        <f>IFERROR(__xludf.DUMMYFUNCTION("""COMPUTED_VALUE"""),303.0)</f>
        <v>303</v>
      </c>
      <c r="Q62" s="82">
        <f>IFERROR(__xludf.DUMMYFUNCTION("""COMPUTED_VALUE"""),0.2805555555605679)</f>
        <v>0.2805555556</v>
      </c>
      <c r="R62" s="82">
        <f>IFERROR(__xludf.DUMMYFUNCTION("""COMPUTED_VALUE"""),0.3993055555547471)</f>
        <v>0.3993055556</v>
      </c>
      <c r="S62" s="84">
        <f>IFERROR(__xludf.DUMMYFUNCTION("""COMPUTED_VALUE"""),52.27941528739543)</f>
        <v>52.27941529</v>
      </c>
      <c r="T62" s="84">
        <f>IFERROR(__xludf.DUMMYFUNCTION("""COMPUTED_VALUE"""),35.04608475753257)</f>
        <v>35.04608476</v>
      </c>
      <c r="U62" s="74">
        <f>IFERROR(__xludf.DUMMYFUNCTION("""COMPUTED_VALUE"""),628.0)</f>
        <v>628</v>
      </c>
      <c r="V62" s="82">
        <f>IFERROR(__xludf.DUMMYFUNCTION("""COMPUTED_VALUE"""),0.679861111115315)</f>
        <v>0.6798611111</v>
      </c>
      <c r="W62" s="64">
        <f>IFERROR(__xludf.DUMMYFUNCTION("""COMPUTED_VALUE"""),38.488253319476)</f>
        <v>38.48825332</v>
      </c>
      <c r="X62" s="84">
        <f>IFERROR(__xludf.DUMMYFUNCTION("""COMPUTED_VALUE"""),42.43179784175951)</f>
        <v>42.43179784</v>
      </c>
      <c r="Y62" s="114">
        <f>IFERROR(__xludf.DUMMYFUNCTION("""COMPUTED_VALUE"""),0.8352955822020697)</f>
        <v>0.8352955822</v>
      </c>
    </row>
    <row r="63">
      <c r="A63" s="109">
        <f>IFERROR(__xludf.DUMMYFUNCTION("""COMPUTED_VALUE"""),46063.52036556713)</f>
        <v>46063.52037</v>
      </c>
      <c r="B63" s="81" t="str">
        <f>IFERROR(__xludf.DUMMYFUNCTION("""COMPUTED_VALUE"""),"Kaylie Forgue")</f>
        <v>Kaylie Forgue</v>
      </c>
      <c r="C63" s="74" t="b">
        <f>IFERROR(__xludf.DUMMYFUNCTION("""COMPUTED_VALUE"""),FALSE)</f>
        <v>0</v>
      </c>
      <c r="D63" s="137">
        <f>IFERROR(__xludf.DUMMYFUNCTION("""COMPUTED_VALUE"""),0.44583333333333336)</f>
        <v>0.4458333333</v>
      </c>
      <c r="E63" s="82">
        <f>IFERROR(__xludf.DUMMYFUNCTION("""COMPUTED_VALUE"""),0.07361111110900914)</f>
        <v>0.07361111111</v>
      </c>
      <c r="F63" s="137">
        <f>IFERROR(__xludf.DUMMYFUNCTION("""COMPUTED_VALUE"""),0.5194444444423425)</f>
        <v>0.5194444444</v>
      </c>
      <c r="G63" s="82">
        <f>IFERROR(__xludf.DUMMYFUNCTION("""COMPUTED_VALUE"""),0.07361111110900914)</f>
        <v>0.07361111111</v>
      </c>
      <c r="H63" s="74">
        <f>IFERROR(__xludf.DUMMYFUNCTION("""COMPUTED_VALUE"""),101.0)</f>
        <v>101</v>
      </c>
      <c r="I63" s="84">
        <f>IFERROR(__xludf.DUMMYFUNCTION("""COMPUTED_VALUE"""),57.169811322387204)</f>
        <v>57.16981132</v>
      </c>
      <c r="J63" s="74" t="str">
        <f>IFERROR(__xludf.DUMMYFUNCTION("""COMPUTED_VALUE"""),"Breakfast/Lunch")</f>
        <v>Breakfast/Lunch</v>
      </c>
      <c r="K63" s="113">
        <f>IFERROR(__xludf.DUMMYFUNCTION("""COMPUTED_VALUE"""),46063.0)</f>
        <v>46063</v>
      </c>
      <c r="L63" s="74" t="str">
        <f>IFERROR(__xludf.DUMMYFUNCTION("""COMPUTED_VALUE"""),"Tuesday")</f>
        <v>Tuesday</v>
      </c>
      <c r="M63" s="74" t="str">
        <f>IFERROR(__xludf.DUMMYFUNCTION("""COMPUTED_VALUE"""),"BF")</f>
        <v>BF</v>
      </c>
      <c r="N63" s="114">
        <f>IFERROR(__xludf.DUMMYFUNCTION("""COMPUTED_VALUE"""),1.8357540941339474)</f>
        <v>1.835754094</v>
      </c>
      <c r="O63" s="74" t="str">
        <f>IFERROR(__xludf.DUMMYFUNCTION("""COMPUTED_VALUE"""),"")</f>
        <v/>
      </c>
      <c r="P63" s="74" t="str">
        <f>IFERROR(__xludf.DUMMYFUNCTION("""COMPUTED_VALUE"""),"")</f>
        <v/>
      </c>
      <c r="Q63" s="82" t="str">
        <f>IFERROR(__xludf.DUMMYFUNCTION("""COMPUTED_VALUE"""),"")</f>
        <v/>
      </c>
      <c r="R63" s="82" t="str">
        <f>IFERROR(__xludf.DUMMYFUNCTION("""COMPUTED_VALUE"""),"")</f>
        <v/>
      </c>
      <c r="S63" s="84" t="str">
        <f>IFERROR(__xludf.DUMMYFUNCTION("""COMPUTED_VALUE"""),"")</f>
        <v/>
      </c>
      <c r="T63" s="84" t="str">
        <f>IFERROR(__xludf.DUMMYFUNCTION("""COMPUTED_VALUE"""),"")</f>
        <v/>
      </c>
      <c r="U63" s="74" t="str">
        <f>IFERROR(__xludf.DUMMYFUNCTION("""COMPUTED_VALUE"""),"")</f>
        <v/>
      </c>
      <c r="V63" s="82" t="str">
        <f>IFERROR(__xludf.DUMMYFUNCTION("""COMPUTED_VALUE"""),"")</f>
        <v/>
      </c>
      <c r="W63" s="64" t="str">
        <f>IFERROR(__xludf.DUMMYFUNCTION("""COMPUTED_VALUE"""),"")</f>
        <v/>
      </c>
      <c r="X63" s="84" t="str">
        <f>IFERROR(__xludf.DUMMYFUNCTION("""COMPUTED_VALUE"""),"")</f>
        <v/>
      </c>
      <c r="Y63" s="114" t="str">
        <f>IFERROR(__xludf.DUMMYFUNCTION("""COMPUTED_VALUE"""),"")</f>
        <v/>
      </c>
    </row>
    <row r="64">
      <c r="A64" s="109">
        <f>IFERROR(__xludf.DUMMYFUNCTION("""COMPUTED_VALUE"""),46063.57693978009)</f>
        <v>46063.57694</v>
      </c>
      <c r="B64" s="81" t="str">
        <f>IFERROR(__xludf.DUMMYFUNCTION("""COMPUTED_VALUE"""),"Kyra Turner")</f>
        <v>Kyra Turner</v>
      </c>
      <c r="C64" s="74" t="b">
        <f>IFERROR(__xludf.DUMMYFUNCTION("""COMPUTED_VALUE"""),FALSE)</f>
        <v>0</v>
      </c>
      <c r="D64" s="137">
        <f>IFERROR(__xludf.DUMMYFUNCTION("""COMPUTED_VALUE"""),0.48541666666278616)</f>
        <v>0.4854166667</v>
      </c>
      <c r="E64" s="82">
        <f>IFERROR(__xludf.DUMMYFUNCTION("""COMPUTED_VALUE"""),0.08402777778246673)</f>
        <v>0.08402777778</v>
      </c>
      <c r="F64" s="137">
        <f>IFERROR(__xludf.DUMMYFUNCTION("""COMPUTED_VALUE"""),0.5694444444452529)</f>
        <v>0.5694444444</v>
      </c>
      <c r="G64" s="82">
        <f>IFERROR(__xludf.DUMMYFUNCTION("""COMPUTED_VALUE"""),0.1270833333344652)</f>
        <v>0.1270833333</v>
      </c>
      <c r="H64" s="74">
        <f>IFERROR(__xludf.DUMMYFUNCTION("""COMPUTED_VALUE"""),126.0)</f>
        <v>126</v>
      </c>
      <c r="I64" s="84">
        <f>IFERROR(__xludf.DUMMYFUNCTION("""COMPUTED_VALUE"""),59.672131147009516)</f>
        <v>59.67213115</v>
      </c>
      <c r="J64" s="74" t="str">
        <f>IFERROR(__xludf.DUMMYFUNCTION("""COMPUTED_VALUE"""),"Lunch")</f>
        <v>Lunch</v>
      </c>
      <c r="K64" s="113">
        <f>IFERROR(__xludf.DUMMYFUNCTION("""COMPUTED_VALUE"""),46063.0)</f>
        <v>46063</v>
      </c>
      <c r="L64" s="74" t="str">
        <f>IFERROR(__xludf.DUMMYFUNCTION("""COMPUTED_VALUE"""),"Tuesday")</f>
        <v>Tuesday</v>
      </c>
      <c r="M64" s="74" t="str">
        <f>IFERROR(__xludf.DUMMYFUNCTION("""COMPUTED_VALUE"""),"MF")</f>
        <v>MF</v>
      </c>
      <c r="N64" s="114">
        <f>IFERROR(__xludf.DUMMYFUNCTION("""COMPUTED_VALUE"""),1.1868557078233435)</f>
        <v>1.186855708</v>
      </c>
      <c r="O64" s="74" t="str">
        <f>IFERROR(__xludf.DUMMYFUNCTION("""COMPUTED_VALUE"""),"")</f>
        <v/>
      </c>
      <c r="P64" s="74" t="str">
        <f>IFERROR(__xludf.DUMMYFUNCTION("""COMPUTED_VALUE"""),"")</f>
        <v/>
      </c>
      <c r="Q64" s="82" t="str">
        <f>IFERROR(__xludf.DUMMYFUNCTION("""COMPUTED_VALUE"""),"")</f>
        <v/>
      </c>
      <c r="R64" s="82" t="str">
        <f>IFERROR(__xludf.DUMMYFUNCTION("""COMPUTED_VALUE"""),"")</f>
        <v/>
      </c>
      <c r="S64" s="84" t="str">
        <f>IFERROR(__xludf.DUMMYFUNCTION("""COMPUTED_VALUE"""),"")</f>
        <v/>
      </c>
      <c r="T64" s="84" t="str">
        <f>IFERROR(__xludf.DUMMYFUNCTION("""COMPUTED_VALUE"""),"")</f>
        <v/>
      </c>
      <c r="U64" s="74" t="str">
        <f>IFERROR(__xludf.DUMMYFUNCTION("""COMPUTED_VALUE"""),"")</f>
        <v/>
      </c>
      <c r="V64" s="82" t="str">
        <f>IFERROR(__xludf.DUMMYFUNCTION("""COMPUTED_VALUE"""),"")</f>
        <v/>
      </c>
      <c r="W64" s="64" t="str">
        <f>IFERROR(__xludf.DUMMYFUNCTION("""COMPUTED_VALUE"""),"")</f>
        <v/>
      </c>
      <c r="X64" s="84" t="str">
        <f>IFERROR(__xludf.DUMMYFUNCTION("""COMPUTED_VALUE"""),"")</f>
        <v/>
      </c>
      <c r="Y64" s="114" t="str">
        <f>IFERROR(__xludf.DUMMYFUNCTION("""COMPUTED_VALUE"""),"")</f>
        <v/>
      </c>
    </row>
    <row r="65">
      <c r="A65" s="109">
        <f>IFERROR(__xludf.DUMMYFUNCTION("""COMPUTED_VALUE"""),46063.62017760417)</f>
        <v>46063.62018</v>
      </c>
      <c r="B65" s="81" t="str">
        <f>IFERROR(__xludf.DUMMYFUNCTION("""COMPUTED_VALUE"""),"Kyra Turner")</f>
        <v>Kyra Turner</v>
      </c>
      <c r="C65" s="74" t="b">
        <f>IFERROR(__xludf.DUMMYFUNCTION("""COMPUTED_VALUE"""),TRUE)</f>
        <v>1</v>
      </c>
      <c r="D65" s="137">
        <f>IFERROR(__xludf.DUMMYFUNCTION("""COMPUTED_VALUE"""),0.5763888888888888)</f>
        <v>0.5763888889</v>
      </c>
      <c r="E65" s="82">
        <f>IFERROR(__xludf.DUMMYFUNCTION("""COMPUTED_VALUE"""),0.04305555555199847)</f>
        <v>0.04305555555</v>
      </c>
      <c r="F65" s="137">
        <f>IFERROR(__xludf.DUMMYFUNCTION("""COMPUTED_VALUE"""),0.6194444444408873)</f>
        <v>0.6194444444</v>
      </c>
      <c r="G65" s="82" t="str">
        <f>IFERROR(__xludf.DUMMYFUNCTION("""COMPUTED_VALUE"""),"")</f>
        <v/>
      </c>
      <c r="H65" s="74">
        <f>IFERROR(__xludf.DUMMYFUNCTION("""COMPUTED_VALUE"""),56.0)</f>
        <v>56</v>
      </c>
      <c r="I65" s="84" t="str">
        <f>IFERROR(__xludf.DUMMYFUNCTION("""COMPUTED_VALUE"""),"")</f>
        <v/>
      </c>
      <c r="J65" s="74" t="str">
        <f>IFERROR(__xludf.DUMMYFUNCTION("""COMPUTED_VALUE"""),"Lunch")</f>
        <v>Lunch</v>
      </c>
      <c r="K65" s="113">
        <f>IFERROR(__xludf.DUMMYFUNCTION("""COMPUTED_VALUE"""),46063.0)</f>
        <v>46063</v>
      </c>
      <c r="L65" s="74" t="str">
        <f>IFERROR(__xludf.DUMMYFUNCTION("""COMPUTED_VALUE"""),"Tuesday")</f>
        <v>Tuesday</v>
      </c>
      <c r="M65" s="74" t="str">
        <f>IFERROR(__xludf.DUMMYFUNCTION("""COMPUTED_VALUE"""),"MF")</f>
        <v>MF</v>
      </c>
      <c r="N65" s="114" t="str">
        <f>IFERROR(__xludf.DUMMYFUNCTION("""COMPUTED_VALUE"""),"")</f>
        <v/>
      </c>
      <c r="O65" s="74" t="str">
        <f>IFERROR(__xludf.DUMMYFUNCTION("""COMPUTED_VALUE"""),"")</f>
        <v/>
      </c>
      <c r="P65" s="74" t="str">
        <f>IFERROR(__xludf.DUMMYFUNCTION("""COMPUTED_VALUE"""),"")</f>
        <v/>
      </c>
      <c r="Q65" s="82" t="str">
        <f>IFERROR(__xludf.DUMMYFUNCTION("""COMPUTED_VALUE"""),"")</f>
        <v/>
      </c>
      <c r="R65" s="82" t="str">
        <f>IFERROR(__xludf.DUMMYFUNCTION("""COMPUTED_VALUE"""),"")</f>
        <v/>
      </c>
      <c r="S65" s="84" t="str">
        <f>IFERROR(__xludf.DUMMYFUNCTION("""COMPUTED_VALUE"""),"")</f>
        <v/>
      </c>
      <c r="T65" s="84" t="str">
        <f>IFERROR(__xludf.DUMMYFUNCTION("""COMPUTED_VALUE"""),"")</f>
        <v/>
      </c>
      <c r="U65" s="74" t="str">
        <f>IFERROR(__xludf.DUMMYFUNCTION("""COMPUTED_VALUE"""),"")</f>
        <v/>
      </c>
      <c r="V65" s="82" t="str">
        <f>IFERROR(__xludf.DUMMYFUNCTION("""COMPUTED_VALUE"""),"")</f>
        <v/>
      </c>
      <c r="W65" s="64" t="str">
        <f>IFERROR(__xludf.DUMMYFUNCTION("""COMPUTED_VALUE"""),"")</f>
        <v/>
      </c>
      <c r="X65" s="84" t="str">
        <f>IFERROR(__xludf.DUMMYFUNCTION("""COMPUTED_VALUE"""),"")</f>
        <v/>
      </c>
      <c r="Y65" s="114" t="str">
        <f>IFERROR(__xludf.DUMMYFUNCTION("""COMPUTED_VALUE"""),"")</f>
        <v/>
      </c>
    </row>
    <row r="66">
      <c r="A66" s="109">
        <f>IFERROR(__xludf.DUMMYFUNCTION("""COMPUTED_VALUE"""),46063.64648833333)</f>
        <v>46063.64649</v>
      </c>
      <c r="B66" s="81" t="str">
        <f>IFERROR(__xludf.DUMMYFUNCTION("""COMPUTED_VALUE"""),"Arjya Aich")</f>
        <v>Arjya Aich</v>
      </c>
      <c r="C66" s="74" t="b">
        <f>IFERROR(__xludf.DUMMYFUNCTION("""COMPUTED_VALUE"""),FALSE)</f>
        <v>0</v>
      </c>
      <c r="D66" s="137">
        <f>IFERROR(__xludf.DUMMYFUNCTION("""COMPUTED_VALUE"""),0.5138888888905058)</f>
        <v>0.5138888889</v>
      </c>
      <c r="E66" s="82">
        <f>IFERROR(__xludf.DUMMYFUNCTION("""COMPUTED_VALUE"""),0.13194444444525288)</f>
        <v>0.1319444444</v>
      </c>
      <c r="F66" s="137">
        <f>IFERROR(__xludf.DUMMYFUNCTION("""COMPUTED_VALUE"""),0.6458333333357587)</f>
        <v>0.6458333333</v>
      </c>
      <c r="G66" s="82">
        <f>IFERROR(__xludf.DUMMYFUNCTION("""COMPUTED_VALUE"""),0.13194444444525288)</f>
        <v>0.1319444444</v>
      </c>
      <c r="H66" s="74">
        <f>IFERROR(__xludf.DUMMYFUNCTION("""COMPUTED_VALUE"""),40.0)</f>
        <v>40</v>
      </c>
      <c r="I66" s="84">
        <f>IFERROR(__xludf.DUMMYFUNCTION("""COMPUTED_VALUE"""),12.631578947291025)</f>
        <v>12.63157895</v>
      </c>
      <c r="J66" s="74" t="str">
        <f>IFERROR(__xludf.DUMMYFUNCTION("""COMPUTED_VALUE"""),"Lunch")</f>
        <v>Lunch</v>
      </c>
      <c r="K66" s="113">
        <f>IFERROR(__xludf.DUMMYFUNCTION("""COMPUTED_VALUE"""),46063.0)</f>
        <v>46063</v>
      </c>
      <c r="L66" s="74" t="str">
        <f>IFERROR(__xludf.DUMMYFUNCTION("""COMPUTED_VALUE"""),"Tuesday")</f>
        <v>Tuesday</v>
      </c>
      <c r="M66" s="74" t="str">
        <f>IFERROR(__xludf.DUMMYFUNCTION("""COMPUTED_VALUE"""),"BF")</f>
        <v>BF</v>
      </c>
      <c r="N66" s="114">
        <f>IFERROR(__xludf.DUMMYFUNCTION("""COMPUTED_VALUE"""),0.4455481351175326)</f>
        <v>0.4455481351</v>
      </c>
      <c r="O66" s="74" t="str">
        <f>IFERROR(__xludf.DUMMYFUNCTION("""COMPUTED_VALUE"""),"")</f>
        <v/>
      </c>
      <c r="P66" s="74" t="str">
        <f>IFERROR(__xludf.DUMMYFUNCTION("""COMPUTED_VALUE"""),"")</f>
        <v/>
      </c>
      <c r="Q66" s="82" t="str">
        <f>IFERROR(__xludf.DUMMYFUNCTION("""COMPUTED_VALUE"""),"")</f>
        <v/>
      </c>
      <c r="R66" s="82" t="str">
        <f>IFERROR(__xludf.DUMMYFUNCTION("""COMPUTED_VALUE"""),"")</f>
        <v/>
      </c>
      <c r="S66" s="84" t="str">
        <f>IFERROR(__xludf.DUMMYFUNCTION("""COMPUTED_VALUE"""),"")</f>
        <v/>
      </c>
      <c r="T66" s="84" t="str">
        <f>IFERROR(__xludf.DUMMYFUNCTION("""COMPUTED_VALUE"""),"")</f>
        <v/>
      </c>
      <c r="U66" s="74" t="str">
        <f>IFERROR(__xludf.DUMMYFUNCTION("""COMPUTED_VALUE"""),"")</f>
        <v/>
      </c>
      <c r="V66" s="82" t="str">
        <f>IFERROR(__xludf.DUMMYFUNCTION("""COMPUTED_VALUE"""),"")</f>
        <v/>
      </c>
      <c r="W66" s="64" t="str">
        <f>IFERROR(__xludf.DUMMYFUNCTION("""COMPUTED_VALUE"""),"")</f>
        <v/>
      </c>
      <c r="X66" s="84" t="str">
        <f>IFERROR(__xludf.DUMMYFUNCTION("""COMPUTED_VALUE"""),"")</f>
        <v/>
      </c>
      <c r="Y66" s="114" t="str">
        <f>IFERROR(__xludf.DUMMYFUNCTION("""COMPUTED_VALUE"""),"")</f>
        <v/>
      </c>
    </row>
    <row r="67">
      <c r="A67" s="109">
        <f>IFERROR(__xludf.DUMMYFUNCTION("""COMPUTED_VALUE"""),46063.86804144676)</f>
        <v>46063.86804</v>
      </c>
      <c r="B67" s="81" t="str">
        <f>IFERROR(__xludf.DUMMYFUNCTION("""COMPUTED_VALUE"""),"Laila Maisuria")</f>
        <v>Laila Maisuria</v>
      </c>
      <c r="C67" s="74" t="b">
        <f>IFERROR(__xludf.DUMMYFUNCTION("""COMPUTED_VALUE"""),FALSE)</f>
        <v>0</v>
      </c>
      <c r="D67" s="137">
        <f>IFERROR(__xludf.DUMMYFUNCTION("""COMPUTED_VALUE"""),0.7548611111124046)</f>
        <v>0.7548611111</v>
      </c>
      <c r="E67" s="82">
        <f>IFERROR(__xludf.DUMMYFUNCTION("""COMPUTED_VALUE"""),0.11180555555620231)</f>
        <v>0.1118055556</v>
      </c>
      <c r="F67" s="137">
        <f>IFERROR(__xludf.DUMMYFUNCTION("""COMPUTED_VALUE"""),0.8666666666686069)</f>
        <v>0.8666666667</v>
      </c>
      <c r="G67" s="82">
        <f>IFERROR(__xludf.DUMMYFUNCTION("""COMPUTED_VALUE"""),0.11180555555620231)</f>
        <v>0.1118055556</v>
      </c>
      <c r="H67" s="74">
        <f>IFERROR(__xludf.DUMMYFUNCTION("""COMPUTED_VALUE"""),123.0)</f>
        <v>123</v>
      </c>
      <c r="I67" s="84">
        <f>IFERROR(__xludf.DUMMYFUNCTION("""COMPUTED_VALUE"""),45.838509316505025)</f>
        <v>45.83850932</v>
      </c>
      <c r="J67" s="74" t="str">
        <f>IFERROR(__xludf.DUMMYFUNCTION("""COMPUTED_VALUE"""),"Dinner")</f>
        <v>Dinner</v>
      </c>
      <c r="K67" s="113">
        <f>IFERROR(__xludf.DUMMYFUNCTION("""COMPUTED_VALUE"""),46063.0)</f>
        <v>46063</v>
      </c>
      <c r="L67" s="74" t="str">
        <f>IFERROR(__xludf.DUMMYFUNCTION("""COMPUTED_VALUE"""),"Tuesday")</f>
        <v>Tuesday</v>
      </c>
      <c r="M67" s="74" t="str">
        <f>IFERROR(__xludf.DUMMYFUNCTION("""COMPUTED_VALUE"""),"MF")</f>
        <v>MF</v>
      </c>
      <c r="N67" s="114">
        <f>IFERROR(__xludf.DUMMYFUNCTION("""COMPUTED_VALUE"""),0.9883317309083028)</f>
        <v>0.9883317309</v>
      </c>
      <c r="O67" s="74" t="str">
        <f>IFERROR(__xludf.DUMMYFUNCTION("""COMPUTED_VALUE"""),"")</f>
        <v/>
      </c>
      <c r="P67" s="74" t="str">
        <f>IFERROR(__xludf.DUMMYFUNCTION("""COMPUTED_VALUE"""),"")</f>
        <v/>
      </c>
      <c r="Q67" s="82" t="str">
        <f>IFERROR(__xludf.DUMMYFUNCTION("""COMPUTED_VALUE"""),"")</f>
        <v/>
      </c>
      <c r="R67" s="82" t="str">
        <f>IFERROR(__xludf.DUMMYFUNCTION("""COMPUTED_VALUE"""),"")</f>
        <v/>
      </c>
      <c r="S67" s="84" t="str">
        <f>IFERROR(__xludf.DUMMYFUNCTION("""COMPUTED_VALUE"""),"")</f>
        <v/>
      </c>
      <c r="T67" s="84" t="str">
        <f>IFERROR(__xludf.DUMMYFUNCTION("""COMPUTED_VALUE"""),"")</f>
        <v/>
      </c>
      <c r="U67" s="74" t="str">
        <f>IFERROR(__xludf.DUMMYFUNCTION("""COMPUTED_VALUE"""),"")</f>
        <v/>
      </c>
      <c r="V67" s="82" t="str">
        <f>IFERROR(__xludf.DUMMYFUNCTION("""COMPUTED_VALUE"""),"")</f>
        <v/>
      </c>
      <c r="W67" s="64" t="str">
        <f>IFERROR(__xludf.DUMMYFUNCTION("""COMPUTED_VALUE"""),"")</f>
        <v/>
      </c>
      <c r="X67" s="84" t="str">
        <f>IFERROR(__xludf.DUMMYFUNCTION("""COMPUTED_VALUE"""),"")</f>
        <v/>
      </c>
      <c r="Y67" s="114" t="str">
        <f>IFERROR(__xludf.DUMMYFUNCTION("""COMPUTED_VALUE"""),"")</f>
        <v/>
      </c>
    </row>
    <row r="68">
      <c r="A68" s="109">
        <f>IFERROR(__xludf.DUMMYFUNCTION("""COMPUTED_VALUE"""),46064.42201444444)</f>
        <v>46064.42201</v>
      </c>
      <c r="B68" s="81" t="str">
        <f>IFERROR(__xludf.DUMMYFUNCTION("""COMPUTED_VALUE"""),"Leah Bucci")</f>
        <v>Leah Bucci</v>
      </c>
      <c r="C68" s="74" t="b">
        <f>IFERROR(__xludf.DUMMYFUNCTION("""COMPUTED_VALUE"""),FALSE)</f>
        <v>0</v>
      </c>
      <c r="D68" s="137">
        <f>IFERROR(__xludf.DUMMYFUNCTION("""COMPUTED_VALUE"""),0.6875)</f>
        <v>0.6875</v>
      </c>
      <c r="E68" s="82">
        <f>IFERROR(__xludf.DUMMYFUNCTION("""COMPUTED_VALUE"""),0.10416666666424135)</f>
        <v>0.1041666667</v>
      </c>
      <c r="F68" s="137">
        <f>IFERROR(__xludf.DUMMYFUNCTION("""COMPUTED_VALUE"""),0.7916666666642413)</f>
        <v>0.7916666667</v>
      </c>
      <c r="G68" s="82">
        <f>IFERROR(__xludf.DUMMYFUNCTION("""COMPUTED_VALUE"""),0.10416666666424135)</f>
        <v>0.1041666667</v>
      </c>
      <c r="H68" s="74">
        <f>IFERROR(__xludf.DUMMYFUNCTION("""COMPUTED_VALUE"""),117.0)</f>
        <v>117</v>
      </c>
      <c r="I68" s="84">
        <f>IFERROR(__xludf.DUMMYFUNCTION("""COMPUTED_VALUE"""),46.80000000108965)</f>
        <v>46.8</v>
      </c>
      <c r="J68" s="74" t="str">
        <f>IFERROR(__xludf.DUMMYFUNCTION("""COMPUTED_VALUE"""),"Dinner")</f>
        <v>Dinner</v>
      </c>
      <c r="K68" s="113">
        <f>IFERROR(__xludf.DUMMYFUNCTION("""COMPUTED_VALUE"""),46063.0)</f>
        <v>46063</v>
      </c>
      <c r="L68" s="74" t="str">
        <f>IFERROR(__xludf.DUMMYFUNCTION("""COMPUTED_VALUE"""),"Tuesday")</f>
        <v>Tuesday</v>
      </c>
      <c r="M68" s="74" t="str">
        <f>IFERROR(__xludf.DUMMYFUNCTION("""COMPUTED_VALUE"""),"BF")</f>
        <v>BF</v>
      </c>
      <c r="N68" s="114">
        <f>IFERROR(__xludf.DUMMYFUNCTION("""COMPUTED_VALUE"""),1.0532992327457693)</f>
        <v>1.053299233</v>
      </c>
      <c r="O68" s="74">
        <f>IFERROR(__xludf.DUMMYFUNCTION("""COMPUTED_VALUE"""),305.0)</f>
        <v>305</v>
      </c>
      <c r="P68" s="74">
        <f>IFERROR(__xludf.DUMMYFUNCTION("""COMPUTED_VALUE"""),258.0)</f>
        <v>258</v>
      </c>
      <c r="Q68" s="82">
        <f>IFERROR(__xludf.DUMMYFUNCTION("""COMPUTED_VALUE"""),0.2388888888906675)</f>
        <v>0.2388888889</v>
      </c>
      <c r="R68" s="82">
        <f>IFERROR(__xludf.DUMMYFUNCTION("""COMPUTED_VALUE"""),0.3097222222185034)</f>
        <v>0.3097222222</v>
      </c>
      <c r="S68" s="84">
        <f>IFERROR(__xludf.DUMMYFUNCTION("""COMPUTED_VALUE"""),52.75532023175727)</f>
        <v>52.75532023</v>
      </c>
      <c r="T68" s="84">
        <f>IFERROR(__xludf.DUMMYFUNCTION("""COMPUTED_VALUE"""),38.867130090255955)</f>
        <v>38.86713009</v>
      </c>
      <c r="U68" s="74">
        <f>IFERROR(__xludf.DUMMYFUNCTION("""COMPUTED_VALUE"""),563.0)</f>
        <v>563</v>
      </c>
      <c r="V68" s="82">
        <f>IFERROR(__xludf.DUMMYFUNCTION("""COMPUTED_VALUE"""),0.5486111111091709)</f>
        <v>0.5486111111</v>
      </c>
      <c r="W68" s="64">
        <f>IFERROR(__xludf.DUMMYFUNCTION("""COMPUTED_VALUE"""),42.7594936710373)</f>
        <v>42.75949367</v>
      </c>
      <c r="X68" s="84">
        <f>IFERROR(__xludf.DUMMYFUNCTION("""COMPUTED_VALUE"""),44.42240614685648)</f>
        <v>44.42240615</v>
      </c>
      <c r="Y68" s="114">
        <f>IFERROR(__xludf.DUMMYFUNCTION("""COMPUTED_VALUE"""),0.6779051841553798)</f>
        <v>0.6779051842</v>
      </c>
    </row>
    <row r="69">
      <c r="A69" s="109">
        <f>IFERROR(__xludf.DUMMYFUNCTION("""COMPUTED_VALUE"""),46064.62069019676)</f>
        <v>46064.62069</v>
      </c>
      <c r="B69" s="81" t="str">
        <f>IFERROR(__xludf.DUMMYFUNCTION("""COMPUTED_VALUE"""),"Evan Morgan")</f>
        <v>Evan Morgan</v>
      </c>
      <c r="C69" s="74" t="b">
        <f>IFERROR(__xludf.DUMMYFUNCTION("""COMPUTED_VALUE"""),FALSE)</f>
        <v>0</v>
      </c>
      <c r="D69" s="137">
        <f>IFERROR(__xludf.DUMMYFUNCTION("""COMPUTED_VALUE"""),0.5416666666642413)</f>
        <v>0.5416666667</v>
      </c>
      <c r="E69" s="82">
        <f>IFERROR(__xludf.DUMMYFUNCTION("""COMPUTED_VALUE"""),0.08333333333575865)</f>
        <v>0.08333333334</v>
      </c>
      <c r="F69" s="137">
        <f>IFERROR(__xludf.DUMMYFUNCTION("""COMPUTED_VALUE"""),0.625)</f>
        <v>0.625</v>
      </c>
      <c r="G69" s="82">
        <f>IFERROR(__xludf.DUMMYFUNCTION("""COMPUTED_VALUE"""),0.08333333333575865)</f>
        <v>0.08333333334</v>
      </c>
      <c r="H69" s="74">
        <f>IFERROR(__xludf.DUMMYFUNCTION("""COMPUTED_VALUE"""),128.0)</f>
        <v>128</v>
      </c>
      <c r="I69" s="84">
        <f>IFERROR(__xludf.DUMMYFUNCTION("""COMPUTED_VALUE"""),63.999999998137355)</f>
        <v>64</v>
      </c>
      <c r="J69" s="74" t="str">
        <f>IFERROR(__xludf.DUMMYFUNCTION("""COMPUTED_VALUE"""),"Lunch")</f>
        <v>Lunch</v>
      </c>
      <c r="K69" s="113">
        <f>IFERROR(__xludf.DUMMYFUNCTION("""COMPUTED_VALUE"""),46064.0)</f>
        <v>46064</v>
      </c>
      <c r="L69" s="74" t="str">
        <f>IFERROR(__xludf.DUMMYFUNCTION("""COMPUTED_VALUE"""),"Wednesday")</f>
        <v>Wednesday</v>
      </c>
      <c r="M69" s="74" t="str">
        <f>IFERROR(__xludf.DUMMYFUNCTION("""COMPUTED_VALUE"""),"MF")</f>
        <v>MF</v>
      </c>
      <c r="N69" s="114">
        <f>IFERROR(__xludf.DUMMYFUNCTION("""COMPUTED_VALUE"""),1.272935352540865)</f>
        <v>1.272935353</v>
      </c>
      <c r="O69" s="74" t="str">
        <f>IFERROR(__xludf.DUMMYFUNCTION("""COMPUTED_VALUE"""),"")</f>
        <v/>
      </c>
      <c r="P69" s="74" t="str">
        <f>IFERROR(__xludf.DUMMYFUNCTION("""COMPUTED_VALUE"""),"")</f>
        <v/>
      </c>
      <c r="Q69" s="82" t="str">
        <f>IFERROR(__xludf.DUMMYFUNCTION("""COMPUTED_VALUE"""),"")</f>
        <v/>
      </c>
      <c r="R69" s="82" t="str">
        <f>IFERROR(__xludf.DUMMYFUNCTION("""COMPUTED_VALUE"""),"")</f>
        <v/>
      </c>
      <c r="S69" s="84" t="str">
        <f>IFERROR(__xludf.DUMMYFUNCTION("""COMPUTED_VALUE"""),"")</f>
        <v/>
      </c>
      <c r="T69" s="84" t="str">
        <f>IFERROR(__xludf.DUMMYFUNCTION("""COMPUTED_VALUE"""),"")</f>
        <v/>
      </c>
      <c r="U69" s="74" t="str">
        <f>IFERROR(__xludf.DUMMYFUNCTION("""COMPUTED_VALUE"""),"")</f>
        <v/>
      </c>
      <c r="V69" s="82" t="str">
        <f>IFERROR(__xludf.DUMMYFUNCTION("""COMPUTED_VALUE"""),"")</f>
        <v/>
      </c>
      <c r="W69" s="64" t="str">
        <f>IFERROR(__xludf.DUMMYFUNCTION("""COMPUTED_VALUE"""),"")</f>
        <v/>
      </c>
      <c r="X69" s="84" t="str">
        <f>IFERROR(__xludf.DUMMYFUNCTION("""COMPUTED_VALUE"""),"")</f>
        <v/>
      </c>
      <c r="Y69" s="114" t="str">
        <f>IFERROR(__xludf.DUMMYFUNCTION("""COMPUTED_VALUE"""),"")</f>
        <v/>
      </c>
    </row>
    <row r="70">
      <c r="A70" s="109">
        <f>IFERROR(__xludf.DUMMYFUNCTION("""COMPUTED_VALUE"""),46064.739611620374)</f>
        <v>46064.73961</v>
      </c>
      <c r="B70" s="81" t="str">
        <f>IFERROR(__xludf.DUMMYFUNCTION("""COMPUTED_VALUE"""),"Evan Morgan")</f>
        <v>Evan Morgan</v>
      </c>
      <c r="C70" s="74" t="b">
        <f>IFERROR(__xludf.DUMMYFUNCTION("""COMPUTED_VALUE"""),FALSE)</f>
        <v>0</v>
      </c>
      <c r="D70" s="137">
        <f>IFERROR(__xludf.DUMMYFUNCTION("""COMPUTED_VALUE"""),0.6666666666642413)</f>
        <v>0.6666666667</v>
      </c>
      <c r="E70" s="82">
        <f>IFERROR(__xludf.DUMMYFUNCTION("""COMPUTED_VALUE"""),0.06597222222626442)</f>
        <v>0.06597222223</v>
      </c>
      <c r="F70" s="137">
        <f>IFERROR(__xludf.DUMMYFUNCTION("""COMPUTED_VALUE"""),0.7326388888905058)</f>
        <v>0.7326388889</v>
      </c>
      <c r="G70" s="82">
        <f>IFERROR(__xludf.DUMMYFUNCTION("""COMPUTED_VALUE"""),0.06597222222626442)</f>
        <v>0.06597222223</v>
      </c>
      <c r="H70" s="74">
        <f>IFERROR(__xludf.DUMMYFUNCTION("""COMPUTED_VALUE"""),94.0)</f>
        <v>94</v>
      </c>
      <c r="I70" s="84">
        <f>IFERROR(__xludf.DUMMYFUNCTION("""COMPUTED_VALUE"""),59.368421048994)</f>
        <v>59.36842105</v>
      </c>
      <c r="J70" s="74" t="str">
        <f>IFERROR(__xludf.DUMMYFUNCTION("""COMPUTED_VALUE"""),"Dinner")</f>
        <v>Dinner</v>
      </c>
      <c r="K70" s="113">
        <f>IFERROR(__xludf.DUMMYFUNCTION("""COMPUTED_VALUE"""),46064.0)</f>
        <v>46064</v>
      </c>
      <c r="L70" s="74" t="str">
        <f>IFERROR(__xludf.DUMMYFUNCTION("""COMPUTED_VALUE"""),"Wednesday")</f>
        <v>Wednesday</v>
      </c>
      <c r="M70" s="74" t="str">
        <f>IFERROR(__xludf.DUMMYFUNCTION("""COMPUTED_VALUE"""),"MF")</f>
        <v>MF</v>
      </c>
      <c r="N70" s="114">
        <f>IFERROR(__xludf.DUMMYFUNCTION("""COMPUTED_VALUE"""),1.2800524103325903)</f>
        <v>1.28005241</v>
      </c>
      <c r="O70" s="74" t="str">
        <f>IFERROR(__xludf.DUMMYFUNCTION("""COMPUTED_VALUE"""),"")</f>
        <v/>
      </c>
      <c r="P70" s="74" t="str">
        <f>IFERROR(__xludf.DUMMYFUNCTION("""COMPUTED_VALUE"""),"")</f>
        <v/>
      </c>
      <c r="Q70" s="82" t="str">
        <f>IFERROR(__xludf.DUMMYFUNCTION("""COMPUTED_VALUE"""),"")</f>
        <v/>
      </c>
      <c r="R70" s="82" t="str">
        <f>IFERROR(__xludf.DUMMYFUNCTION("""COMPUTED_VALUE"""),"")</f>
        <v/>
      </c>
      <c r="S70" s="84" t="str">
        <f>IFERROR(__xludf.DUMMYFUNCTION("""COMPUTED_VALUE"""),"")</f>
        <v/>
      </c>
      <c r="T70" s="84" t="str">
        <f>IFERROR(__xludf.DUMMYFUNCTION("""COMPUTED_VALUE"""),"")</f>
        <v/>
      </c>
      <c r="U70" s="74" t="str">
        <f>IFERROR(__xludf.DUMMYFUNCTION("""COMPUTED_VALUE"""),"")</f>
        <v/>
      </c>
      <c r="V70" s="82" t="str">
        <f>IFERROR(__xludf.DUMMYFUNCTION("""COMPUTED_VALUE"""),"")</f>
        <v/>
      </c>
      <c r="W70" s="64" t="str">
        <f>IFERROR(__xludf.DUMMYFUNCTION("""COMPUTED_VALUE"""),"")</f>
        <v/>
      </c>
      <c r="X70" s="84" t="str">
        <f>IFERROR(__xludf.DUMMYFUNCTION("""COMPUTED_VALUE"""),"")</f>
        <v/>
      </c>
      <c r="Y70" s="114" t="str">
        <f>IFERROR(__xludf.DUMMYFUNCTION("""COMPUTED_VALUE"""),"")</f>
        <v/>
      </c>
    </row>
    <row r="71">
      <c r="A71" s="109">
        <f>IFERROR(__xludf.DUMMYFUNCTION("""COMPUTED_VALUE"""),46064.79300583333)</f>
        <v>46064.79301</v>
      </c>
      <c r="B71" s="81" t="str">
        <f>IFERROR(__xludf.DUMMYFUNCTION("""COMPUTED_VALUE"""),"Brynn Hornig")</f>
        <v>Brynn Hornig</v>
      </c>
      <c r="C71" s="74" t="b">
        <f>IFERROR(__xludf.DUMMYFUNCTION("""COMPUTED_VALUE"""),FALSE)</f>
        <v>0</v>
      </c>
      <c r="D71" s="137">
        <f>IFERROR(__xludf.DUMMYFUNCTION("""COMPUTED_VALUE"""),0.75)</f>
        <v>0.75</v>
      </c>
      <c r="E71" s="82">
        <f>IFERROR(__xludf.DUMMYFUNCTION("""COMPUTED_VALUE"""),0.04166666666424135)</f>
        <v>0.04166666666</v>
      </c>
      <c r="F71" s="137">
        <f>IFERROR(__xludf.DUMMYFUNCTION("""COMPUTED_VALUE"""),0.7916666666642413)</f>
        <v>0.7916666667</v>
      </c>
      <c r="G71" s="82">
        <f>IFERROR(__xludf.DUMMYFUNCTION("""COMPUTED_VALUE"""),0.04166666666424135)</f>
        <v>0.04166666666</v>
      </c>
      <c r="H71" s="74">
        <f>IFERROR(__xludf.DUMMYFUNCTION("""COMPUTED_VALUE"""),116.0)</f>
        <v>116</v>
      </c>
      <c r="I71" s="84">
        <f>IFERROR(__xludf.DUMMYFUNCTION("""COMPUTED_VALUE"""),116.00000000675209)</f>
        <v>116</v>
      </c>
      <c r="J71" s="74" t="str">
        <f>IFERROR(__xludf.DUMMYFUNCTION("""COMPUTED_VALUE"""),"Dinner")</f>
        <v>Dinner</v>
      </c>
      <c r="K71" s="113">
        <f>IFERROR(__xludf.DUMMYFUNCTION("""COMPUTED_VALUE"""),46064.0)</f>
        <v>46064</v>
      </c>
      <c r="L71" s="74" t="str">
        <f>IFERROR(__xludf.DUMMYFUNCTION("""COMPUTED_VALUE"""),"Wednesday")</f>
        <v>Wednesday</v>
      </c>
      <c r="M71" s="74" t="str">
        <f>IFERROR(__xludf.DUMMYFUNCTION("""COMPUTED_VALUE"""),"MF")</f>
        <v>MF</v>
      </c>
      <c r="N71" s="114">
        <f>IFERROR(__xludf.DUMMYFUNCTION("""COMPUTED_VALUE"""),2.5010953126862656)</f>
        <v>2.501095313</v>
      </c>
      <c r="O71" s="74" t="str">
        <f>IFERROR(__xludf.DUMMYFUNCTION("""COMPUTED_VALUE"""),"")</f>
        <v/>
      </c>
      <c r="P71" s="74" t="str">
        <f>IFERROR(__xludf.DUMMYFUNCTION("""COMPUTED_VALUE"""),"")</f>
        <v/>
      </c>
      <c r="Q71" s="82" t="str">
        <f>IFERROR(__xludf.DUMMYFUNCTION("""COMPUTED_VALUE"""),"")</f>
        <v/>
      </c>
      <c r="R71" s="82" t="str">
        <f>IFERROR(__xludf.DUMMYFUNCTION("""COMPUTED_VALUE"""),"")</f>
        <v/>
      </c>
      <c r="S71" s="84" t="str">
        <f>IFERROR(__xludf.DUMMYFUNCTION("""COMPUTED_VALUE"""),"")</f>
        <v/>
      </c>
      <c r="T71" s="84" t="str">
        <f>IFERROR(__xludf.DUMMYFUNCTION("""COMPUTED_VALUE"""),"")</f>
        <v/>
      </c>
      <c r="U71" s="74" t="str">
        <f>IFERROR(__xludf.DUMMYFUNCTION("""COMPUTED_VALUE"""),"")</f>
        <v/>
      </c>
      <c r="V71" s="82" t="str">
        <f>IFERROR(__xludf.DUMMYFUNCTION("""COMPUTED_VALUE"""),"")</f>
        <v/>
      </c>
      <c r="W71" s="64" t="str">
        <f>IFERROR(__xludf.DUMMYFUNCTION("""COMPUTED_VALUE"""),"")</f>
        <v/>
      </c>
      <c r="X71" s="84" t="str">
        <f>IFERROR(__xludf.DUMMYFUNCTION("""COMPUTED_VALUE"""),"")</f>
        <v/>
      </c>
      <c r="Y71" s="114" t="str">
        <f>IFERROR(__xludf.DUMMYFUNCTION("""COMPUTED_VALUE"""),"")</f>
        <v/>
      </c>
    </row>
    <row r="72">
      <c r="A72" s="109">
        <f>IFERROR(__xludf.DUMMYFUNCTION("""COMPUTED_VALUE"""),46064.847970601855)</f>
        <v>46064.84797</v>
      </c>
      <c r="B72" s="81" t="str">
        <f>IFERROR(__xludf.DUMMYFUNCTION("""COMPUTED_VALUE"""),"Maureen Surgot")</f>
        <v>Maureen Surgot</v>
      </c>
      <c r="C72" s="74" t="b">
        <f>IFERROR(__xludf.DUMMYFUNCTION("""COMPUTED_VALUE"""),FALSE)</f>
        <v>0</v>
      </c>
      <c r="D72" s="137">
        <f>IFERROR(__xludf.DUMMYFUNCTION("""COMPUTED_VALUE"""),0.6875)</f>
        <v>0.6875</v>
      </c>
      <c r="E72" s="82">
        <f>IFERROR(__xludf.DUMMYFUNCTION("""COMPUTED_VALUE"""),0.16666666666424135)</f>
        <v>0.1666666667</v>
      </c>
      <c r="F72" s="137">
        <f>IFERROR(__xludf.DUMMYFUNCTION("""COMPUTED_VALUE"""),0.8541666666642413)</f>
        <v>0.8541666667</v>
      </c>
      <c r="G72" s="82">
        <f>IFERROR(__xludf.DUMMYFUNCTION("""COMPUTED_VALUE"""),0.16666666666424135)</f>
        <v>0.1666666667</v>
      </c>
      <c r="H72" s="74">
        <f>IFERROR(__xludf.DUMMYFUNCTION("""COMPUTED_VALUE"""),149.0)</f>
        <v>149</v>
      </c>
      <c r="I72" s="84">
        <f>IFERROR(__xludf.DUMMYFUNCTION("""COMPUTED_VALUE"""),37.25000000054206)</f>
        <v>37.25</v>
      </c>
      <c r="J72" s="74" t="str">
        <f>IFERROR(__xludf.DUMMYFUNCTION("""COMPUTED_VALUE"""),"Dinner")</f>
        <v>Dinner</v>
      </c>
      <c r="K72" s="113">
        <f>IFERROR(__xludf.DUMMYFUNCTION("""COMPUTED_VALUE"""),46064.0)</f>
        <v>46064</v>
      </c>
      <c r="L72" s="74" t="str">
        <f>IFERROR(__xludf.DUMMYFUNCTION("""COMPUTED_VALUE"""),"Wednesday")</f>
        <v>Wednesday</v>
      </c>
      <c r="M72" s="74" t="str">
        <f>IFERROR(__xludf.DUMMYFUNCTION("""COMPUTED_VALUE"""),"BF")</f>
        <v>BF</v>
      </c>
      <c r="N72" s="114">
        <f>IFERROR(__xludf.DUMMYFUNCTION("""COMPUTED_VALUE"""),0.8383631713554986)</f>
        <v>0.8383631714</v>
      </c>
      <c r="O72" s="74" t="str">
        <f>IFERROR(__xludf.DUMMYFUNCTION("""COMPUTED_VALUE"""),"")</f>
        <v/>
      </c>
      <c r="P72" s="74" t="str">
        <f>IFERROR(__xludf.DUMMYFUNCTION("""COMPUTED_VALUE"""),"")</f>
        <v/>
      </c>
      <c r="Q72" s="82" t="str">
        <f>IFERROR(__xludf.DUMMYFUNCTION("""COMPUTED_VALUE"""),"")</f>
        <v/>
      </c>
      <c r="R72" s="82" t="str">
        <f>IFERROR(__xludf.DUMMYFUNCTION("""COMPUTED_VALUE"""),"")</f>
        <v/>
      </c>
      <c r="S72" s="84" t="str">
        <f>IFERROR(__xludf.DUMMYFUNCTION("""COMPUTED_VALUE"""),"")</f>
        <v/>
      </c>
      <c r="T72" s="84" t="str">
        <f>IFERROR(__xludf.DUMMYFUNCTION("""COMPUTED_VALUE"""),"")</f>
        <v/>
      </c>
      <c r="U72" s="74" t="str">
        <f>IFERROR(__xludf.DUMMYFUNCTION("""COMPUTED_VALUE"""),"")</f>
        <v/>
      </c>
      <c r="V72" s="82" t="str">
        <f>IFERROR(__xludf.DUMMYFUNCTION("""COMPUTED_VALUE"""),"")</f>
        <v/>
      </c>
      <c r="W72" s="64" t="str">
        <f>IFERROR(__xludf.DUMMYFUNCTION("""COMPUTED_VALUE"""),"")</f>
        <v/>
      </c>
      <c r="X72" s="84" t="str">
        <f>IFERROR(__xludf.DUMMYFUNCTION("""COMPUTED_VALUE"""),"")</f>
        <v/>
      </c>
      <c r="Y72" s="114" t="str">
        <f>IFERROR(__xludf.DUMMYFUNCTION("""COMPUTED_VALUE"""),"")</f>
        <v/>
      </c>
    </row>
    <row r="73">
      <c r="A73" s="109">
        <f>IFERROR(__xludf.DUMMYFUNCTION("""COMPUTED_VALUE"""),46064.853610833336)</f>
        <v>46064.85361</v>
      </c>
      <c r="B73" s="81" t="str">
        <f>IFERROR(__xludf.DUMMYFUNCTION("""COMPUTED_VALUE"""),"Brynn Hornig")</f>
        <v>Brynn Hornig</v>
      </c>
      <c r="C73" s="74" t="b">
        <f>IFERROR(__xludf.DUMMYFUNCTION("""COMPUTED_VALUE"""),FALSE)</f>
        <v>0</v>
      </c>
      <c r="D73" s="137">
        <f>IFERROR(__xludf.DUMMYFUNCTION("""COMPUTED_VALUE"""),0.7916666666642413)</f>
        <v>0.7916666667</v>
      </c>
      <c r="E73" s="82">
        <f>IFERROR(__xludf.DUMMYFUNCTION("""COMPUTED_VALUE"""),0.061111111113859806)</f>
        <v>0.06111111111</v>
      </c>
      <c r="F73" s="137">
        <f>IFERROR(__xludf.DUMMYFUNCTION("""COMPUTED_VALUE"""),0.8527777777781012)</f>
        <v>0.8527777778</v>
      </c>
      <c r="G73" s="82">
        <f>IFERROR(__xludf.DUMMYFUNCTION("""COMPUTED_VALUE"""),0.08194444444961846)</f>
        <v>0.08194444445</v>
      </c>
      <c r="H73" s="74">
        <f>IFERROR(__xludf.DUMMYFUNCTION("""COMPUTED_VALUE"""),140.0)</f>
        <v>140</v>
      </c>
      <c r="I73" s="84">
        <f>IFERROR(__xludf.DUMMYFUNCTION("""COMPUTED_VALUE"""),79.83050846953573)</f>
        <v>79.83050847</v>
      </c>
      <c r="J73" s="74" t="str">
        <f>IFERROR(__xludf.DUMMYFUNCTION("""COMPUTED_VALUE"""),"Dinner")</f>
        <v>Dinner</v>
      </c>
      <c r="K73" s="113">
        <f>IFERROR(__xludf.DUMMYFUNCTION("""COMPUTED_VALUE"""),46064.0)</f>
        <v>46064</v>
      </c>
      <c r="L73" s="74" t="str">
        <f>IFERROR(__xludf.DUMMYFUNCTION("""COMPUTED_VALUE"""),"Wednesday")</f>
        <v>Wednesday</v>
      </c>
      <c r="M73" s="74" t="str">
        <f>IFERROR(__xludf.DUMMYFUNCTION("""COMPUTED_VALUE"""),"MF")</f>
        <v>MF</v>
      </c>
      <c r="N73" s="114">
        <f>IFERROR(__xludf.DUMMYFUNCTION("""COMPUTED_VALUE"""),1.7212388838870265)</f>
        <v>1.721238884</v>
      </c>
      <c r="O73" s="74" t="str">
        <f>IFERROR(__xludf.DUMMYFUNCTION("""COMPUTED_VALUE"""),"")</f>
        <v/>
      </c>
      <c r="P73" s="74" t="str">
        <f>IFERROR(__xludf.DUMMYFUNCTION("""COMPUTED_VALUE"""),"")</f>
        <v/>
      </c>
      <c r="Q73" s="82" t="str">
        <f>IFERROR(__xludf.DUMMYFUNCTION("""COMPUTED_VALUE"""),"")</f>
        <v/>
      </c>
      <c r="R73" s="82" t="str">
        <f>IFERROR(__xludf.DUMMYFUNCTION("""COMPUTED_VALUE"""),"")</f>
        <v/>
      </c>
      <c r="S73" s="84" t="str">
        <f>IFERROR(__xludf.DUMMYFUNCTION("""COMPUTED_VALUE"""),"")</f>
        <v/>
      </c>
      <c r="T73" s="84" t="str">
        <f>IFERROR(__xludf.DUMMYFUNCTION("""COMPUTED_VALUE"""),"")</f>
        <v/>
      </c>
      <c r="U73" s="74" t="str">
        <f>IFERROR(__xludf.DUMMYFUNCTION("""COMPUTED_VALUE"""),"")</f>
        <v/>
      </c>
      <c r="V73" s="82" t="str">
        <f>IFERROR(__xludf.DUMMYFUNCTION("""COMPUTED_VALUE"""),"")</f>
        <v/>
      </c>
      <c r="W73" s="64" t="str">
        <f>IFERROR(__xludf.DUMMYFUNCTION("""COMPUTED_VALUE"""),"")</f>
        <v/>
      </c>
      <c r="X73" s="84" t="str">
        <f>IFERROR(__xludf.DUMMYFUNCTION("""COMPUTED_VALUE"""),"")</f>
        <v/>
      </c>
      <c r="Y73" s="114" t="str">
        <f>IFERROR(__xludf.DUMMYFUNCTION("""COMPUTED_VALUE"""),"")</f>
        <v/>
      </c>
    </row>
    <row r="74">
      <c r="A74" s="109">
        <f>IFERROR(__xludf.DUMMYFUNCTION("""COMPUTED_VALUE"""),46064.87220533565)</f>
        <v>46064.87221</v>
      </c>
      <c r="B74" s="81" t="str">
        <f>IFERROR(__xludf.DUMMYFUNCTION("""COMPUTED_VALUE"""),"Brynn Hornig")</f>
        <v>Brynn Hornig</v>
      </c>
      <c r="C74" s="74" t="b">
        <f>IFERROR(__xludf.DUMMYFUNCTION("""COMPUTED_VALUE"""),TRUE)</f>
        <v>1</v>
      </c>
      <c r="D74" s="137">
        <f>IFERROR(__xludf.DUMMYFUNCTION("""COMPUTED_VALUE"""),0.8541666666642413)</f>
        <v>0.8541666667</v>
      </c>
      <c r="E74" s="82">
        <f>IFERROR(__xludf.DUMMYFUNCTION("""COMPUTED_VALUE"""),0.020833333335758653)</f>
        <v>0.02083333334</v>
      </c>
      <c r="F74" s="137">
        <f>IFERROR(__xludf.DUMMYFUNCTION("""COMPUTED_VALUE"""),0.875)</f>
        <v>0.875</v>
      </c>
      <c r="G74" s="82" t="str">
        <f>IFERROR(__xludf.DUMMYFUNCTION("""COMPUTED_VALUE"""),"")</f>
        <v/>
      </c>
      <c r="H74" s="74">
        <f>IFERROR(__xludf.DUMMYFUNCTION("""COMPUTED_VALUE"""),17.0)</f>
        <v>17</v>
      </c>
      <c r="I74" s="84" t="str">
        <f>IFERROR(__xludf.DUMMYFUNCTION("""COMPUTED_VALUE"""),"")</f>
        <v/>
      </c>
      <c r="J74" s="74" t="str">
        <f>IFERROR(__xludf.DUMMYFUNCTION("""COMPUTED_VALUE"""),"Dinner")</f>
        <v>Dinner</v>
      </c>
      <c r="K74" s="113">
        <f>IFERROR(__xludf.DUMMYFUNCTION("""COMPUTED_VALUE"""),46064.0)</f>
        <v>46064</v>
      </c>
      <c r="L74" s="74" t="str">
        <f>IFERROR(__xludf.DUMMYFUNCTION("""COMPUTED_VALUE"""),"Wednesday")</f>
        <v>Wednesday</v>
      </c>
      <c r="M74" s="74" t="str">
        <f>IFERROR(__xludf.DUMMYFUNCTION("""COMPUTED_VALUE"""),"MF")</f>
        <v>MF</v>
      </c>
      <c r="N74" s="114" t="str">
        <f>IFERROR(__xludf.DUMMYFUNCTION("""COMPUTED_VALUE"""),"")</f>
        <v/>
      </c>
      <c r="O74" s="74">
        <f>IFERROR(__xludf.DUMMYFUNCTION("""COMPUTED_VALUE"""),495.0)</f>
        <v>495</v>
      </c>
      <c r="P74" s="74">
        <f>IFERROR(__xludf.DUMMYFUNCTION("""COMPUTED_VALUE"""),149.0)</f>
        <v>149</v>
      </c>
      <c r="Q74" s="82">
        <f>IFERROR(__xludf.DUMMYFUNCTION("""COMPUTED_VALUE"""),0.2729166666758829)</f>
        <v>0.2729166667</v>
      </c>
      <c r="R74" s="82">
        <f>IFERROR(__xludf.DUMMYFUNCTION("""COMPUTED_VALUE"""),0.16666666666424135)</f>
        <v>0.1666666667</v>
      </c>
      <c r="S74" s="84">
        <f>IFERROR(__xludf.DUMMYFUNCTION("""COMPUTED_VALUE"""),79.79973238085479)</f>
        <v>79.79973238</v>
      </c>
      <c r="T74" s="84">
        <f>IFERROR(__xludf.DUMMYFUNCTION("""COMPUTED_VALUE"""),37.25000000054206)</f>
        <v>37.25</v>
      </c>
      <c r="U74" s="74">
        <f>IFERROR(__xludf.DUMMYFUNCTION("""COMPUTED_VALUE"""),644.0)</f>
        <v>644</v>
      </c>
      <c r="V74" s="82">
        <f>IFERROR(__xludf.DUMMYFUNCTION("""COMPUTED_VALUE"""),0.4395833333401242)</f>
        <v>0.4395833333</v>
      </c>
      <c r="W74" s="64">
        <f>IFERROR(__xludf.DUMMYFUNCTION("""COMPUTED_VALUE"""),61.042654027493)</f>
        <v>61.04265403</v>
      </c>
      <c r="X74" s="84">
        <f>IFERROR(__xludf.DUMMYFUNCTION("""COMPUTED_VALUE"""),71.28978590479225)</f>
        <v>71.2897859</v>
      </c>
      <c r="Y74" s="114">
        <f>IFERROR(__xludf.DUMMYFUNCTION("""COMPUTED_VALUE"""),1.0828400135673821)</f>
        <v>1.082840014</v>
      </c>
    </row>
    <row r="75">
      <c r="A75" s="109">
        <f>IFERROR(__xludf.DUMMYFUNCTION("""COMPUTED_VALUE"""),46065.36223013889)</f>
        <v>46065.36223</v>
      </c>
      <c r="B75" s="81" t="str">
        <f>IFERROR(__xludf.DUMMYFUNCTION("""COMPUTED_VALUE"""),"Evan Morgan")</f>
        <v>Evan Morgan</v>
      </c>
      <c r="C75" s="74" t="b">
        <f>IFERROR(__xludf.DUMMYFUNCTION("""COMPUTED_VALUE"""),FALSE)</f>
        <v>0</v>
      </c>
      <c r="D75" s="137">
        <f>IFERROR(__xludf.DUMMYFUNCTION("""COMPUTED_VALUE"""),0.29166666666424135)</f>
        <v>0.2916666667</v>
      </c>
      <c r="E75" s="82">
        <f>IFERROR(__xludf.DUMMYFUNCTION("""COMPUTED_VALUE"""),0.06944444444525288)</f>
        <v>0.06944444445</v>
      </c>
      <c r="F75" s="137">
        <f>IFERROR(__xludf.DUMMYFUNCTION("""COMPUTED_VALUE"""),0.36111111110949423)</f>
        <v>0.3611111111</v>
      </c>
      <c r="G75" s="82">
        <f>IFERROR(__xludf.DUMMYFUNCTION("""COMPUTED_VALUE"""),0.06944444444525288)</f>
        <v>0.06944444445</v>
      </c>
      <c r="H75" s="74">
        <f>IFERROR(__xludf.DUMMYFUNCTION("""COMPUTED_VALUE"""),17.0)</f>
        <v>17</v>
      </c>
      <c r="I75" s="84">
        <f>IFERROR(__xludf.DUMMYFUNCTION("""COMPUTED_VALUE"""),10.199999999881257)</f>
        <v>10.2</v>
      </c>
      <c r="J75" s="74" t="str">
        <f>IFERROR(__xludf.DUMMYFUNCTION("""COMPUTED_VALUE"""),"Breakfast")</f>
        <v>Breakfast</v>
      </c>
      <c r="K75" s="113">
        <f>IFERROR(__xludf.DUMMYFUNCTION("""COMPUTED_VALUE"""),46065.0)</f>
        <v>46065</v>
      </c>
      <c r="L75" s="74" t="str">
        <f>IFERROR(__xludf.DUMMYFUNCTION("""COMPUTED_VALUE"""),"Thursday")</f>
        <v>Thursday</v>
      </c>
      <c r="M75" s="74" t="str">
        <f>IFERROR(__xludf.DUMMYFUNCTION("""COMPUTED_VALUE"""),"BF")</f>
        <v>BF</v>
      </c>
      <c r="N75" s="114">
        <f>IFERROR(__xludf.DUMMYFUNCTION("""COMPUTED_VALUE"""),0.3597801191054236)</f>
        <v>0.3597801191</v>
      </c>
      <c r="O75" s="74" t="str">
        <f>IFERROR(__xludf.DUMMYFUNCTION("""COMPUTED_VALUE"""),"")</f>
        <v/>
      </c>
      <c r="P75" s="74" t="str">
        <f>IFERROR(__xludf.DUMMYFUNCTION("""COMPUTED_VALUE"""),"")</f>
        <v/>
      </c>
      <c r="Q75" s="82" t="str">
        <f>IFERROR(__xludf.DUMMYFUNCTION("""COMPUTED_VALUE"""),"")</f>
        <v/>
      </c>
      <c r="R75" s="82" t="str">
        <f>IFERROR(__xludf.DUMMYFUNCTION("""COMPUTED_VALUE"""),"")</f>
        <v/>
      </c>
      <c r="S75" s="84" t="str">
        <f>IFERROR(__xludf.DUMMYFUNCTION("""COMPUTED_VALUE"""),"")</f>
        <v/>
      </c>
      <c r="T75" s="84" t="str">
        <f>IFERROR(__xludf.DUMMYFUNCTION("""COMPUTED_VALUE"""),"")</f>
        <v/>
      </c>
      <c r="U75" s="74" t="str">
        <f>IFERROR(__xludf.DUMMYFUNCTION("""COMPUTED_VALUE"""),"")</f>
        <v/>
      </c>
      <c r="V75" s="82" t="str">
        <f>IFERROR(__xludf.DUMMYFUNCTION("""COMPUTED_VALUE"""),"")</f>
        <v/>
      </c>
      <c r="W75" s="64" t="str">
        <f>IFERROR(__xludf.DUMMYFUNCTION("""COMPUTED_VALUE"""),"")</f>
        <v/>
      </c>
      <c r="X75" s="84" t="str">
        <f>IFERROR(__xludf.DUMMYFUNCTION("""COMPUTED_VALUE"""),"")</f>
        <v/>
      </c>
      <c r="Y75" s="114" t="str">
        <f>IFERROR(__xludf.DUMMYFUNCTION("""COMPUTED_VALUE"""),"")</f>
        <v/>
      </c>
    </row>
    <row r="76">
      <c r="A76" s="109">
        <f>IFERROR(__xludf.DUMMYFUNCTION("""COMPUTED_VALUE"""),46065.45889394676)</f>
        <v>46065.45889</v>
      </c>
      <c r="B76" s="81" t="str">
        <f>IFERROR(__xludf.DUMMYFUNCTION("""COMPUTED_VALUE"""),"Sophia Kluck")</f>
        <v>Sophia Kluck</v>
      </c>
      <c r="C76" s="74" t="b">
        <f>IFERROR(__xludf.DUMMYFUNCTION("""COMPUTED_VALUE"""),FALSE)</f>
        <v>0</v>
      </c>
      <c r="D76" s="137">
        <f>IFERROR(__xludf.DUMMYFUNCTION("""COMPUTED_VALUE"""),0.36597222222189885)</f>
        <v>0.3659722222</v>
      </c>
      <c r="E76" s="82">
        <f>IFERROR(__xludf.DUMMYFUNCTION("""COMPUTED_VALUE"""),0.08125000000291038)</f>
        <v>0.08125</v>
      </c>
      <c r="F76" s="137">
        <f>IFERROR(__xludf.DUMMYFUNCTION("""COMPUTED_VALUE"""),0.44722222222480923)</f>
        <v>0.4472222222</v>
      </c>
      <c r="G76" s="82">
        <f>IFERROR(__xludf.DUMMYFUNCTION("""COMPUTED_VALUE"""),0.10833333332993789)</f>
        <v>0.1083333333</v>
      </c>
      <c r="H76" s="74">
        <f>IFERROR(__xludf.DUMMYFUNCTION("""COMPUTED_VALUE"""),87.0)</f>
        <v>87</v>
      </c>
      <c r="I76" s="84">
        <f>IFERROR(__xludf.DUMMYFUNCTION("""COMPUTED_VALUE"""),42.69230769364578)</f>
        <v>42.69230769</v>
      </c>
      <c r="J76" s="74" t="str">
        <f>IFERROR(__xludf.DUMMYFUNCTION("""COMPUTED_VALUE"""),"Breakfast")</f>
        <v>Breakfast</v>
      </c>
      <c r="K76" s="113">
        <f>IFERROR(__xludf.DUMMYFUNCTION("""COMPUTED_VALUE"""),46065.0)</f>
        <v>46065</v>
      </c>
      <c r="L76" s="74" t="str">
        <f>IFERROR(__xludf.DUMMYFUNCTION("""COMPUTED_VALUE"""),"Thursday")</f>
        <v>Thursday</v>
      </c>
      <c r="M76" s="74" t="str">
        <f>IFERROR(__xludf.DUMMYFUNCTION("""COMPUTED_VALUE"""),"BF")</f>
        <v>BF</v>
      </c>
      <c r="N76" s="114">
        <f>IFERROR(__xludf.DUMMYFUNCTION("""COMPUTED_VALUE"""),1.5058670144200084)</f>
        <v>1.505867014</v>
      </c>
      <c r="O76" s="74" t="str">
        <f>IFERROR(__xludf.DUMMYFUNCTION("""COMPUTED_VALUE"""),"")</f>
        <v/>
      </c>
      <c r="P76" s="74" t="str">
        <f>IFERROR(__xludf.DUMMYFUNCTION("""COMPUTED_VALUE"""),"")</f>
        <v/>
      </c>
      <c r="Q76" s="82" t="str">
        <f>IFERROR(__xludf.DUMMYFUNCTION("""COMPUTED_VALUE"""),"")</f>
        <v/>
      </c>
      <c r="R76" s="82" t="str">
        <f>IFERROR(__xludf.DUMMYFUNCTION("""COMPUTED_VALUE"""),"")</f>
        <v/>
      </c>
      <c r="S76" s="84" t="str">
        <f>IFERROR(__xludf.DUMMYFUNCTION("""COMPUTED_VALUE"""),"")</f>
        <v/>
      </c>
      <c r="T76" s="84" t="str">
        <f>IFERROR(__xludf.DUMMYFUNCTION("""COMPUTED_VALUE"""),"")</f>
        <v/>
      </c>
      <c r="U76" s="74" t="str">
        <f>IFERROR(__xludf.DUMMYFUNCTION("""COMPUTED_VALUE"""),"")</f>
        <v/>
      </c>
      <c r="V76" s="82" t="str">
        <f>IFERROR(__xludf.DUMMYFUNCTION("""COMPUTED_VALUE"""),"")</f>
        <v/>
      </c>
      <c r="W76" s="64" t="str">
        <f>IFERROR(__xludf.DUMMYFUNCTION("""COMPUTED_VALUE"""),"")</f>
        <v/>
      </c>
      <c r="X76" s="84" t="str">
        <f>IFERROR(__xludf.DUMMYFUNCTION("""COMPUTED_VALUE"""),"")</f>
        <v/>
      </c>
      <c r="Y76" s="114" t="str">
        <f>IFERROR(__xludf.DUMMYFUNCTION("""COMPUTED_VALUE"""),"")</f>
        <v/>
      </c>
    </row>
    <row r="77">
      <c r="A77" s="109">
        <f>IFERROR(__xludf.DUMMYFUNCTION("""COMPUTED_VALUE"""),46065.479420972224)</f>
        <v>46065.47942</v>
      </c>
      <c r="B77" s="81" t="str">
        <f>IFERROR(__xludf.DUMMYFUNCTION("""COMPUTED_VALUE"""),"Sophia Kluck")</f>
        <v>Sophia Kluck</v>
      </c>
      <c r="C77" s="74" t="b">
        <f>IFERROR(__xludf.DUMMYFUNCTION("""COMPUTED_VALUE"""),TRUE)</f>
        <v>1</v>
      </c>
      <c r="D77" s="137">
        <f>IFERROR(__xludf.DUMMYFUNCTION("""COMPUTED_VALUE"""),0.4493055555576575)</f>
        <v>0.4493055556</v>
      </c>
      <c r="E77" s="82">
        <f>IFERROR(__xludf.DUMMYFUNCTION("""COMPUTED_VALUE"""),0.027083333327027503)</f>
        <v>0.02708333333</v>
      </c>
      <c r="F77" s="137">
        <f>IFERROR(__xludf.DUMMYFUNCTION("""COMPUTED_VALUE"""),0.476388888884685)</f>
        <v>0.4763888889</v>
      </c>
      <c r="G77" s="82" t="str">
        <f>IFERROR(__xludf.DUMMYFUNCTION("""COMPUTED_VALUE"""),"")</f>
        <v/>
      </c>
      <c r="H77" s="74">
        <f>IFERROR(__xludf.DUMMYFUNCTION("""COMPUTED_VALUE"""),24.0)</f>
        <v>24</v>
      </c>
      <c r="I77" s="84" t="str">
        <f>IFERROR(__xludf.DUMMYFUNCTION("""COMPUTED_VALUE"""),"")</f>
        <v/>
      </c>
      <c r="J77" s="74" t="str">
        <f>IFERROR(__xludf.DUMMYFUNCTION("""COMPUTED_VALUE"""),"Breakfast/Lunch")</f>
        <v>Breakfast/Lunch</v>
      </c>
      <c r="K77" s="113">
        <f>IFERROR(__xludf.DUMMYFUNCTION("""COMPUTED_VALUE"""),46065.0)</f>
        <v>46065</v>
      </c>
      <c r="L77" s="74" t="str">
        <f>IFERROR(__xludf.DUMMYFUNCTION("""COMPUTED_VALUE"""),"Thursday")</f>
        <v>Thursday</v>
      </c>
      <c r="M77" s="74" t="str">
        <f>IFERROR(__xludf.DUMMYFUNCTION("""COMPUTED_VALUE"""),"BF")</f>
        <v>BF</v>
      </c>
      <c r="N77" s="114" t="str">
        <f>IFERROR(__xludf.DUMMYFUNCTION("""COMPUTED_VALUE"""),"")</f>
        <v/>
      </c>
      <c r="O77" s="74" t="str">
        <f>IFERROR(__xludf.DUMMYFUNCTION("""COMPUTED_VALUE"""),"")</f>
        <v/>
      </c>
      <c r="P77" s="74" t="str">
        <f>IFERROR(__xludf.DUMMYFUNCTION("""COMPUTED_VALUE"""),"")</f>
        <v/>
      </c>
      <c r="Q77" s="82" t="str">
        <f>IFERROR(__xludf.DUMMYFUNCTION("""COMPUTED_VALUE"""),"")</f>
        <v/>
      </c>
      <c r="R77" s="82" t="str">
        <f>IFERROR(__xludf.DUMMYFUNCTION("""COMPUTED_VALUE"""),"")</f>
        <v/>
      </c>
      <c r="S77" s="84" t="str">
        <f>IFERROR(__xludf.DUMMYFUNCTION("""COMPUTED_VALUE"""),"")</f>
        <v/>
      </c>
      <c r="T77" s="84" t="str">
        <f>IFERROR(__xludf.DUMMYFUNCTION("""COMPUTED_VALUE"""),"")</f>
        <v/>
      </c>
      <c r="U77" s="74" t="str">
        <f>IFERROR(__xludf.DUMMYFUNCTION("""COMPUTED_VALUE"""),"")</f>
        <v/>
      </c>
      <c r="V77" s="82" t="str">
        <f>IFERROR(__xludf.DUMMYFUNCTION("""COMPUTED_VALUE"""),"")</f>
        <v/>
      </c>
      <c r="W77" s="64" t="str">
        <f>IFERROR(__xludf.DUMMYFUNCTION("""COMPUTED_VALUE"""),"")</f>
        <v/>
      </c>
      <c r="X77" s="84" t="str">
        <f>IFERROR(__xludf.DUMMYFUNCTION("""COMPUTED_VALUE"""),"")</f>
        <v/>
      </c>
      <c r="Y77" s="114" t="str">
        <f>IFERROR(__xludf.DUMMYFUNCTION("""COMPUTED_VALUE"""),"")</f>
        <v/>
      </c>
    </row>
    <row r="78">
      <c r="A78" s="109">
        <f>IFERROR(__xludf.DUMMYFUNCTION("""COMPUTED_VALUE"""),46065.529068749995)</f>
        <v>46065.52907</v>
      </c>
      <c r="B78" s="81" t="str">
        <f>IFERROR(__xludf.DUMMYFUNCTION("""COMPUTED_VALUE"""),"Emmett Khan")</f>
        <v>Emmett Khan</v>
      </c>
      <c r="C78" s="74" t="b">
        <f>IFERROR(__xludf.DUMMYFUNCTION("""COMPUTED_VALUE"""),FALSE)</f>
        <v>0</v>
      </c>
      <c r="D78" s="137">
        <f>IFERROR(__xludf.DUMMYFUNCTION("""COMPUTED_VALUE"""),0.47916666666424135)</f>
        <v>0.4791666667</v>
      </c>
      <c r="E78" s="82">
        <f>IFERROR(__xludf.DUMMYFUNCTION("""COMPUTED_VALUE"""),0.05208333333575865)</f>
        <v>0.05208333334</v>
      </c>
      <c r="F78" s="137">
        <f>IFERROR(__xludf.DUMMYFUNCTION("""COMPUTED_VALUE"""),0.53125)</f>
        <v>0.53125</v>
      </c>
      <c r="G78" s="82">
        <f>IFERROR(__xludf.DUMMYFUNCTION("""COMPUTED_VALUE"""),0.05208333333575865)</f>
        <v>0.05208333334</v>
      </c>
      <c r="H78" s="74">
        <f>IFERROR(__xludf.DUMMYFUNCTION("""COMPUTED_VALUE"""),69.0)</f>
        <v>69</v>
      </c>
      <c r="I78" s="84">
        <f>IFERROR(__xludf.DUMMYFUNCTION("""COMPUTED_VALUE"""),55.19999999742955)</f>
        <v>55.2</v>
      </c>
      <c r="J78" s="74" t="str">
        <f>IFERROR(__xludf.DUMMYFUNCTION("""COMPUTED_VALUE"""),"Lunch")</f>
        <v>Lunch</v>
      </c>
      <c r="K78" s="113">
        <f>IFERROR(__xludf.DUMMYFUNCTION("""COMPUTED_VALUE"""),46065.0)</f>
        <v>46065</v>
      </c>
      <c r="L78" s="74" t="str">
        <f>IFERROR(__xludf.DUMMYFUNCTION("""COMPUTED_VALUE"""),"Thursday")</f>
        <v>Thursday</v>
      </c>
      <c r="M78" s="74" t="str">
        <f>IFERROR(__xludf.DUMMYFUNCTION("""COMPUTED_VALUE"""),"MF")</f>
        <v>MF</v>
      </c>
      <c r="N78" s="114">
        <f>IFERROR(__xludf.DUMMYFUNCTION("""COMPUTED_VALUE"""),1.0979067415473243)</f>
        <v>1.097906742</v>
      </c>
      <c r="O78" s="74" t="str">
        <f>IFERROR(__xludf.DUMMYFUNCTION("""COMPUTED_VALUE"""),"")</f>
        <v/>
      </c>
      <c r="P78" s="74" t="str">
        <f>IFERROR(__xludf.DUMMYFUNCTION("""COMPUTED_VALUE"""),"")</f>
        <v/>
      </c>
      <c r="Q78" s="82" t="str">
        <f>IFERROR(__xludf.DUMMYFUNCTION("""COMPUTED_VALUE"""),"")</f>
        <v/>
      </c>
      <c r="R78" s="82" t="str">
        <f>IFERROR(__xludf.DUMMYFUNCTION("""COMPUTED_VALUE"""),"")</f>
        <v/>
      </c>
      <c r="S78" s="84" t="str">
        <f>IFERROR(__xludf.DUMMYFUNCTION("""COMPUTED_VALUE"""),"")</f>
        <v/>
      </c>
      <c r="T78" s="84" t="str">
        <f>IFERROR(__xludf.DUMMYFUNCTION("""COMPUTED_VALUE"""),"")</f>
        <v/>
      </c>
      <c r="U78" s="74" t="str">
        <f>IFERROR(__xludf.DUMMYFUNCTION("""COMPUTED_VALUE"""),"")</f>
        <v/>
      </c>
      <c r="V78" s="82" t="str">
        <f>IFERROR(__xludf.DUMMYFUNCTION("""COMPUTED_VALUE"""),"")</f>
        <v/>
      </c>
      <c r="W78" s="64" t="str">
        <f>IFERROR(__xludf.DUMMYFUNCTION("""COMPUTED_VALUE"""),"")</f>
        <v/>
      </c>
      <c r="X78" s="84" t="str">
        <f>IFERROR(__xludf.DUMMYFUNCTION("""COMPUTED_VALUE"""),"")</f>
        <v/>
      </c>
      <c r="Y78" s="114" t="str">
        <f>IFERROR(__xludf.DUMMYFUNCTION("""COMPUTED_VALUE"""),"")</f>
        <v/>
      </c>
    </row>
    <row r="79">
      <c r="A79" s="109">
        <f>IFERROR(__xludf.DUMMYFUNCTION("""COMPUTED_VALUE"""),46065.5833193287)</f>
        <v>46065.58332</v>
      </c>
      <c r="B79" s="81" t="str">
        <f>IFERROR(__xludf.DUMMYFUNCTION("""COMPUTED_VALUE"""),"Kyra Turner")</f>
        <v>Kyra Turner</v>
      </c>
      <c r="C79" s="74" t="b">
        <f>IFERROR(__xludf.DUMMYFUNCTION("""COMPUTED_VALUE"""),FALSE)</f>
        <v>0</v>
      </c>
      <c r="D79" s="137">
        <f>IFERROR(__xludf.DUMMYFUNCTION("""COMPUTED_VALUE"""),0.5027777777795563)</f>
        <v>0.5027777778</v>
      </c>
      <c r="E79" s="82">
        <f>IFERROR(__xludf.DUMMYFUNCTION("""COMPUTED_VALUE"""),0.07986111110949423)</f>
        <v>0.07986111111</v>
      </c>
      <c r="F79" s="137">
        <f>IFERROR(__xludf.DUMMYFUNCTION("""COMPUTED_VALUE"""),0.5826388888890506)</f>
        <v>0.5826388889</v>
      </c>
      <c r="G79" s="82">
        <f>IFERROR(__xludf.DUMMYFUNCTION("""COMPUTED_VALUE"""),0.13749999999708962)</f>
        <v>0.1375</v>
      </c>
      <c r="H79" s="74">
        <f>IFERROR(__xludf.DUMMYFUNCTION("""COMPUTED_VALUE"""),104.0)</f>
        <v>104</v>
      </c>
      <c r="I79" s="84">
        <f>IFERROR(__xludf.DUMMYFUNCTION("""COMPUTED_VALUE"""),50.00000000105832)</f>
        <v>50</v>
      </c>
      <c r="J79" s="74" t="str">
        <f>IFERROR(__xludf.DUMMYFUNCTION("""COMPUTED_VALUE"""),"Lunch")</f>
        <v>Lunch</v>
      </c>
      <c r="K79" s="113">
        <f>IFERROR(__xludf.DUMMYFUNCTION("""COMPUTED_VALUE"""),46065.0)</f>
        <v>46065</v>
      </c>
      <c r="L79" s="74" t="str">
        <f>IFERROR(__xludf.DUMMYFUNCTION("""COMPUTED_VALUE"""),"Thursday")</f>
        <v>Thursday</v>
      </c>
      <c r="M79" s="74" t="str">
        <f>IFERROR(__xludf.DUMMYFUNCTION("""COMPUTED_VALUE"""),"BF")</f>
        <v>BF</v>
      </c>
      <c r="N79" s="114">
        <f>IFERROR(__xludf.DUMMYFUNCTION("""COMPUTED_VALUE"""),1.7636280348883688)</f>
        <v>1.763628035</v>
      </c>
      <c r="O79" s="74" t="str">
        <f>IFERROR(__xludf.DUMMYFUNCTION("""COMPUTED_VALUE"""),"")</f>
        <v/>
      </c>
      <c r="P79" s="74" t="str">
        <f>IFERROR(__xludf.DUMMYFUNCTION("""COMPUTED_VALUE"""),"")</f>
        <v/>
      </c>
      <c r="Q79" s="82" t="str">
        <f>IFERROR(__xludf.DUMMYFUNCTION("""COMPUTED_VALUE"""),"")</f>
        <v/>
      </c>
      <c r="R79" s="82" t="str">
        <f>IFERROR(__xludf.DUMMYFUNCTION("""COMPUTED_VALUE"""),"")</f>
        <v/>
      </c>
      <c r="S79" s="84" t="str">
        <f>IFERROR(__xludf.DUMMYFUNCTION("""COMPUTED_VALUE"""),"")</f>
        <v/>
      </c>
      <c r="T79" s="84" t="str">
        <f>IFERROR(__xludf.DUMMYFUNCTION("""COMPUTED_VALUE"""),"")</f>
        <v/>
      </c>
      <c r="U79" s="74" t="str">
        <f>IFERROR(__xludf.DUMMYFUNCTION("""COMPUTED_VALUE"""),"")</f>
        <v/>
      </c>
      <c r="V79" s="82" t="str">
        <f>IFERROR(__xludf.DUMMYFUNCTION("""COMPUTED_VALUE"""),"")</f>
        <v/>
      </c>
      <c r="W79" s="64" t="str">
        <f>IFERROR(__xludf.DUMMYFUNCTION("""COMPUTED_VALUE"""),"")</f>
        <v/>
      </c>
      <c r="X79" s="84" t="str">
        <f>IFERROR(__xludf.DUMMYFUNCTION("""COMPUTED_VALUE"""),"")</f>
        <v/>
      </c>
      <c r="Y79" s="114" t="str">
        <f>IFERROR(__xludf.DUMMYFUNCTION("""COMPUTED_VALUE"""),"")</f>
        <v/>
      </c>
    </row>
    <row r="80">
      <c r="A80" s="109">
        <f>IFERROR(__xludf.DUMMYFUNCTION("""COMPUTED_VALUE"""),46065.64349488426)</f>
        <v>46065.64349</v>
      </c>
      <c r="B80" s="81" t="str">
        <f>IFERROR(__xludf.DUMMYFUNCTION("""COMPUTED_VALUE"""),"Kyra Turner")</f>
        <v>Kyra Turner</v>
      </c>
      <c r="C80" s="74" t="b">
        <f>IFERROR(__xludf.DUMMYFUNCTION("""COMPUTED_VALUE"""),TRUE)</f>
        <v>1</v>
      </c>
      <c r="D80" s="137">
        <f>IFERROR(__xludf.DUMMYFUNCTION("""COMPUTED_VALUE"""),0.5847222222218988)</f>
        <v>0.5847222222</v>
      </c>
      <c r="E80" s="82">
        <f>IFERROR(__xludf.DUMMYFUNCTION("""COMPUTED_VALUE"""),0.057638888887595385)</f>
        <v>0.05763888889</v>
      </c>
      <c r="F80" s="137">
        <f>IFERROR(__xludf.DUMMYFUNCTION("""COMPUTED_VALUE"""),0.6423611111094942)</f>
        <v>0.6423611111</v>
      </c>
      <c r="G80" s="82" t="str">
        <f>IFERROR(__xludf.DUMMYFUNCTION("""COMPUTED_VALUE"""),"")</f>
        <v/>
      </c>
      <c r="H80" s="74">
        <f>IFERROR(__xludf.DUMMYFUNCTION("""COMPUTED_VALUE"""),61.0)</f>
        <v>61</v>
      </c>
      <c r="I80" s="84" t="str">
        <f>IFERROR(__xludf.DUMMYFUNCTION("""COMPUTED_VALUE"""),"")</f>
        <v/>
      </c>
      <c r="J80" s="74" t="str">
        <f>IFERROR(__xludf.DUMMYFUNCTION("""COMPUTED_VALUE"""),"Lunch")</f>
        <v>Lunch</v>
      </c>
      <c r="K80" s="113">
        <f>IFERROR(__xludf.DUMMYFUNCTION("""COMPUTED_VALUE"""),46065.0)</f>
        <v>46065</v>
      </c>
      <c r="L80" s="74" t="str">
        <f>IFERROR(__xludf.DUMMYFUNCTION("""COMPUTED_VALUE"""),"Thursday")</f>
        <v>Thursday</v>
      </c>
      <c r="M80" s="74" t="str">
        <f>IFERROR(__xludf.DUMMYFUNCTION("""COMPUTED_VALUE"""),"BF")</f>
        <v>BF</v>
      </c>
      <c r="N80" s="114" t="str">
        <f>IFERROR(__xludf.DUMMYFUNCTION("""COMPUTED_VALUE"""),"")</f>
        <v/>
      </c>
      <c r="O80" s="74" t="str">
        <f>IFERROR(__xludf.DUMMYFUNCTION("""COMPUTED_VALUE"""),"")</f>
        <v/>
      </c>
      <c r="P80" s="74" t="str">
        <f>IFERROR(__xludf.DUMMYFUNCTION("""COMPUTED_VALUE"""),"")</f>
        <v/>
      </c>
      <c r="Q80" s="82" t="str">
        <f>IFERROR(__xludf.DUMMYFUNCTION("""COMPUTED_VALUE"""),"")</f>
        <v/>
      </c>
      <c r="R80" s="82" t="str">
        <f>IFERROR(__xludf.DUMMYFUNCTION("""COMPUTED_VALUE"""),"")</f>
        <v/>
      </c>
      <c r="S80" s="84" t="str">
        <f>IFERROR(__xludf.DUMMYFUNCTION("""COMPUTED_VALUE"""),"")</f>
        <v/>
      </c>
      <c r="T80" s="84" t="str">
        <f>IFERROR(__xludf.DUMMYFUNCTION("""COMPUTED_VALUE"""),"")</f>
        <v/>
      </c>
      <c r="U80" s="74" t="str">
        <f>IFERROR(__xludf.DUMMYFUNCTION("""COMPUTED_VALUE"""),"")</f>
        <v/>
      </c>
      <c r="V80" s="82" t="str">
        <f>IFERROR(__xludf.DUMMYFUNCTION("""COMPUTED_VALUE"""),"")</f>
        <v/>
      </c>
      <c r="W80" s="64" t="str">
        <f>IFERROR(__xludf.DUMMYFUNCTION("""COMPUTED_VALUE"""),"")</f>
        <v/>
      </c>
      <c r="X80" s="84" t="str">
        <f>IFERROR(__xludf.DUMMYFUNCTION("""COMPUTED_VALUE"""),"")</f>
        <v/>
      </c>
      <c r="Y80" s="114" t="str">
        <f>IFERROR(__xludf.DUMMYFUNCTION("""COMPUTED_VALUE"""),"")</f>
        <v/>
      </c>
    </row>
    <row r="81">
      <c r="A81" s="109">
        <f>IFERROR(__xludf.DUMMYFUNCTION("""COMPUTED_VALUE"""),46065.777530879626)</f>
        <v>46065.77753</v>
      </c>
      <c r="B81" s="81" t="str">
        <f>IFERROR(__xludf.DUMMYFUNCTION("""COMPUTED_VALUE"""),"Emmett Khan")</f>
        <v>Emmett Khan</v>
      </c>
      <c r="C81" s="74" t="b">
        <f>IFERROR(__xludf.DUMMYFUNCTION("""COMPUTED_VALUE"""),FALSE)</f>
        <v>0</v>
      </c>
      <c r="D81" s="137">
        <f>IFERROR(__xludf.DUMMYFUNCTION("""COMPUTED_VALUE"""),0.7083333333357587)</f>
        <v>0.7083333333</v>
      </c>
      <c r="E81" s="82">
        <f>IFERROR(__xludf.DUMMYFUNCTION("""COMPUTED_VALUE"""),0.07291666666424135)</f>
        <v>0.07291666666</v>
      </c>
      <c r="F81" s="137">
        <f>IFERROR(__xludf.DUMMYFUNCTION("""COMPUTED_VALUE"""),0.78125)</f>
        <v>0.78125</v>
      </c>
      <c r="G81" s="82">
        <f>IFERROR(__xludf.DUMMYFUNCTION("""COMPUTED_VALUE"""),0.07291666666424135)</f>
        <v>0.07291666666</v>
      </c>
      <c r="H81" s="74">
        <f>IFERROR(__xludf.DUMMYFUNCTION("""COMPUTED_VALUE"""),115.0)</f>
        <v>115</v>
      </c>
      <c r="I81" s="84">
        <f>IFERROR(__xludf.DUMMYFUNCTION("""COMPUTED_VALUE"""),65.71428571647147)</f>
        <v>65.71428572</v>
      </c>
      <c r="J81" s="74" t="str">
        <f>IFERROR(__xludf.DUMMYFUNCTION("""COMPUTED_VALUE"""),"Dinner")</f>
        <v>Dinner</v>
      </c>
      <c r="K81" s="113">
        <f>IFERROR(__xludf.DUMMYFUNCTION("""COMPUTED_VALUE"""),46065.0)</f>
        <v>46065</v>
      </c>
      <c r="L81" s="74" t="str">
        <f>IFERROR(__xludf.DUMMYFUNCTION("""COMPUTED_VALUE"""),"Thursday")</f>
        <v>Thursday</v>
      </c>
      <c r="M81" s="74" t="str">
        <f>IFERROR(__xludf.DUMMYFUNCTION("""COMPUTED_VALUE"""),"MF")</f>
        <v>MF</v>
      </c>
      <c r="N81" s="114">
        <f>IFERROR(__xludf.DUMMYFUNCTION("""COMPUTED_VALUE"""),1.416876654934706)</f>
        <v>1.416876655</v>
      </c>
      <c r="O81" s="74" t="str">
        <f>IFERROR(__xludf.DUMMYFUNCTION("""COMPUTED_VALUE"""),"")</f>
        <v/>
      </c>
      <c r="P81" s="74" t="str">
        <f>IFERROR(__xludf.DUMMYFUNCTION("""COMPUTED_VALUE"""),"")</f>
        <v/>
      </c>
      <c r="Q81" s="82" t="str">
        <f>IFERROR(__xludf.DUMMYFUNCTION("""COMPUTED_VALUE"""),"")</f>
        <v/>
      </c>
      <c r="R81" s="82" t="str">
        <f>IFERROR(__xludf.DUMMYFUNCTION("""COMPUTED_VALUE"""),"")</f>
        <v/>
      </c>
      <c r="S81" s="84" t="str">
        <f>IFERROR(__xludf.DUMMYFUNCTION("""COMPUTED_VALUE"""),"")</f>
        <v/>
      </c>
      <c r="T81" s="84" t="str">
        <f>IFERROR(__xludf.DUMMYFUNCTION("""COMPUTED_VALUE"""),"")</f>
        <v/>
      </c>
      <c r="U81" s="74" t="str">
        <f>IFERROR(__xludf.DUMMYFUNCTION("""COMPUTED_VALUE"""),"")</f>
        <v/>
      </c>
      <c r="V81" s="82" t="str">
        <f>IFERROR(__xludf.DUMMYFUNCTION("""COMPUTED_VALUE"""),"")</f>
        <v/>
      </c>
      <c r="W81" s="64" t="str">
        <f>IFERROR(__xludf.DUMMYFUNCTION("""COMPUTED_VALUE"""),"")</f>
        <v/>
      </c>
      <c r="X81" s="84" t="str">
        <f>IFERROR(__xludf.DUMMYFUNCTION("""COMPUTED_VALUE"""),"")</f>
        <v/>
      </c>
      <c r="Y81" s="114" t="str">
        <f>IFERROR(__xludf.DUMMYFUNCTION("""COMPUTED_VALUE"""),"")</f>
        <v/>
      </c>
    </row>
    <row r="82">
      <c r="A82" s="109">
        <f>IFERROR(__xludf.DUMMYFUNCTION("""COMPUTED_VALUE"""),46065.85007502315)</f>
        <v>46065.85008</v>
      </c>
      <c r="B82" s="81" t="str">
        <f>IFERROR(__xludf.DUMMYFUNCTION("""COMPUTED_VALUE"""),"Leah Bucci")</f>
        <v>Leah Bucci</v>
      </c>
      <c r="C82" s="74" t="b">
        <f>IFERROR(__xludf.DUMMYFUNCTION("""COMPUTED_VALUE"""),FALSE)</f>
        <v>0</v>
      </c>
      <c r="D82" s="137">
        <f>IFERROR(__xludf.DUMMYFUNCTION("""COMPUTED_VALUE"""),0.6875)</f>
        <v>0.6875</v>
      </c>
      <c r="E82" s="82">
        <f>IFERROR(__xludf.DUMMYFUNCTION("""COMPUTED_VALUE"""),0.08333333333575865)</f>
        <v>0.08333333334</v>
      </c>
      <c r="F82" s="137">
        <f>IFERROR(__xludf.DUMMYFUNCTION("""COMPUTED_VALUE"""),0.7708333333357587)</f>
        <v>0.7708333333</v>
      </c>
      <c r="G82" s="82">
        <f>IFERROR(__xludf.DUMMYFUNCTION("""COMPUTED_VALUE"""),0.15972222221898846)</f>
        <v>0.1597222222</v>
      </c>
      <c r="H82" s="74">
        <f>IFERROR(__xludf.DUMMYFUNCTION("""COMPUTED_VALUE"""),64.0)</f>
        <v>64</v>
      </c>
      <c r="I82" s="84">
        <f>IFERROR(__xludf.DUMMYFUNCTION("""COMPUTED_VALUE"""),44.34782608785439)</f>
        <v>44.34782609</v>
      </c>
      <c r="J82" s="74" t="str">
        <f>IFERROR(__xludf.DUMMYFUNCTION("""COMPUTED_VALUE"""),"Dinner")</f>
        <v>Dinner</v>
      </c>
      <c r="K82" s="113">
        <f>IFERROR(__xludf.DUMMYFUNCTION("""COMPUTED_VALUE"""),46065.0)</f>
        <v>46065</v>
      </c>
      <c r="L82" s="74" t="str">
        <f>IFERROR(__xludf.DUMMYFUNCTION("""COMPUTED_VALUE"""),"Thursday")</f>
        <v>Thursday</v>
      </c>
      <c r="M82" s="74" t="str">
        <f>IFERROR(__xludf.DUMMYFUNCTION("""COMPUTED_VALUE"""),"BF")</f>
        <v>BF</v>
      </c>
      <c r="N82" s="114">
        <f>IFERROR(__xludf.DUMMYFUNCTION("""COMPUTED_VALUE"""),0.9981096408374415)</f>
        <v>0.9981096408</v>
      </c>
      <c r="O82" s="74" t="str">
        <f>IFERROR(__xludf.DUMMYFUNCTION("""COMPUTED_VALUE"""),"")</f>
        <v/>
      </c>
      <c r="P82" s="74" t="str">
        <f>IFERROR(__xludf.DUMMYFUNCTION("""COMPUTED_VALUE"""),"")</f>
        <v/>
      </c>
      <c r="Q82" s="82" t="str">
        <f>IFERROR(__xludf.DUMMYFUNCTION("""COMPUTED_VALUE"""),"")</f>
        <v/>
      </c>
      <c r="R82" s="82" t="str">
        <f>IFERROR(__xludf.DUMMYFUNCTION("""COMPUTED_VALUE"""),"")</f>
        <v/>
      </c>
      <c r="S82" s="84" t="str">
        <f>IFERROR(__xludf.DUMMYFUNCTION("""COMPUTED_VALUE"""),"")</f>
        <v/>
      </c>
      <c r="T82" s="84" t="str">
        <f>IFERROR(__xludf.DUMMYFUNCTION("""COMPUTED_VALUE"""),"")</f>
        <v/>
      </c>
      <c r="U82" s="74" t="str">
        <f>IFERROR(__xludf.DUMMYFUNCTION("""COMPUTED_VALUE"""),"")</f>
        <v/>
      </c>
      <c r="V82" s="82" t="str">
        <f>IFERROR(__xludf.DUMMYFUNCTION("""COMPUTED_VALUE"""),"")</f>
        <v/>
      </c>
      <c r="W82" s="64" t="str">
        <f>IFERROR(__xludf.DUMMYFUNCTION("""COMPUTED_VALUE"""),"")</f>
        <v/>
      </c>
      <c r="X82" s="84" t="str">
        <f>IFERROR(__xludf.DUMMYFUNCTION("""COMPUTED_VALUE"""),"")</f>
        <v/>
      </c>
      <c r="Y82" s="114" t="str">
        <f>IFERROR(__xludf.DUMMYFUNCTION("""COMPUTED_VALUE"""),"")</f>
        <v/>
      </c>
    </row>
    <row r="83">
      <c r="A83" s="109">
        <f>IFERROR(__xludf.DUMMYFUNCTION("""COMPUTED_VALUE"""),46065.850830462965)</f>
        <v>46065.85083</v>
      </c>
      <c r="B83" s="81" t="str">
        <f>IFERROR(__xludf.DUMMYFUNCTION("""COMPUTED_VALUE"""),"Leah Bucci")</f>
        <v>Leah Bucci</v>
      </c>
      <c r="C83" s="74" t="b">
        <f>IFERROR(__xludf.DUMMYFUNCTION("""COMPUTED_VALUE"""),TRUE)</f>
        <v>1</v>
      </c>
      <c r="D83" s="137">
        <f>IFERROR(__xludf.DUMMYFUNCTION("""COMPUTED_VALUE"""),0.7708333333357587)</f>
        <v>0.7708333333</v>
      </c>
      <c r="E83" s="82">
        <f>IFERROR(__xludf.DUMMYFUNCTION("""COMPUTED_VALUE"""),0.07638888888322981)</f>
        <v>0.07638888888</v>
      </c>
      <c r="F83" s="137">
        <f>IFERROR(__xludf.DUMMYFUNCTION("""COMPUTED_VALUE"""),0.8472222222189885)</f>
        <v>0.8472222222</v>
      </c>
      <c r="G83" s="82" t="str">
        <f>IFERROR(__xludf.DUMMYFUNCTION("""COMPUTED_VALUE"""),"")</f>
        <v/>
      </c>
      <c r="H83" s="74">
        <f>IFERROR(__xludf.DUMMYFUNCTION("""COMPUTED_VALUE"""),106.0)</f>
        <v>106</v>
      </c>
      <c r="I83" s="84" t="str">
        <f>IFERROR(__xludf.DUMMYFUNCTION("""COMPUTED_VALUE"""),"")</f>
        <v/>
      </c>
      <c r="J83" s="74" t="str">
        <f>IFERROR(__xludf.DUMMYFUNCTION("""COMPUTED_VALUE"""),"Dinner")</f>
        <v>Dinner</v>
      </c>
      <c r="K83" s="113">
        <f>IFERROR(__xludf.DUMMYFUNCTION("""COMPUTED_VALUE"""),46065.0)</f>
        <v>46065</v>
      </c>
      <c r="L83" s="74" t="str">
        <f>IFERROR(__xludf.DUMMYFUNCTION("""COMPUTED_VALUE"""),"Thursday")</f>
        <v>Thursday</v>
      </c>
      <c r="M83" s="74" t="str">
        <f>IFERROR(__xludf.DUMMYFUNCTION("""COMPUTED_VALUE"""),"BF")</f>
        <v>BF</v>
      </c>
      <c r="N83" s="114" t="str">
        <f>IFERROR(__xludf.DUMMYFUNCTION("""COMPUTED_VALUE"""),"")</f>
        <v/>
      </c>
      <c r="O83" s="74">
        <f>IFERROR(__xludf.DUMMYFUNCTION("""COMPUTED_VALUE"""),184.0)</f>
        <v>184</v>
      </c>
      <c r="P83" s="74">
        <f>IFERROR(__xludf.DUMMYFUNCTION("""COMPUTED_VALUE"""),463.0)</f>
        <v>463</v>
      </c>
      <c r="Q83" s="82">
        <f>IFERROR(__xludf.DUMMYFUNCTION("""COMPUTED_VALUE"""),0.125)</f>
        <v>0.125</v>
      </c>
      <c r="R83" s="82">
        <f>IFERROR(__xludf.DUMMYFUNCTION("""COMPUTED_VALUE"""),0.47499999999126885)</f>
        <v>0.475</v>
      </c>
      <c r="S83" s="84">
        <f>IFERROR(__xludf.DUMMYFUNCTION("""COMPUTED_VALUE"""),60.45714285695051)</f>
        <v>60.45714286</v>
      </c>
      <c r="T83" s="84">
        <f>IFERROR(__xludf.DUMMYFUNCTION("""COMPUTED_VALUE"""),36.81003344560994)</f>
        <v>36.81003345</v>
      </c>
      <c r="U83" s="74">
        <f>IFERROR(__xludf.DUMMYFUNCTION("""COMPUTED_VALUE"""),647.0)</f>
        <v>647</v>
      </c>
      <c r="V83" s="82">
        <f>IFERROR(__xludf.DUMMYFUNCTION("""COMPUTED_VALUE"""),0.5999999999912689)</f>
        <v>0.6</v>
      </c>
      <c r="W83" s="64">
        <f>IFERROR(__xludf.DUMMYFUNCTION("""COMPUTED_VALUE"""),44.930555556209384)</f>
        <v>44.93055556</v>
      </c>
      <c r="X83" s="84">
        <f>IFERROR(__xludf.DUMMYFUNCTION("""COMPUTED_VALUE"""),44.69240324939013)</f>
        <v>44.69240325</v>
      </c>
      <c r="Y83" s="114">
        <f>IFERROR(__xludf.DUMMYFUNCTION("""COMPUTED_VALUE"""),0.6282823706752503)</f>
        <v>0.6282823707</v>
      </c>
    </row>
    <row r="84">
      <c r="A84" s="109">
        <f>IFERROR(__xludf.DUMMYFUNCTION("""COMPUTED_VALUE"""),46066.580171932874)</f>
        <v>46066.58017</v>
      </c>
      <c r="B84" s="81" t="str">
        <f>IFERROR(__xludf.DUMMYFUNCTION("""COMPUTED_VALUE"""),"Brynn Hornig")</f>
        <v>Brynn Hornig</v>
      </c>
      <c r="C84" s="74" t="b">
        <f>IFERROR(__xludf.DUMMYFUNCTION("""COMPUTED_VALUE"""),FALSE)</f>
        <v>0</v>
      </c>
      <c r="D84" s="137">
        <f>IFERROR(__xludf.DUMMYFUNCTION("""COMPUTED_VALUE"""),0.5208333333357587)</f>
        <v>0.5208333333</v>
      </c>
      <c r="E84" s="82">
        <f>IFERROR(__xludf.DUMMYFUNCTION("""COMPUTED_VALUE"""),0.0625)</f>
        <v>0.0625</v>
      </c>
      <c r="F84" s="137">
        <f>IFERROR(__xludf.DUMMYFUNCTION("""COMPUTED_VALUE"""),0.5833333333357587)</f>
        <v>0.5833333333</v>
      </c>
      <c r="G84" s="82">
        <f>IFERROR(__xludf.DUMMYFUNCTION("""COMPUTED_VALUE"""),0.0625)</f>
        <v>0.0625</v>
      </c>
      <c r="H84" s="74">
        <f>IFERROR(__xludf.DUMMYFUNCTION("""COMPUTED_VALUE"""),30.0)</f>
        <v>30</v>
      </c>
      <c r="I84" s="84">
        <f>IFERROR(__xludf.DUMMYFUNCTION("""COMPUTED_VALUE"""),20.0)</f>
        <v>20</v>
      </c>
      <c r="J84" s="74" t="str">
        <f>IFERROR(__xludf.DUMMYFUNCTION("""COMPUTED_VALUE"""),"Lunch")</f>
        <v>Lunch</v>
      </c>
      <c r="K84" s="113">
        <f>IFERROR(__xludf.DUMMYFUNCTION("""COMPUTED_VALUE"""),46066.0)</f>
        <v>46066</v>
      </c>
      <c r="L84" s="74" t="str">
        <f>IFERROR(__xludf.DUMMYFUNCTION("""COMPUTED_VALUE"""),"Friday")</f>
        <v>Friday</v>
      </c>
      <c r="M84" s="74" t="str">
        <f>IFERROR(__xludf.DUMMYFUNCTION("""COMPUTED_VALUE"""),"BF")</f>
        <v>BF</v>
      </c>
      <c r="N84" s="114">
        <f>IFERROR(__xludf.DUMMYFUNCTION("""COMPUTED_VALUE"""),0.7054512139404158)</f>
        <v>0.7054512139</v>
      </c>
      <c r="O84" s="74" t="str">
        <f>IFERROR(__xludf.DUMMYFUNCTION("""COMPUTED_VALUE"""),"")</f>
        <v/>
      </c>
      <c r="P84" s="74" t="str">
        <f>IFERROR(__xludf.DUMMYFUNCTION("""COMPUTED_VALUE"""),"")</f>
        <v/>
      </c>
      <c r="Q84" s="82" t="str">
        <f>IFERROR(__xludf.DUMMYFUNCTION("""COMPUTED_VALUE"""),"")</f>
        <v/>
      </c>
      <c r="R84" s="82" t="str">
        <f>IFERROR(__xludf.DUMMYFUNCTION("""COMPUTED_VALUE"""),"")</f>
        <v/>
      </c>
      <c r="S84" s="84" t="str">
        <f>IFERROR(__xludf.DUMMYFUNCTION("""COMPUTED_VALUE"""),"")</f>
        <v/>
      </c>
      <c r="T84" s="84" t="str">
        <f>IFERROR(__xludf.DUMMYFUNCTION("""COMPUTED_VALUE"""),"")</f>
        <v/>
      </c>
      <c r="U84" s="74" t="str">
        <f>IFERROR(__xludf.DUMMYFUNCTION("""COMPUTED_VALUE"""),"")</f>
        <v/>
      </c>
      <c r="V84" s="82" t="str">
        <f>IFERROR(__xludf.DUMMYFUNCTION("""COMPUTED_VALUE"""),"")</f>
        <v/>
      </c>
      <c r="W84" s="64" t="str">
        <f>IFERROR(__xludf.DUMMYFUNCTION("""COMPUTED_VALUE"""),"")</f>
        <v/>
      </c>
      <c r="X84" s="84" t="str">
        <f>IFERROR(__xludf.DUMMYFUNCTION("""COMPUTED_VALUE"""),"")</f>
        <v/>
      </c>
      <c r="Y84" s="114" t="str">
        <f>IFERROR(__xludf.DUMMYFUNCTION("""COMPUTED_VALUE"""),"")</f>
        <v/>
      </c>
    </row>
    <row r="85">
      <c r="A85" s="109">
        <f>IFERROR(__xludf.DUMMYFUNCTION("""COMPUTED_VALUE"""),46066.75173322917)</f>
        <v>46066.75173</v>
      </c>
      <c r="B85" s="81" t="str">
        <f>IFERROR(__xludf.DUMMYFUNCTION("""COMPUTED_VALUE"""),"Leah Bucci")</f>
        <v>Leah Bucci</v>
      </c>
      <c r="C85" s="74" t="b">
        <f>IFERROR(__xludf.DUMMYFUNCTION("""COMPUTED_VALUE"""),FALSE)</f>
        <v>0</v>
      </c>
      <c r="D85" s="137">
        <f>IFERROR(__xludf.DUMMYFUNCTION("""COMPUTED_VALUE"""),0.6666666666642413)</f>
        <v>0.6666666667</v>
      </c>
      <c r="E85" s="82">
        <f>IFERROR(__xludf.DUMMYFUNCTION("""COMPUTED_VALUE"""),0.08333333333575865)</f>
        <v>0.08333333334</v>
      </c>
      <c r="F85" s="137">
        <f>IFERROR(__xludf.DUMMYFUNCTION("""COMPUTED_VALUE"""),0.75)</f>
        <v>0.75</v>
      </c>
      <c r="G85" s="82">
        <f>IFERROR(__xludf.DUMMYFUNCTION("""COMPUTED_VALUE"""),0.08333333333575865)</f>
        <v>0.08333333334</v>
      </c>
      <c r="H85" s="74">
        <f>IFERROR(__xludf.DUMMYFUNCTION("""COMPUTED_VALUE"""),89.0)</f>
        <v>89</v>
      </c>
      <c r="I85" s="84">
        <f>IFERROR(__xludf.DUMMYFUNCTION("""COMPUTED_VALUE"""),44.49999999870488)</f>
        <v>44.5</v>
      </c>
      <c r="J85" s="74" t="str">
        <f>IFERROR(__xludf.DUMMYFUNCTION("""COMPUTED_VALUE"""),"Dinner")</f>
        <v>Dinner</v>
      </c>
      <c r="K85" s="113">
        <f>IFERROR(__xludf.DUMMYFUNCTION("""COMPUTED_VALUE"""),46066.0)</f>
        <v>46066</v>
      </c>
      <c r="L85" s="74" t="str">
        <f>IFERROR(__xludf.DUMMYFUNCTION("""COMPUTED_VALUE"""),"Friday")</f>
        <v>Friday</v>
      </c>
      <c r="M85" s="74" t="str">
        <f>IFERROR(__xludf.DUMMYFUNCTION("""COMPUTED_VALUE"""),"MF")</f>
        <v>MF</v>
      </c>
      <c r="N85" s="114">
        <f>IFERROR(__xludf.DUMMYFUNCTION("""COMPUTED_VALUE"""),0.9594719086622513)</f>
        <v>0.9594719087</v>
      </c>
      <c r="O85" s="74">
        <f>IFERROR(__xludf.DUMMYFUNCTION("""COMPUTED_VALUE"""),89.0)</f>
        <v>89</v>
      </c>
      <c r="P85" s="74">
        <f>IFERROR(__xludf.DUMMYFUNCTION("""COMPUTED_VALUE"""),30.0)</f>
        <v>30</v>
      </c>
      <c r="Q85" s="82">
        <f>IFERROR(__xludf.DUMMYFUNCTION("""COMPUTED_VALUE"""),0.08333333333575865)</f>
        <v>0.08333333334</v>
      </c>
      <c r="R85" s="82">
        <f>IFERROR(__xludf.DUMMYFUNCTION("""COMPUTED_VALUE"""),0.0625)</f>
        <v>0.0625</v>
      </c>
      <c r="S85" s="84">
        <f>IFERROR(__xludf.DUMMYFUNCTION("""COMPUTED_VALUE"""),44.49999999870488)</f>
        <v>44.5</v>
      </c>
      <c r="T85" s="84">
        <f>IFERROR(__xludf.DUMMYFUNCTION("""COMPUTED_VALUE"""),20.0)</f>
        <v>20</v>
      </c>
      <c r="U85" s="74">
        <f>IFERROR(__xludf.DUMMYFUNCTION("""COMPUTED_VALUE"""),119.0)</f>
        <v>119</v>
      </c>
      <c r="V85" s="82">
        <f>IFERROR(__xludf.DUMMYFUNCTION("""COMPUTED_VALUE"""),0.14583333333575865)</f>
        <v>0.1458333333</v>
      </c>
      <c r="W85" s="64">
        <f>IFERROR(__xludf.DUMMYFUNCTION("""COMPUTED_VALUE"""),33.99999999943456)</f>
        <v>34</v>
      </c>
      <c r="X85" s="84">
        <f>IFERROR(__xludf.DUMMYFUNCTION("""COMPUTED_VALUE"""),32.24999999935244)</f>
        <v>32.25</v>
      </c>
      <c r="Y85" s="114">
        <f>IFERROR(__xludf.DUMMYFUNCTION("""COMPUTED_VALUE"""),0.5958516824025459)</f>
        <v>0.5958516824</v>
      </c>
    </row>
    <row r="86">
      <c r="A86" s="109">
        <f>IFERROR(__xludf.DUMMYFUNCTION("""COMPUTED_VALUE"""),46070.55385986112)</f>
        <v>46070.55386</v>
      </c>
      <c r="B86" s="81" t="str">
        <f>IFERROR(__xludf.DUMMYFUNCTION("""COMPUTED_VALUE"""),"Kaylie Forgue")</f>
        <v>Kaylie Forgue</v>
      </c>
      <c r="C86" s="74" t="b">
        <f>IFERROR(__xludf.DUMMYFUNCTION("""COMPUTED_VALUE"""),FALSE)</f>
        <v>0</v>
      </c>
      <c r="D86" s="137">
        <f>IFERROR(__xludf.DUMMYFUNCTION("""COMPUTED_VALUE"""),0.44722222222480923)</f>
        <v>0.4472222222</v>
      </c>
      <c r="E86" s="82">
        <f>IFERROR(__xludf.DUMMYFUNCTION("""COMPUTED_VALUE"""),0.07222222221753327)</f>
        <v>0.07222222222</v>
      </c>
      <c r="F86" s="137">
        <f>IFERROR(__xludf.DUMMYFUNCTION("""COMPUTED_VALUE"""),0.5194444444423425)</f>
        <v>0.5194444444</v>
      </c>
      <c r="G86" s="82">
        <f>IFERROR(__xludf.DUMMYFUNCTION("""COMPUTED_VALUE"""),0.07222222221753327)</f>
        <v>0.07222222222</v>
      </c>
      <c r="H86" s="74">
        <f>IFERROR(__xludf.DUMMYFUNCTION("""COMPUTED_VALUE"""),146.0)</f>
        <v>146</v>
      </c>
      <c r="I86" s="84">
        <f>IFERROR(__xludf.DUMMYFUNCTION("""COMPUTED_VALUE"""),84.23076923623782)</f>
        <v>84.23076924</v>
      </c>
      <c r="J86" s="74" t="str">
        <f>IFERROR(__xludf.DUMMYFUNCTION("""COMPUTED_VALUE"""),"Breakfast/Lunch")</f>
        <v>Breakfast/Lunch</v>
      </c>
      <c r="K86" s="113">
        <f>IFERROR(__xludf.DUMMYFUNCTION("""COMPUTED_VALUE"""),46070.0)</f>
        <v>46070</v>
      </c>
      <c r="L86" s="74" t="str">
        <f>IFERROR(__xludf.DUMMYFUNCTION("""COMPUTED_VALUE"""),"Tuesday")</f>
        <v>Tuesday</v>
      </c>
      <c r="M86" s="74" t="str">
        <f>IFERROR(__xludf.DUMMYFUNCTION("""COMPUTED_VALUE"""),"BF")</f>
        <v>BF</v>
      </c>
      <c r="N86" s="114">
        <f>IFERROR(__xludf.DUMMYFUNCTION("""COMPUTED_VALUE"""),2.727685732296327)</f>
        <v>2.727685732</v>
      </c>
      <c r="O86" s="74" t="str">
        <f>IFERROR(__xludf.DUMMYFUNCTION("""COMPUTED_VALUE"""),"")</f>
        <v/>
      </c>
      <c r="P86" s="74" t="str">
        <f>IFERROR(__xludf.DUMMYFUNCTION("""COMPUTED_VALUE"""),"")</f>
        <v/>
      </c>
      <c r="Q86" s="82" t="str">
        <f>IFERROR(__xludf.DUMMYFUNCTION("""COMPUTED_VALUE"""),"")</f>
        <v/>
      </c>
      <c r="R86" s="82" t="str">
        <f>IFERROR(__xludf.DUMMYFUNCTION("""COMPUTED_VALUE"""),"")</f>
        <v/>
      </c>
      <c r="S86" s="84" t="str">
        <f>IFERROR(__xludf.DUMMYFUNCTION("""COMPUTED_VALUE"""),"")</f>
        <v/>
      </c>
      <c r="T86" s="84" t="str">
        <f>IFERROR(__xludf.DUMMYFUNCTION("""COMPUTED_VALUE"""),"")</f>
        <v/>
      </c>
      <c r="U86" s="74" t="str">
        <f>IFERROR(__xludf.DUMMYFUNCTION("""COMPUTED_VALUE"""),"")</f>
        <v/>
      </c>
      <c r="V86" s="82" t="str">
        <f>IFERROR(__xludf.DUMMYFUNCTION("""COMPUTED_VALUE"""),"")</f>
        <v/>
      </c>
      <c r="W86" s="64" t="str">
        <f>IFERROR(__xludf.DUMMYFUNCTION("""COMPUTED_VALUE"""),"")</f>
        <v/>
      </c>
      <c r="X86" s="84" t="str">
        <f>IFERROR(__xludf.DUMMYFUNCTION("""COMPUTED_VALUE"""),"")</f>
        <v/>
      </c>
      <c r="Y86" s="114" t="str">
        <f>IFERROR(__xludf.DUMMYFUNCTION("""COMPUTED_VALUE"""),"")</f>
        <v/>
      </c>
    </row>
    <row r="87">
      <c r="A87" s="109">
        <f>IFERROR(__xludf.DUMMYFUNCTION("""COMPUTED_VALUE"""),46070.55487229167)</f>
        <v>46070.55487</v>
      </c>
      <c r="B87" s="81" t="str">
        <f>IFERROR(__xludf.DUMMYFUNCTION("""COMPUTED_VALUE"""),"Kyra Turner")</f>
        <v>Kyra Turner</v>
      </c>
      <c r="C87" s="74" t="b">
        <f>IFERROR(__xludf.DUMMYFUNCTION("""COMPUTED_VALUE"""),FALSE)</f>
        <v>0</v>
      </c>
      <c r="D87" s="137">
        <f>IFERROR(__xludf.DUMMYFUNCTION("""COMPUTED_VALUE"""),0.48333333333721384)</f>
        <v>0.4833333333</v>
      </c>
      <c r="E87" s="82">
        <f>IFERROR(__xludf.DUMMYFUNCTION("""COMPUTED_VALUE"""),0.06944444443797693)</f>
        <v>0.06944444444</v>
      </c>
      <c r="F87" s="137">
        <f>IFERROR(__xludf.DUMMYFUNCTION("""COMPUTED_VALUE"""),0.5527777777751908)</f>
        <v>0.5527777778</v>
      </c>
      <c r="G87" s="82">
        <f>IFERROR(__xludf.DUMMYFUNCTION("""COMPUTED_VALUE"""),0.10347222221025731)</f>
        <v>0.1034722222</v>
      </c>
      <c r="H87" s="74">
        <f>IFERROR(__xludf.DUMMYFUNCTION("""COMPUTED_VALUE"""),146.0)</f>
        <v>146</v>
      </c>
      <c r="I87" s="84">
        <f>IFERROR(__xludf.DUMMYFUNCTION("""COMPUTED_VALUE"""),84.5637583990402)</f>
        <v>84.5637584</v>
      </c>
      <c r="J87" s="74" t="str">
        <f>IFERROR(__xludf.DUMMYFUNCTION("""COMPUTED_VALUE"""),"Lunch")</f>
        <v>Lunch</v>
      </c>
      <c r="K87" s="113">
        <f>IFERROR(__xludf.DUMMYFUNCTION("""COMPUTED_VALUE"""),46070.0)</f>
        <v>46070</v>
      </c>
      <c r="L87" s="74" t="str">
        <f>IFERROR(__xludf.DUMMYFUNCTION("""COMPUTED_VALUE"""),"Tuesday")</f>
        <v>Tuesday</v>
      </c>
      <c r="M87" s="74" t="str">
        <f>IFERROR(__xludf.DUMMYFUNCTION("""COMPUTED_VALUE"""),"MF")</f>
        <v>MF</v>
      </c>
      <c r="N87" s="114">
        <f>IFERROR(__xludf.DUMMYFUNCTION("""COMPUTED_VALUE"""),1.6819405877030569)</f>
        <v>1.681940588</v>
      </c>
      <c r="O87" s="74" t="str">
        <f>IFERROR(__xludf.DUMMYFUNCTION("""COMPUTED_VALUE"""),"")</f>
        <v/>
      </c>
      <c r="P87" s="74" t="str">
        <f>IFERROR(__xludf.DUMMYFUNCTION("""COMPUTED_VALUE"""),"")</f>
        <v/>
      </c>
      <c r="Q87" s="82" t="str">
        <f>IFERROR(__xludf.DUMMYFUNCTION("""COMPUTED_VALUE"""),"")</f>
        <v/>
      </c>
      <c r="R87" s="82" t="str">
        <f>IFERROR(__xludf.DUMMYFUNCTION("""COMPUTED_VALUE"""),"")</f>
        <v/>
      </c>
      <c r="S87" s="84" t="str">
        <f>IFERROR(__xludf.DUMMYFUNCTION("""COMPUTED_VALUE"""),"")</f>
        <v/>
      </c>
      <c r="T87" s="84" t="str">
        <f>IFERROR(__xludf.DUMMYFUNCTION("""COMPUTED_VALUE"""),"")</f>
        <v/>
      </c>
      <c r="U87" s="74" t="str">
        <f>IFERROR(__xludf.DUMMYFUNCTION("""COMPUTED_VALUE"""),"")</f>
        <v/>
      </c>
      <c r="V87" s="82" t="str">
        <f>IFERROR(__xludf.DUMMYFUNCTION("""COMPUTED_VALUE"""),"")</f>
        <v/>
      </c>
      <c r="W87" s="64" t="str">
        <f>IFERROR(__xludf.DUMMYFUNCTION("""COMPUTED_VALUE"""),"")</f>
        <v/>
      </c>
      <c r="X87" s="84" t="str">
        <f>IFERROR(__xludf.DUMMYFUNCTION("""COMPUTED_VALUE"""),"")</f>
        <v/>
      </c>
      <c r="Y87" s="114" t="str">
        <f>IFERROR(__xludf.DUMMYFUNCTION("""COMPUTED_VALUE"""),"")</f>
        <v/>
      </c>
    </row>
    <row r="88">
      <c r="A88" s="109">
        <f>IFERROR(__xludf.DUMMYFUNCTION("""COMPUTED_VALUE"""),46070.59340195602)</f>
        <v>46070.5934</v>
      </c>
      <c r="B88" s="81" t="str">
        <f>IFERROR(__xludf.DUMMYFUNCTION("""COMPUTED_VALUE"""),"Kyra Turner")</f>
        <v>Kyra Turner</v>
      </c>
      <c r="C88" s="74" t="b">
        <f>IFERROR(__xludf.DUMMYFUNCTION("""COMPUTED_VALUE"""),TRUE)</f>
        <v>1</v>
      </c>
      <c r="D88" s="137">
        <f>IFERROR(__xludf.DUMMYFUNCTION("""COMPUTED_VALUE"""),0.5590277777810115)</f>
        <v>0.5590277778</v>
      </c>
      <c r="E88" s="82">
        <f>IFERROR(__xludf.DUMMYFUNCTION("""COMPUTED_VALUE"""),0.03402777777228039)</f>
        <v>0.03402777777</v>
      </c>
      <c r="F88" s="137">
        <f>IFERROR(__xludf.DUMMYFUNCTION("""COMPUTED_VALUE"""),0.5930555555532919)</f>
        <v>0.5930555556</v>
      </c>
      <c r="G88" s="82" t="str">
        <f>IFERROR(__xludf.DUMMYFUNCTION("""COMPUTED_VALUE"""),"")</f>
        <v/>
      </c>
      <c r="H88" s="74">
        <f>IFERROR(__xludf.DUMMYFUNCTION("""COMPUTED_VALUE"""),64.0)</f>
        <v>64</v>
      </c>
      <c r="I88" s="84" t="str">
        <f>IFERROR(__xludf.DUMMYFUNCTION("""COMPUTED_VALUE"""),"")</f>
        <v/>
      </c>
      <c r="J88" s="74" t="str">
        <f>IFERROR(__xludf.DUMMYFUNCTION("""COMPUTED_VALUE"""),"Lunch")</f>
        <v>Lunch</v>
      </c>
      <c r="K88" s="113">
        <f>IFERROR(__xludf.DUMMYFUNCTION("""COMPUTED_VALUE"""),46070.0)</f>
        <v>46070</v>
      </c>
      <c r="L88" s="74" t="str">
        <f>IFERROR(__xludf.DUMMYFUNCTION("""COMPUTED_VALUE"""),"Tuesday")</f>
        <v>Tuesday</v>
      </c>
      <c r="M88" s="74" t="str">
        <f>IFERROR(__xludf.DUMMYFUNCTION("""COMPUTED_VALUE"""),"MF")</f>
        <v>MF</v>
      </c>
      <c r="N88" s="114" t="str">
        <f>IFERROR(__xludf.DUMMYFUNCTION("""COMPUTED_VALUE"""),"")</f>
        <v/>
      </c>
      <c r="O88" s="74" t="str">
        <f>IFERROR(__xludf.DUMMYFUNCTION("""COMPUTED_VALUE"""),"")</f>
        <v/>
      </c>
      <c r="P88" s="74" t="str">
        <f>IFERROR(__xludf.DUMMYFUNCTION("""COMPUTED_VALUE"""),"")</f>
        <v/>
      </c>
      <c r="Q88" s="82" t="str">
        <f>IFERROR(__xludf.DUMMYFUNCTION("""COMPUTED_VALUE"""),"")</f>
        <v/>
      </c>
      <c r="R88" s="82" t="str">
        <f>IFERROR(__xludf.DUMMYFUNCTION("""COMPUTED_VALUE"""),"")</f>
        <v/>
      </c>
      <c r="S88" s="84" t="str">
        <f>IFERROR(__xludf.DUMMYFUNCTION("""COMPUTED_VALUE"""),"")</f>
        <v/>
      </c>
      <c r="T88" s="84" t="str">
        <f>IFERROR(__xludf.DUMMYFUNCTION("""COMPUTED_VALUE"""),"")</f>
        <v/>
      </c>
      <c r="U88" s="74" t="str">
        <f>IFERROR(__xludf.DUMMYFUNCTION("""COMPUTED_VALUE"""),"")</f>
        <v/>
      </c>
      <c r="V88" s="82" t="str">
        <f>IFERROR(__xludf.DUMMYFUNCTION("""COMPUTED_VALUE"""),"")</f>
        <v/>
      </c>
      <c r="W88" s="64" t="str">
        <f>IFERROR(__xludf.DUMMYFUNCTION("""COMPUTED_VALUE"""),"")</f>
        <v/>
      </c>
      <c r="X88" s="84" t="str">
        <f>IFERROR(__xludf.DUMMYFUNCTION("""COMPUTED_VALUE"""),"")</f>
        <v/>
      </c>
      <c r="Y88" s="114" t="str">
        <f>IFERROR(__xludf.DUMMYFUNCTION("""COMPUTED_VALUE"""),"")</f>
        <v/>
      </c>
    </row>
    <row r="89">
      <c r="A89" s="109">
        <f>IFERROR(__xludf.DUMMYFUNCTION("""COMPUTED_VALUE"""),46070.82210877315)</f>
        <v>46070.82211</v>
      </c>
      <c r="B89" s="81" t="str">
        <f>IFERROR(__xludf.DUMMYFUNCTION("""COMPUTED_VALUE"""),"Leah Bucci")</f>
        <v>Leah Bucci</v>
      </c>
      <c r="C89" s="74" t="b">
        <f>IFERROR(__xludf.DUMMYFUNCTION("""COMPUTED_VALUE"""),FALSE)</f>
        <v>0</v>
      </c>
      <c r="D89" s="137">
        <f>IFERROR(__xludf.DUMMYFUNCTION("""COMPUTED_VALUE"""),0.6875)</f>
        <v>0.6875</v>
      </c>
      <c r="E89" s="82">
        <f>IFERROR(__xludf.DUMMYFUNCTION("""COMPUTED_VALUE"""),0.07291666666424135)</f>
        <v>0.07291666666</v>
      </c>
      <c r="F89" s="137">
        <f>IFERROR(__xludf.DUMMYFUNCTION("""COMPUTED_VALUE"""),0.7604166666642413)</f>
        <v>0.7604166667</v>
      </c>
      <c r="G89" s="82">
        <f>IFERROR(__xludf.DUMMYFUNCTION("""COMPUTED_VALUE"""),0.15624999999272404)</f>
        <v>0.15625</v>
      </c>
      <c r="H89" s="74">
        <f>IFERROR(__xludf.DUMMYFUNCTION("""COMPUTED_VALUE"""),188.0)</f>
        <v>188</v>
      </c>
      <c r="I89" s="84">
        <f>IFERROR(__xludf.DUMMYFUNCTION("""COMPUTED_VALUE"""),84.00000000391155)</f>
        <v>84</v>
      </c>
      <c r="J89" s="74" t="str">
        <f>IFERROR(__xludf.DUMMYFUNCTION("""COMPUTED_VALUE"""),"Dinner")</f>
        <v>Dinner</v>
      </c>
      <c r="K89" s="113">
        <f>IFERROR(__xludf.DUMMYFUNCTION("""COMPUTED_VALUE"""),46070.0)</f>
        <v>46070</v>
      </c>
      <c r="L89" s="74" t="str">
        <f>IFERROR(__xludf.DUMMYFUNCTION("""COMPUTED_VALUE"""),"Tuesday")</f>
        <v>Tuesday</v>
      </c>
      <c r="M89" s="74" t="str">
        <f>IFERROR(__xludf.DUMMYFUNCTION("""COMPUTED_VALUE"""),"BF")</f>
        <v>BF</v>
      </c>
      <c r="N89" s="114">
        <f>IFERROR(__xludf.DUMMYFUNCTION("""COMPUTED_VALUE"""),1.8905370844595009)</f>
        <v>1.890537084</v>
      </c>
      <c r="O89" s="74" t="str">
        <f>IFERROR(__xludf.DUMMYFUNCTION("""COMPUTED_VALUE"""),"")</f>
        <v/>
      </c>
      <c r="P89" s="74" t="str">
        <f>IFERROR(__xludf.DUMMYFUNCTION("""COMPUTED_VALUE"""),"")</f>
        <v/>
      </c>
      <c r="Q89" s="82" t="str">
        <f>IFERROR(__xludf.DUMMYFUNCTION("""COMPUTED_VALUE"""),"")</f>
        <v/>
      </c>
      <c r="R89" s="82" t="str">
        <f>IFERROR(__xludf.DUMMYFUNCTION("""COMPUTED_VALUE"""),"")</f>
        <v/>
      </c>
      <c r="S89" s="84" t="str">
        <f>IFERROR(__xludf.DUMMYFUNCTION("""COMPUTED_VALUE"""),"")</f>
        <v/>
      </c>
      <c r="T89" s="84" t="str">
        <f>IFERROR(__xludf.DUMMYFUNCTION("""COMPUTED_VALUE"""),"")</f>
        <v/>
      </c>
      <c r="U89" s="74" t="str">
        <f>IFERROR(__xludf.DUMMYFUNCTION("""COMPUTED_VALUE"""),"")</f>
        <v/>
      </c>
      <c r="V89" s="82" t="str">
        <f>IFERROR(__xludf.DUMMYFUNCTION("""COMPUTED_VALUE"""),"")</f>
        <v/>
      </c>
      <c r="W89" s="64" t="str">
        <f>IFERROR(__xludf.DUMMYFUNCTION("""COMPUTED_VALUE"""),"")</f>
        <v/>
      </c>
      <c r="X89" s="84" t="str">
        <f>IFERROR(__xludf.DUMMYFUNCTION("""COMPUTED_VALUE"""),"")</f>
        <v/>
      </c>
      <c r="Y89" s="114" t="str">
        <f>IFERROR(__xludf.DUMMYFUNCTION("""COMPUTED_VALUE"""),"")</f>
        <v/>
      </c>
    </row>
    <row r="90">
      <c r="A90" s="109">
        <f>IFERROR(__xludf.DUMMYFUNCTION("""COMPUTED_VALUE"""),46070.85394734953)</f>
        <v>46070.85395</v>
      </c>
      <c r="B90" s="81" t="str">
        <f>IFERROR(__xludf.DUMMYFUNCTION("""COMPUTED_VALUE"""),"Leah Bucci")</f>
        <v>Leah Bucci</v>
      </c>
      <c r="C90" s="74" t="b">
        <f>IFERROR(__xludf.DUMMYFUNCTION("""COMPUTED_VALUE"""),TRUE)</f>
        <v>1</v>
      </c>
      <c r="D90" s="137">
        <f>IFERROR(__xludf.DUMMYFUNCTION("""COMPUTED_VALUE"""),0.7708333333357587)</f>
        <v>0.7708333333</v>
      </c>
      <c r="E90" s="82">
        <f>IFERROR(__xludf.DUMMYFUNCTION("""COMPUTED_VALUE"""),0.0833333333284827)</f>
        <v>0.08333333333</v>
      </c>
      <c r="F90" s="137">
        <f>IFERROR(__xludf.DUMMYFUNCTION("""COMPUTED_VALUE"""),0.8541666666642413)</f>
        <v>0.8541666667</v>
      </c>
      <c r="G90" s="82" t="str">
        <f>IFERROR(__xludf.DUMMYFUNCTION("""COMPUTED_VALUE"""),"")</f>
        <v/>
      </c>
      <c r="H90" s="74">
        <f>IFERROR(__xludf.DUMMYFUNCTION("""COMPUTED_VALUE"""),127.0)</f>
        <v>127</v>
      </c>
      <c r="I90" s="84" t="str">
        <f>IFERROR(__xludf.DUMMYFUNCTION("""COMPUTED_VALUE"""),"")</f>
        <v/>
      </c>
      <c r="J90" s="74" t="str">
        <f>IFERROR(__xludf.DUMMYFUNCTION("""COMPUTED_VALUE"""),"Dinner")</f>
        <v>Dinner</v>
      </c>
      <c r="K90" s="113">
        <f>IFERROR(__xludf.DUMMYFUNCTION("""COMPUTED_VALUE"""),46070.0)</f>
        <v>46070</v>
      </c>
      <c r="L90" s="74" t="str">
        <f>IFERROR(__xludf.DUMMYFUNCTION("""COMPUTED_VALUE"""),"Tuesday")</f>
        <v>Tuesday</v>
      </c>
      <c r="M90" s="74" t="str">
        <f>IFERROR(__xludf.DUMMYFUNCTION("""COMPUTED_VALUE"""),"BF")</f>
        <v>BF</v>
      </c>
      <c r="N90" s="114" t="str">
        <f>IFERROR(__xludf.DUMMYFUNCTION("""COMPUTED_VALUE"""),"")</f>
        <v/>
      </c>
      <c r="O90" s="74" t="str">
        <f>IFERROR(__xludf.DUMMYFUNCTION("""COMPUTED_VALUE"""),"")</f>
        <v/>
      </c>
      <c r="P90" s="74" t="str">
        <f>IFERROR(__xludf.DUMMYFUNCTION("""COMPUTED_VALUE"""),"")</f>
        <v/>
      </c>
      <c r="Q90" s="82" t="str">
        <f>IFERROR(__xludf.DUMMYFUNCTION("""COMPUTED_VALUE"""),"")</f>
        <v/>
      </c>
      <c r="R90" s="82" t="str">
        <f>IFERROR(__xludf.DUMMYFUNCTION("""COMPUTED_VALUE"""),"")</f>
        <v/>
      </c>
      <c r="S90" s="84" t="str">
        <f>IFERROR(__xludf.DUMMYFUNCTION("""COMPUTED_VALUE"""),"")</f>
        <v/>
      </c>
      <c r="T90" s="84" t="str">
        <f>IFERROR(__xludf.DUMMYFUNCTION("""COMPUTED_VALUE"""),"")</f>
        <v/>
      </c>
      <c r="U90" s="74" t="str">
        <f>IFERROR(__xludf.DUMMYFUNCTION("""COMPUTED_VALUE"""),"")</f>
        <v/>
      </c>
      <c r="V90" s="82" t="str">
        <f>IFERROR(__xludf.DUMMYFUNCTION("""COMPUTED_VALUE"""),"")</f>
        <v/>
      </c>
      <c r="W90" s="64" t="str">
        <f>IFERROR(__xludf.DUMMYFUNCTION("""COMPUTED_VALUE"""),"")</f>
        <v/>
      </c>
      <c r="X90" s="84" t="str">
        <f>IFERROR(__xludf.DUMMYFUNCTION("""COMPUTED_VALUE"""),"")</f>
        <v/>
      </c>
      <c r="Y90" s="114" t="str">
        <f>IFERROR(__xludf.DUMMYFUNCTION("""COMPUTED_VALUE"""),"")</f>
        <v/>
      </c>
    </row>
    <row r="91">
      <c r="A91" s="109">
        <f>IFERROR(__xludf.DUMMYFUNCTION("""COMPUTED_VALUE"""),46070.86607668981)</f>
        <v>46070.86608</v>
      </c>
      <c r="B91" s="81" t="str">
        <f>IFERROR(__xludf.DUMMYFUNCTION("""COMPUTED_VALUE"""),"Sophia Kluck")</f>
        <v>Sophia Kluck</v>
      </c>
      <c r="C91" s="74" t="b">
        <f>IFERROR(__xludf.DUMMYFUNCTION("""COMPUTED_VALUE"""),FALSE)</f>
        <v>0</v>
      </c>
      <c r="D91" s="137">
        <f>IFERROR(__xludf.DUMMYFUNCTION("""COMPUTED_VALUE"""),0.7513888888934162)</f>
        <v>0.7513888889</v>
      </c>
      <c r="E91" s="82">
        <f>IFERROR(__xludf.DUMMYFUNCTION("""COMPUTED_VALUE"""),0.1131944444423425)</f>
        <v>0.1131944444</v>
      </c>
      <c r="F91" s="137">
        <f>IFERROR(__xludf.DUMMYFUNCTION("""COMPUTED_VALUE"""),0.8645833333357587)</f>
        <v>0.8645833333</v>
      </c>
      <c r="G91" s="82">
        <f>IFERROR(__xludf.DUMMYFUNCTION("""COMPUTED_VALUE"""),0.1131944444423425)</f>
        <v>0.1131944444</v>
      </c>
      <c r="H91" s="74">
        <f>IFERROR(__xludf.DUMMYFUNCTION("""COMPUTED_VALUE"""),117.0)</f>
        <v>117</v>
      </c>
      <c r="I91" s="84">
        <f>IFERROR(__xludf.DUMMYFUNCTION("""COMPUTED_VALUE"""),43.06748466337642)</f>
        <v>43.06748466</v>
      </c>
      <c r="J91" s="74" t="str">
        <f>IFERROR(__xludf.DUMMYFUNCTION("""COMPUTED_VALUE"""),"Dinner")</f>
        <v>Dinner</v>
      </c>
      <c r="K91" s="113">
        <f>IFERROR(__xludf.DUMMYFUNCTION("""COMPUTED_VALUE"""),46070.0)</f>
        <v>46070</v>
      </c>
      <c r="L91" s="74" t="str">
        <f>IFERROR(__xludf.DUMMYFUNCTION("""COMPUTED_VALUE"""),"Tuesday")</f>
        <v>Tuesday</v>
      </c>
      <c r="M91" s="74" t="str">
        <f>IFERROR(__xludf.DUMMYFUNCTION("""COMPUTED_VALUE"""),"MF")</f>
        <v>MF</v>
      </c>
      <c r="N91" s="114">
        <f>IFERROR(__xludf.DUMMYFUNCTION("""COMPUTED_VALUE"""),0.9285852070214525)</f>
        <v>0.928585207</v>
      </c>
      <c r="O91" s="74">
        <f>IFERROR(__xludf.DUMMYFUNCTION("""COMPUTED_VALUE"""),327.0)</f>
        <v>327</v>
      </c>
      <c r="P91" s="74">
        <f>IFERROR(__xludf.DUMMYFUNCTION("""COMPUTED_VALUE"""),461.0)</f>
        <v>461</v>
      </c>
      <c r="Q91" s="82">
        <f>IFERROR(__xludf.DUMMYFUNCTION("""COMPUTED_VALUE"""),0.21666666665259982)</f>
        <v>0.2166666667</v>
      </c>
      <c r="R91" s="82">
        <f>IFERROR(__xludf.DUMMYFUNCTION("""COMPUTED_VALUE"""),0.22847222221025731)</f>
        <v>0.2284722222</v>
      </c>
      <c r="S91" s="84">
        <f>IFERROR(__xludf.DUMMYFUNCTION("""COMPUTED_VALUE"""),63.81562153120831)</f>
        <v>63.81562153</v>
      </c>
      <c r="T91" s="84">
        <f>IFERROR(__xludf.DUMMYFUNCTION("""COMPUTED_VALUE"""),84.11538462007468)</f>
        <v>84.11538462</v>
      </c>
      <c r="U91" s="74">
        <f>IFERROR(__xludf.DUMMYFUNCTION("""COMPUTED_VALUE"""),788.0)</f>
        <v>788</v>
      </c>
      <c r="V91" s="82">
        <f>IFERROR(__xludf.DUMMYFUNCTION("""COMPUTED_VALUE"""),0.44513888886285713)</f>
        <v>0.4451388889</v>
      </c>
      <c r="W91" s="64">
        <f>IFERROR(__xludf.DUMMYFUNCTION("""COMPUTED_VALUE"""),73.75975039432907)</f>
        <v>73.75975039</v>
      </c>
      <c r="X91" s="84">
        <f>IFERROR(__xludf.DUMMYFUNCTION("""COMPUTED_VALUE"""),73.96550307564151)</f>
        <v>73.96550308</v>
      </c>
      <c r="Y91" s="114">
        <f>IFERROR(__xludf.DUMMYFUNCTION("""COMPUTED_VALUE"""),0.8982537371247205)</f>
        <v>0.8982537371</v>
      </c>
    </row>
    <row r="92">
      <c r="A92" s="109">
        <f>IFERROR(__xludf.DUMMYFUNCTION("""COMPUTED_VALUE"""),46071.41592960648)</f>
        <v>46071.41593</v>
      </c>
      <c r="B92" s="81" t="str">
        <f>IFERROR(__xludf.DUMMYFUNCTION("""COMPUTED_VALUE"""),"Kaylie Forgue")</f>
        <v>Kaylie Forgue</v>
      </c>
      <c r="C92" s="74" t="b">
        <f>IFERROR(__xludf.DUMMYFUNCTION("""COMPUTED_VALUE"""),FALSE)</f>
        <v>0</v>
      </c>
      <c r="D92" s="137">
        <f>IFERROR(__xludf.DUMMYFUNCTION("""COMPUTED_VALUE"""),0.3125)</f>
        <v>0.3125</v>
      </c>
      <c r="E92" s="82">
        <f>IFERROR(__xludf.DUMMYFUNCTION("""COMPUTED_VALUE"""),0.09027777778101154)</f>
        <v>0.09027777778</v>
      </c>
      <c r="F92" s="137">
        <f>IFERROR(__xludf.DUMMYFUNCTION("""COMPUTED_VALUE"""),0.40277777778101154)</f>
        <v>0.4027777778</v>
      </c>
      <c r="G92" s="82">
        <f>IFERROR(__xludf.DUMMYFUNCTION("""COMPUTED_VALUE"""),0.09027777778101154)</f>
        <v>0.09027777778</v>
      </c>
      <c r="H92" s="74">
        <f>IFERROR(__xludf.DUMMYFUNCTION("""COMPUTED_VALUE"""),47.0)</f>
        <v>47</v>
      </c>
      <c r="I92" s="84">
        <f>IFERROR(__xludf.DUMMYFUNCTION("""COMPUTED_VALUE"""),21.692307691530672)</f>
        <v>21.69230769</v>
      </c>
      <c r="J92" s="74" t="str">
        <f>IFERROR(__xludf.DUMMYFUNCTION("""COMPUTED_VALUE"""),"Breakfast")</f>
        <v>Breakfast</v>
      </c>
      <c r="K92" s="113">
        <f>IFERROR(__xludf.DUMMYFUNCTION("""COMPUTED_VALUE"""),46071.0)</f>
        <v>46071</v>
      </c>
      <c r="L92" s="74" t="str">
        <f>IFERROR(__xludf.DUMMYFUNCTION("""COMPUTED_VALUE"""),"Wednesday")</f>
        <v>Wednesday</v>
      </c>
      <c r="M92" s="74" t="str">
        <f>IFERROR(__xludf.DUMMYFUNCTION("""COMPUTED_VALUE"""),"BF")</f>
        <v>BF</v>
      </c>
      <c r="N92" s="114">
        <f>IFERROR(__xludf.DUMMYFUNCTION("""COMPUTED_VALUE"""),0.7651432397079665)</f>
        <v>0.7651432397</v>
      </c>
      <c r="O92" s="74" t="str">
        <f>IFERROR(__xludf.DUMMYFUNCTION("""COMPUTED_VALUE"""),"")</f>
        <v/>
      </c>
      <c r="P92" s="74" t="str">
        <f>IFERROR(__xludf.DUMMYFUNCTION("""COMPUTED_VALUE"""),"")</f>
        <v/>
      </c>
      <c r="Q92" s="82" t="str">
        <f>IFERROR(__xludf.DUMMYFUNCTION("""COMPUTED_VALUE"""),"")</f>
        <v/>
      </c>
      <c r="R92" s="82" t="str">
        <f>IFERROR(__xludf.DUMMYFUNCTION("""COMPUTED_VALUE"""),"")</f>
        <v/>
      </c>
      <c r="S92" s="84" t="str">
        <f>IFERROR(__xludf.DUMMYFUNCTION("""COMPUTED_VALUE"""),"")</f>
        <v/>
      </c>
      <c r="T92" s="84" t="str">
        <f>IFERROR(__xludf.DUMMYFUNCTION("""COMPUTED_VALUE"""),"")</f>
        <v/>
      </c>
      <c r="U92" s="74" t="str">
        <f>IFERROR(__xludf.DUMMYFUNCTION("""COMPUTED_VALUE"""),"")</f>
        <v/>
      </c>
      <c r="V92" s="82" t="str">
        <f>IFERROR(__xludf.DUMMYFUNCTION("""COMPUTED_VALUE"""),"")</f>
        <v/>
      </c>
      <c r="W92" s="64" t="str">
        <f>IFERROR(__xludf.DUMMYFUNCTION("""COMPUTED_VALUE"""),"")</f>
        <v/>
      </c>
      <c r="X92" s="84" t="str">
        <f>IFERROR(__xludf.DUMMYFUNCTION("""COMPUTED_VALUE"""),"")</f>
        <v/>
      </c>
      <c r="Y92" s="114" t="str">
        <f>IFERROR(__xludf.DUMMYFUNCTION("""COMPUTED_VALUE"""),"")</f>
        <v/>
      </c>
    </row>
    <row r="93">
      <c r="A93" s="109">
        <f>IFERROR(__xludf.DUMMYFUNCTION("""COMPUTED_VALUE"""),46071.57600097222)</f>
        <v>46071.576</v>
      </c>
      <c r="B93" s="81" t="str">
        <f>IFERROR(__xludf.DUMMYFUNCTION("""COMPUTED_VALUE"""),"Oluwatimilehin Shodipe")</f>
        <v>Oluwatimilehin Shodipe</v>
      </c>
      <c r="C93" s="74" t="b">
        <f>IFERROR(__xludf.DUMMYFUNCTION("""COMPUTED_VALUE"""),FALSE)</f>
        <v>0</v>
      </c>
      <c r="D93" s="137">
        <f>IFERROR(__xludf.DUMMYFUNCTION("""COMPUTED_VALUE"""),0.5)</f>
        <v>0.5</v>
      </c>
      <c r="E93" s="82">
        <f>IFERROR(__xludf.DUMMYFUNCTION("""COMPUTED_VALUE"""),0.07638888889050577)</f>
        <v>0.07638888889</v>
      </c>
      <c r="F93" s="137">
        <f>IFERROR(__xludf.DUMMYFUNCTION("""COMPUTED_VALUE"""),0.5763888888905058)</f>
        <v>0.5763888889</v>
      </c>
      <c r="G93" s="82">
        <f>IFERROR(__xludf.DUMMYFUNCTION("""COMPUTED_VALUE"""),0.07638888889050577)</f>
        <v>0.07638888889</v>
      </c>
      <c r="H93" s="74">
        <f>IFERROR(__xludf.DUMMYFUNCTION("""COMPUTED_VALUE"""),94.0)</f>
        <v>94</v>
      </c>
      <c r="I93" s="84">
        <f>IFERROR(__xludf.DUMMYFUNCTION("""COMPUTED_VALUE"""),51.27272727164201)</f>
        <v>51.27272727</v>
      </c>
      <c r="J93" s="74" t="str">
        <f>IFERROR(__xludf.DUMMYFUNCTION("""COMPUTED_VALUE"""),"Lunch")</f>
        <v>Lunch</v>
      </c>
      <c r="K93" s="113">
        <f>IFERROR(__xludf.DUMMYFUNCTION("""COMPUTED_VALUE"""),46071.0)</f>
        <v>46071</v>
      </c>
      <c r="L93" s="74" t="str">
        <f>IFERROR(__xludf.DUMMYFUNCTION("""COMPUTED_VALUE"""),"Wednesday")</f>
        <v>Wednesday</v>
      </c>
      <c r="M93" s="74" t="str">
        <f>IFERROR(__xludf.DUMMYFUNCTION("""COMPUTED_VALUE"""),"BF")</f>
        <v>BF</v>
      </c>
      <c r="N93" s="114">
        <f>IFERROR(__xludf.DUMMYFUNCTION("""COMPUTED_VALUE"""),1.8085203847907858)</f>
        <v>1.808520385</v>
      </c>
      <c r="O93" s="74" t="str">
        <f>IFERROR(__xludf.DUMMYFUNCTION("""COMPUTED_VALUE"""),"")</f>
        <v/>
      </c>
      <c r="P93" s="74" t="str">
        <f>IFERROR(__xludf.DUMMYFUNCTION("""COMPUTED_VALUE"""),"")</f>
        <v/>
      </c>
      <c r="Q93" s="82" t="str">
        <f>IFERROR(__xludf.DUMMYFUNCTION("""COMPUTED_VALUE"""),"")</f>
        <v/>
      </c>
      <c r="R93" s="82" t="str">
        <f>IFERROR(__xludf.DUMMYFUNCTION("""COMPUTED_VALUE"""),"")</f>
        <v/>
      </c>
      <c r="S93" s="84" t="str">
        <f>IFERROR(__xludf.DUMMYFUNCTION("""COMPUTED_VALUE"""),"")</f>
        <v/>
      </c>
      <c r="T93" s="84" t="str">
        <f>IFERROR(__xludf.DUMMYFUNCTION("""COMPUTED_VALUE"""),"")</f>
        <v/>
      </c>
      <c r="U93" s="74" t="str">
        <f>IFERROR(__xludf.DUMMYFUNCTION("""COMPUTED_VALUE"""),"")</f>
        <v/>
      </c>
      <c r="V93" s="82" t="str">
        <f>IFERROR(__xludf.DUMMYFUNCTION("""COMPUTED_VALUE"""),"")</f>
        <v/>
      </c>
      <c r="W93" s="64" t="str">
        <f>IFERROR(__xludf.DUMMYFUNCTION("""COMPUTED_VALUE"""),"")</f>
        <v/>
      </c>
      <c r="X93" s="84" t="str">
        <f>IFERROR(__xludf.DUMMYFUNCTION("""COMPUTED_VALUE"""),"")</f>
        <v/>
      </c>
      <c r="Y93" s="114" t="str">
        <f>IFERROR(__xludf.DUMMYFUNCTION("""COMPUTED_VALUE"""),"")</f>
        <v/>
      </c>
    </row>
    <row r="94">
      <c r="A94" s="109">
        <f>IFERROR(__xludf.DUMMYFUNCTION("""COMPUTED_VALUE"""),46071.62035236111)</f>
        <v>46071.62035</v>
      </c>
      <c r="B94" s="81" t="str">
        <f>IFERROR(__xludf.DUMMYFUNCTION("""COMPUTED_VALUE"""),"Evan Morgan")</f>
        <v>Evan Morgan</v>
      </c>
      <c r="C94" s="74" t="b">
        <f>IFERROR(__xludf.DUMMYFUNCTION("""COMPUTED_VALUE"""),FALSE)</f>
        <v>0</v>
      </c>
      <c r="D94" s="137">
        <f>IFERROR(__xludf.DUMMYFUNCTION("""COMPUTED_VALUE"""),0.5416666666642413)</f>
        <v>0.5416666667</v>
      </c>
      <c r="E94" s="82">
        <f>IFERROR(__xludf.DUMMYFUNCTION("""COMPUTED_VALUE"""),0.07638888889050577)</f>
        <v>0.07638888889</v>
      </c>
      <c r="F94" s="137">
        <f>IFERROR(__xludf.DUMMYFUNCTION("""COMPUTED_VALUE"""),0.6180555555547471)</f>
        <v>0.6180555556</v>
      </c>
      <c r="G94" s="82">
        <f>IFERROR(__xludf.DUMMYFUNCTION("""COMPUTED_VALUE"""),0.07638888889050577)</f>
        <v>0.07638888889</v>
      </c>
      <c r="H94" s="74">
        <f>IFERROR(__xludf.DUMMYFUNCTION("""COMPUTED_VALUE"""),99.0)</f>
        <v>99</v>
      </c>
      <c r="I94" s="84">
        <f>IFERROR(__xludf.DUMMYFUNCTION("""COMPUTED_VALUE"""),53.999999998857014)</f>
        <v>54</v>
      </c>
      <c r="J94" s="74" t="str">
        <f>IFERROR(__xludf.DUMMYFUNCTION("""COMPUTED_VALUE"""),"Lunch")</f>
        <v>Lunch</v>
      </c>
      <c r="K94" s="113">
        <f>IFERROR(__xludf.DUMMYFUNCTION("""COMPUTED_VALUE"""),46071.0)</f>
        <v>46071</v>
      </c>
      <c r="L94" s="74" t="str">
        <f>IFERROR(__xludf.DUMMYFUNCTION("""COMPUTED_VALUE"""),"Wednesday")</f>
        <v>Wednesday</v>
      </c>
      <c r="M94" s="74" t="str">
        <f>IFERROR(__xludf.DUMMYFUNCTION("""COMPUTED_VALUE"""),"MF")</f>
        <v>MF</v>
      </c>
      <c r="N94" s="114">
        <f>IFERROR(__xludf.DUMMYFUNCTION("""COMPUTED_VALUE"""),1.07403920371488)</f>
        <v>1.074039204</v>
      </c>
      <c r="O94" s="74" t="str">
        <f>IFERROR(__xludf.DUMMYFUNCTION("""COMPUTED_VALUE"""),"")</f>
        <v/>
      </c>
      <c r="P94" s="74" t="str">
        <f>IFERROR(__xludf.DUMMYFUNCTION("""COMPUTED_VALUE"""),"")</f>
        <v/>
      </c>
      <c r="Q94" s="82" t="str">
        <f>IFERROR(__xludf.DUMMYFUNCTION("""COMPUTED_VALUE"""),"")</f>
        <v/>
      </c>
      <c r="R94" s="82" t="str">
        <f>IFERROR(__xludf.DUMMYFUNCTION("""COMPUTED_VALUE"""),"")</f>
        <v/>
      </c>
      <c r="S94" s="84" t="str">
        <f>IFERROR(__xludf.DUMMYFUNCTION("""COMPUTED_VALUE"""),"")</f>
        <v/>
      </c>
      <c r="T94" s="84" t="str">
        <f>IFERROR(__xludf.DUMMYFUNCTION("""COMPUTED_VALUE"""),"")</f>
        <v/>
      </c>
      <c r="U94" s="74" t="str">
        <f>IFERROR(__xludf.DUMMYFUNCTION("""COMPUTED_VALUE"""),"")</f>
        <v/>
      </c>
      <c r="V94" s="82" t="str">
        <f>IFERROR(__xludf.DUMMYFUNCTION("""COMPUTED_VALUE"""),"")</f>
        <v/>
      </c>
      <c r="W94" s="64" t="str">
        <f>IFERROR(__xludf.DUMMYFUNCTION("""COMPUTED_VALUE"""),"")</f>
        <v/>
      </c>
      <c r="X94" s="84" t="str">
        <f>IFERROR(__xludf.DUMMYFUNCTION("""COMPUTED_VALUE"""),"")</f>
        <v/>
      </c>
      <c r="Y94" s="114" t="str">
        <f>IFERROR(__xludf.DUMMYFUNCTION("""COMPUTED_VALUE"""),"")</f>
        <v/>
      </c>
    </row>
    <row r="95">
      <c r="A95" s="109">
        <f>IFERROR(__xludf.DUMMYFUNCTION("""COMPUTED_VALUE"""),46071.69685313657)</f>
        <v>46071.69685</v>
      </c>
      <c r="B95" s="81" t="str">
        <f>IFERROR(__xludf.DUMMYFUNCTION("""COMPUTED_VALUE"""),"Evan Morgan")</f>
        <v>Evan Morgan</v>
      </c>
      <c r="C95" s="74" t="b">
        <f>IFERROR(__xludf.DUMMYFUNCTION("""COMPUTED_VALUE"""),FALSE)</f>
        <v>0</v>
      </c>
      <c r="D95" s="137">
        <f>IFERROR(__xludf.DUMMYFUNCTION("""COMPUTED_VALUE"""),0.6666666666642413)</f>
        <v>0.6666666667</v>
      </c>
      <c r="E95" s="82">
        <f>IFERROR(__xludf.DUMMYFUNCTION("""COMPUTED_VALUE"""),0.027777777781011537)</f>
        <v>0.02777777778</v>
      </c>
      <c r="F95" s="137">
        <f>IFERROR(__xludf.DUMMYFUNCTION("""COMPUTED_VALUE"""),0.6944444444452529)</f>
        <v>0.6944444444</v>
      </c>
      <c r="G95" s="82">
        <f>IFERROR(__xludf.DUMMYFUNCTION("""COMPUTED_VALUE"""),0.027777777781011537)</f>
        <v>0.02777777778</v>
      </c>
      <c r="H95" s="74">
        <f>IFERROR(__xludf.DUMMYFUNCTION("""COMPUTED_VALUE"""),35.0)</f>
        <v>35</v>
      </c>
      <c r="I95" s="84">
        <f>IFERROR(__xludf.DUMMYFUNCTION("""COMPUTED_VALUE"""),52.499999993888196)</f>
        <v>52.49999999</v>
      </c>
      <c r="J95" s="74" t="str">
        <f>IFERROR(__xludf.DUMMYFUNCTION("""COMPUTED_VALUE"""),"Dinner")</f>
        <v>Dinner</v>
      </c>
      <c r="K95" s="113">
        <f>IFERROR(__xludf.DUMMYFUNCTION("""COMPUTED_VALUE"""),46071.0)</f>
        <v>46071</v>
      </c>
      <c r="L95" s="74" t="str">
        <f>IFERROR(__xludf.DUMMYFUNCTION("""COMPUTED_VALUE"""),"Wednesday")</f>
        <v>Wednesday</v>
      </c>
      <c r="M95" s="74" t="str">
        <f>IFERROR(__xludf.DUMMYFUNCTION("""COMPUTED_VALUE"""),"MF")</f>
        <v>MF</v>
      </c>
      <c r="N95" s="114">
        <f>IFERROR(__xludf.DUMMYFUNCTION("""COMPUTED_VALUE"""),1.1319612404577555)</f>
        <v>1.13196124</v>
      </c>
      <c r="O95" s="74" t="str">
        <f>IFERROR(__xludf.DUMMYFUNCTION("""COMPUTED_VALUE"""),"")</f>
        <v/>
      </c>
      <c r="P95" s="74" t="str">
        <f>IFERROR(__xludf.DUMMYFUNCTION("""COMPUTED_VALUE"""),"")</f>
        <v/>
      </c>
      <c r="Q95" s="82" t="str">
        <f>IFERROR(__xludf.DUMMYFUNCTION("""COMPUTED_VALUE"""),"")</f>
        <v/>
      </c>
      <c r="R95" s="82" t="str">
        <f>IFERROR(__xludf.DUMMYFUNCTION("""COMPUTED_VALUE"""),"")</f>
        <v/>
      </c>
      <c r="S95" s="84" t="str">
        <f>IFERROR(__xludf.DUMMYFUNCTION("""COMPUTED_VALUE"""),"")</f>
        <v/>
      </c>
      <c r="T95" s="84" t="str">
        <f>IFERROR(__xludf.DUMMYFUNCTION("""COMPUTED_VALUE"""),"")</f>
        <v/>
      </c>
      <c r="U95" s="74" t="str">
        <f>IFERROR(__xludf.DUMMYFUNCTION("""COMPUTED_VALUE"""),"")</f>
        <v/>
      </c>
      <c r="V95" s="82" t="str">
        <f>IFERROR(__xludf.DUMMYFUNCTION("""COMPUTED_VALUE"""),"")</f>
        <v/>
      </c>
      <c r="W95" s="64" t="str">
        <f>IFERROR(__xludf.DUMMYFUNCTION("""COMPUTED_VALUE"""),"")</f>
        <v/>
      </c>
      <c r="X95" s="84" t="str">
        <f>IFERROR(__xludf.DUMMYFUNCTION("""COMPUTED_VALUE"""),"")</f>
        <v/>
      </c>
      <c r="Y95" s="114" t="str">
        <f>IFERROR(__xludf.DUMMYFUNCTION("""COMPUTED_VALUE"""),"")</f>
        <v/>
      </c>
    </row>
    <row r="96">
      <c r="A96" s="109">
        <f>IFERROR(__xludf.DUMMYFUNCTION("""COMPUTED_VALUE"""),46071.84832153935)</f>
        <v>46071.84832</v>
      </c>
      <c r="B96" s="81" t="str">
        <f>IFERROR(__xludf.DUMMYFUNCTION("""COMPUTED_VALUE"""),"Maureen Surgot")</f>
        <v>Maureen Surgot</v>
      </c>
      <c r="C96" s="74" t="b">
        <f>IFERROR(__xludf.DUMMYFUNCTION("""COMPUTED_VALUE"""),FALSE)</f>
        <v>0</v>
      </c>
      <c r="D96" s="137">
        <f>IFERROR(__xludf.DUMMYFUNCTION("""COMPUTED_VALUE"""),0.6875)</f>
        <v>0.6875</v>
      </c>
      <c r="E96" s="82">
        <f>IFERROR(__xludf.DUMMYFUNCTION("""COMPUTED_VALUE"""),0.16666666666424135)</f>
        <v>0.1666666667</v>
      </c>
      <c r="F96" s="137">
        <f>IFERROR(__xludf.DUMMYFUNCTION("""COMPUTED_VALUE"""),0.8541666666642413)</f>
        <v>0.8541666667</v>
      </c>
      <c r="G96" s="82">
        <f>IFERROR(__xludf.DUMMYFUNCTION("""COMPUTED_VALUE"""),0.16666666666424135)</f>
        <v>0.1666666667</v>
      </c>
      <c r="H96" s="74">
        <f>IFERROR(__xludf.DUMMYFUNCTION("""COMPUTED_VALUE"""),109.0)</f>
        <v>109</v>
      </c>
      <c r="I96" s="84">
        <f>IFERROR(__xludf.DUMMYFUNCTION("""COMPUTED_VALUE"""),27.25000000039654)</f>
        <v>27.25</v>
      </c>
      <c r="J96" s="74" t="str">
        <f>IFERROR(__xludf.DUMMYFUNCTION("""COMPUTED_VALUE"""),"Dinner")</f>
        <v>Dinner</v>
      </c>
      <c r="K96" s="113">
        <f>IFERROR(__xludf.DUMMYFUNCTION("""COMPUTED_VALUE"""),46071.0)</f>
        <v>46071</v>
      </c>
      <c r="L96" s="74" t="str">
        <f>IFERROR(__xludf.DUMMYFUNCTION("""COMPUTED_VALUE"""),"Wednesday")</f>
        <v>Wednesday</v>
      </c>
      <c r="M96" s="74" t="str">
        <f>IFERROR(__xludf.DUMMYFUNCTION("""COMPUTED_VALUE"""),"BF")</f>
        <v>BF</v>
      </c>
      <c r="N96" s="114">
        <f>IFERROR(__xludf.DUMMYFUNCTION("""COMPUTED_VALUE"""),0.6132992327365728)</f>
        <v>0.6132992327</v>
      </c>
      <c r="O96" s="74" t="str">
        <f>IFERROR(__xludf.DUMMYFUNCTION("""COMPUTED_VALUE"""),"")</f>
        <v/>
      </c>
      <c r="P96" s="74" t="str">
        <f>IFERROR(__xludf.DUMMYFUNCTION("""COMPUTED_VALUE"""),"")</f>
        <v/>
      </c>
      <c r="Q96" s="82" t="str">
        <f>IFERROR(__xludf.DUMMYFUNCTION("""COMPUTED_VALUE"""),"")</f>
        <v/>
      </c>
      <c r="R96" s="82" t="str">
        <f>IFERROR(__xludf.DUMMYFUNCTION("""COMPUTED_VALUE"""),"")</f>
        <v/>
      </c>
      <c r="S96" s="84" t="str">
        <f>IFERROR(__xludf.DUMMYFUNCTION("""COMPUTED_VALUE"""),"")</f>
        <v/>
      </c>
      <c r="T96" s="84" t="str">
        <f>IFERROR(__xludf.DUMMYFUNCTION("""COMPUTED_VALUE"""),"")</f>
        <v/>
      </c>
      <c r="U96" s="74" t="str">
        <f>IFERROR(__xludf.DUMMYFUNCTION("""COMPUTED_VALUE"""),"")</f>
        <v/>
      </c>
      <c r="V96" s="82" t="str">
        <f>IFERROR(__xludf.DUMMYFUNCTION("""COMPUTED_VALUE"""),"")</f>
        <v/>
      </c>
      <c r="W96" s="64" t="str">
        <f>IFERROR(__xludf.DUMMYFUNCTION("""COMPUTED_VALUE"""),"")</f>
        <v/>
      </c>
      <c r="X96" s="84" t="str">
        <f>IFERROR(__xludf.DUMMYFUNCTION("""COMPUTED_VALUE"""),"")</f>
        <v/>
      </c>
      <c r="Y96" s="114" t="str">
        <f>IFERROR(__xludf.DUMMYFUNCTION("""COMPUTED_VALUE"""),"")</f>
        <v/>
      </c>
    </row>
    <row r="97">
      <c r="A97" s="109">
        <f>IFERROR(__xludf.DUMMYFUNCTION("""COMPUTED_VALUE"""),46071.86939287037)</f>
        <v>46071.86939</v>
      </c>
      <c r="B97" s="81" t="str">
        <f>IFERROR(__xludf.DUMMYFUNCTION("""COMPUTED_VALUE"""),"Brynn Hornig")</f>
        <v>Brynn Hornig</v>
      </c>
      <c r="C97" s="74" t="b">
        <f>IFERROR(__xludf.DUMMYFUNCTION("""COMPUTED_VALUE"""),FALSE)</f>
        <v>0</v>
      </c>
      <c r="D97" s="137">
        <f>IFERROR(__xludf.DUMMYFUNCTION("""COMPUTED_VALUE"""),0.75)</f>
        <v>0.75</v>
      </c>
      <c r="E97" s="82">
        <f>IFERROR(__xludf.DUMMYFUNCTION("""COMPUTED_VALUE"""),0.125)</f>
        <v>0.125</v>
      </c>
      <c r="F97" s="137">
        <f>IFERROR(__xludf.DUMMYFUNCTION("""COMPUTED_VALUE"""),0.875)</f>
        <v>0.875</v>
      </c>
      <c r="G97" s="82">
        <f>IFERROR(__xludf.DUMMYFUNCTION("""COMPUTED_VALUE"""),0.125)</f>
        <v>0.125</v>
      </c>
      <c r="H97" s="74">
        <f>IFERROR(__xludf.DUMMYFUNCTION("""COMPUTED_VALUE"""),209.0)</f>
        <v>209</v>
      </c>
      <c r="I97" s="84">
        <f>IFERROR(__xludf.DUMMYFUNCTION("""COMPUTED_VALUE"""),69.66666666666667)</f>
        <v>69.66666667</v>
      </c>
      <c r="J97" s="74" t="str">
        <f>IFERROR(__xludf.DUMMYFUNCTION("""COMPUTED_VALUE"""),"Dinner")</f>
        <v>Dinner</v>
      </c>
      <c r="K97" s="113">
        <f>IFERROR(__xludf.DUMMYFUNCTION("""COMPUTED_VALUE"""),46071.0)</f>
        <v>46071</v>
      </c>
      <c r="L97" s="74" t="str">
        <f>IFERROR(__xludf.DUMMYFUNCTION("""COMPUTED_VALUE"""),"Wednesday")</f>
        <v>Wednesday</v>
      </c>
      <c r="M97" s="74" t="str">
        <f>IFERROR(__xludf.DUMMYFUNCTION("""COMPUTED_VALUE"""),"MF")</f>
        <v>MF</v>
      </c>
      <c r="N97" s="114">
        <f>IFERROR(__xludf.DUMMYFUNCTION("""COMPUTED_VALUE"""),1.502094598623571)</f>
        <v>1.502094599</v>
      </c>
      <c r="O97" s="74">
        <f>IFERROR(__xludf.DUMMYFUNCTION("""COMPUTED_VALUE"""),343.0)</f>
        <v>343</v>
      </c>
      <c r="P97" s="74">
        <f>IFERROR(__xludf.DUMMYFUNCTION("""COMPUTED_VALUE"""),250.0)</f>
        <v>250</v>
      </c>
      <c r="Q97" s="82">
        <f>IFERROR(__xludf.DUMMYFUNCTION("""COMPUTED_VALUE"""),0.2291666666715173)</f>
        <v>0.2291666667</v>
      </c>
      <c r="R97" s="82">
        <f>IFERROR(__xludf.DUMMYFUNCTION("""COMPUTED_VALUE"""),0.33333333333575865)</f>
        <v>0.3333333333</v>
      </c>
      <c r="S97" s="84">
        <f>IFERROR(__xludf.DUMMYFUNCTION("""COMPUTED_VALUE"""),58.72222221980396)</f>
        <v>58.72222222</v>
      </c>
      <c r="T97" s="84">
        <f>IFERROR(__xludf.DUMMYFUNCTION("""COMPUTED_VALUE"""),33.40501165452307)</f>
        <v>33.40501165</v>
      </c>
      <c r="U97" s="74">
        <f>IFERROR(__xludf.DUMMYFUNCTION("""COMPUTED_VALUE"""),593.0)</f>
        <v>593</v>
      </c>
      <c r="V97" s="82">
        <f>IFERROR(__xludf.DUMMYFUNCTION("""COMPUTED_VALUE"""),0.562500000007276)</f>
        <v>0.5625</v>
      </c>
      <c r="W97" s="64">
        <f>IFERROR(__xludf.DUMMYFUNCTION("""COMPUTED_VALUE"""),43.925925925357745)</f>
        <v>43.92592593</v>
      </c>
      <c r="X97" s="84">
        <f>IFERROR(__xludf.DUMMYFUNCTION("""COMPUTED_VALUE"""),46.063616937163516)</f>
        <v>46.06361694</v>
      </c>
      <c r="Y97" s="114">
        <f>IFERROR(__xludf.DUMMYFUNCTION("""COMPUTED_VALUE"""),0.9022739922142087)</f>
        <v>0.9022739922</v>
      </c>
    </row>
    <row r="98">
      <c r="A98" s="109">
        <f>IFERROR(__xludf.DUMMYFUNCTION("""COMPUTED_VALUE"""),46072.362981122686)</f>
        <v>46072.36298</v>
      </c>
      <c r="B98" s="81" t="str">
        <f>IFERROR(__xludf.DUMMYFUNCTION("""COMPUTED_VALUE"""),"Evan Morgan")</f>
        <v>Evan Morgan</v>
      </c>
      <c r="C98" s="74" t="b">
        <f>IFERROR(__xludf.DUMMYFUNCTION("""COMPUTED_VALUE"""),FALSE)</f>
        <v>0</v>
      </c>
      <c r="D98" s="137">
        <f>IFERROR(__xludf.DUMMYFUNCTION("""COMPUTED_VALUE"""),0.29166666666424135)</f>
        <v>0.2916666667</v>
      </c>
      <c r="E98" s="82">
        <f>IFERROR(__xludf.DUMMYFUNCTION("""COMPUTED_VALUE"""),0.0729166666715173)</f>
        <v>0.07291666667</v>
      </c>
      <c r="F98" s="137">
        <f>IFERROR(__xludf.DUMMYFUNCTION("""COMPUTED_VALUE"""),0.36458333333575865)</f>
        <v>0.3645833333</v>
      </c>
      <c r="G98" s="82">
        <f>IFERROR(__xludf.DUMMYFUNCTION("""COMPUTED_VALUE"""),0.0729166666715173)</f>
        <v>0.07291666667</v>
      </c>
      <c r="H98" s="74">
        <f>IFERROR(__xludf.DUMMYFUNCTION("""COMPUTED_VALUE"""),16.0)</f>
        <v>16</v>
      </c>
      <c r="I98" s="84">
        <f>IFERROR(__xludf.DUMMYFUNCTION("""COMPUTED_VALUE"""),9.142857142248932)</f>
        <v>9.142857142</v>
      </c>
      <c r="J98" s="74" t="str">
        <f>IFERROR(__xludf.DUMMYFUNCTION("""COMPUTED_VALUE"""),"Breakfast")</f>
        <v>Breakfast</v>
      </c>
      <c r="K98" s="113">
        <f>IFERROR(__xludf.DUMMYFUNCTION("""COMPUTED_VALUE"""),46072.0)</f>
        <v>46072</v>
      </c>
      <c r="L98" s="74" t="str">
        <f>IFERROR(__xludf.DUMMYFUNCTION("""COMPUTED_VALUE"""),"Thursday")</f>
        <v>Thursday</v>
      </c>
      <c r="M98" s="74" t="str">
        <f>IFERROR(__xludf.DUMMYFUNCTION("""COMPUTED_VALUE"""),"BF")</f>
        <v>BF</v>
      </c>
      <c r="N98" s="114">
        <f>IFERROR(__xludf.DUMMYFUNCTION("""COMPUTED_VALUE"""),0.32249198349416547)</f>
        <v>0.3224919835</v>
      </c>
      <c r="O98" s="74" t="str">
        <f>IFERROR(__xludf.DUMMYFUNCTION("""COMPUTED_VALUE"""),"")</f>
        <v/>
      </c>
      <c r="P98" s="74" t="str">
        <f>IFERROR(__xludf.DUMMYFUNCTION("""COMPUTED_VALUE"""),"")</f>
        <v/>
      </c>
      <c r="Q98" s="82" t="str">
        <f>IFERROR(__xludf.DUMMYFUNCTION("""COMPUTED_VALUE"""),"")</f>
        <v/>
      </c>
      <c r="R98" s="82" t="str">
        <f>IFERROR(__xludf.DUMMYFUNCTION("""COMPUTED_VALUE"""),"")</f>
        <v/>
      </c>
      <c r="S98" s="84" t="str">
        <f>IFERROR(__xludf.DUMMYFUNCTION("""COMPUTED_VALUE"""),"")</f>
        <v/>
      </c>
      <c r="T98" s="84" t="str">
        <f>IFERROR(__xludf.DUMMYFUNCTION("""COMPUTED_VALUE"""),"")</f>
        <v/>
      </c>
      <c r="U98" s="74" t="str">
        <f>IFERROR(__xludf.DUMMYFUNCTION("""COMPUTED_VALUE"""),"")</f>
        <v/>
      </c>
      <c r="V98" s="82" t="str">
        <f>IFERROR(__xludf.DUMMYFUNCTION("""COMPUTED_VALUE"""),"")</f>
        <v/>
      </c>
      <c r="W98" s="64" t="str">
        <f>IFERROR(__xludf.DUMMYFUNCTION("""COMPUTED_VALUE"""),"")</f>
        <v/>
      </c>
      <c r="X98" s="84" t="str">
        <f>IFERROR(__xludf.DUMMYFUNCTION("""COMPUTED_VALUE"""),"")</f>
        <v/>
      </c>
      <c r="Y98" s="114" t="str">
        <f>IFERROR(__xludf.DUMMYFUNCTION("""COMPUTED_VALUE"""),"")</f>
        <v/>
      </c>
    </row>
    <row r="99">
      <c r="A99" s="109">
        <f>IFERROR(__xludf.DUMMYFUNCTION("""COMPUTED_VALUE"""),46072.4230256713)</f>
        <v>46072.42303</v>
      </c>
      <c r="B99" s="81" t="str">
        <f>IFERROR(__xludf.DUMMYFUNCTION("""COMPUTED_VALUE"""),"Sophia Kluck")</f>
        <v>Sophia Kluck</v>
      </c>
      <c r="C99" s="74" t="b">
        <f>IFERROR(__xludf.DUMMYFUNCTION("""COMPUTED_VALUE"""),FALSE)</f>
        <v>0</v>
      </c>
      <c r="D99" s="137">
        <f>IFERROR(__xludf.DUMMYFUNCTION("""COMPUTED_VALUE"""),0.36458333333575865)</f>
        <v>0.3645833333</v>
      </c>
      <c r="E99" s="82">
        <f>IFERROR(__xludf.DUMMYFUNCTION("""COMPUTED_VALUE"""),0.05277777777519077)</f>
        <v>0.05277777778</v>
      </c>
      <c r="F99" s="137">
        <f>IFERROR(__xludf.DUMMYFUNCTION("""COMPUTED_VALUE"""),0.4173611111109494)</f>
        <v>0.4173611111</v>
      </c>
      <c r="G99" s="82">
        <f>IFERROR(__xludf.DUMMYFUNCTION("""COMPUTED_VALUE"""),0.10763888888322981)</f>
        <v>0.1076388889</v>
      </c>
      <c r="H99" s="74">
        <f>IFERROR(__xludf.DUMMYFUNCTION("""COMPUTED_VALUE"""),64.0)</f>
        <v>64</v>
      </c>
      <c r="I99" s="84">
        <f>IFERROR(__xludf.DUMMYFUNCTION("""COMPUTED_VALUE"""),45.29032258302628)</f>
        <v>45.29032258</v>
      </c>
      <c r="J99" s="74" t="str">
        <f>IFERROR(__xludf.DUMMYFUNCTION("""COMPUTED_VALUE"""),"Breakfast")</f>
        <v>Breakfast</v>
      </c>
      <c r="K99" s="113">
        <f>IFERROR(__xludf.DUMMYFUNCTION("""COMPUTED_VALUE"""),46072.0)</f>
        <v>46072</v>
      </c>
      <c r="L99" s="74" t="str">
        <f>IFERROR(__xludf.DUMMYFUNCTION("""COMPUTED_VALUE"""),"Thursday")</f>
        <v>Thursday</v>
      </c>
      <c r="M99" s="74" t="str">
        <f>IFERROR(__xludf.DUMMYFUNCTION("""COMPUTED_VALUE"""),"BF")</f>
        <v>BF</v>
      </c>
      <c r="N99" s="114">
        <f>IFERROR(__xludf.DUMMYFUNCTION("""COMPUTED_VALUE"""),1.5975056522974458)</f>
        <v>1.597505652</v>
      </c>
      <c r="O99" s="74" t="str">
        <f>IFERROR(__xludf.DUMMYFUNCTION("""COMPUTED_VALUE"""),"")</f>
        <v/>
      </c>
      <c r="P99" s="74" t="str">
        <f>IFERROR(__xludf.DUMMYFUNCTION("""COMPUTED_VALUE"""),"")</f>
        <v/>
      </c>
      <c r="Q99" s="82" t="str">
        <f>IFERROR(__xludf.DUMMYFUNCTION("""COMPUTED_VALUE"""),"")</f>
        <v/>
      </c>
      <c r="R99" s="82" t="str">
        <f>IFERROR(__xludf.DUMMYFUNCTION("""COMPUTED_VALUE"""),"")</f>
        <v/>
      </c>
      <c r="S99" s="84" t="str">
        <f>IFERROR(__xludf.DUMMYFUNCTION("""COMPUTED_VALUE"""),"")</f>
        <v/>
      </c>
      <c r="T99" s="84" t="str">
        <f>IFERROR(__xludf.DUMMYFUNCTION("""COMPUTED_VALUE"""),"")</f>
        <v/>
      </c>
      <c r="U99" s="74" t="str">
        <f>IFERROR(__xludf.DUMMYFUNCTION("""COMPUTED_VALUE"""),"")</f>
        <v/>
      </c>
      <c r="V99" s="82" t="str">
        <f>IFERROR(__xludf.DUMMYFUNCTION("""COMPUTED_VALUE"""),"")</f>
        <v/>
      </c>
      <c r="W99" s="64" t="str">
        <f>IFERROR(__xludf.DUMMYFUNCTION("""COMPUTED_VALUE"""),"")</f>
        <v/>
      </c>
      <c r="X99" s="84" t="str">
        <f>IFERROR(__xludf.DUMMYFUNCTION("""COMPUTED_VALUE"""),"")</f>
        <v/>
      </c>
      <c r="Y99" s="114" t="str">
        <f>IFERROR(__xludf.DUMMYFUNCTION("""COMPUTED_VALUE"""),"")</f>
        <v/>
      </c>
    </row>
    <row r="100">
      <c r="A100" s="109">
        <f>IFERROR(__xludf.DUMMYFUNCTION("""COMPUTED_VALUE"""),46072.48012951389)</f>
        <v>46072.48013</v>
      </c>
      <c r="B100" s="81" t="str">
        <f>IFERROR(__xludf.DUMMYFUNCTION("""COMPUTED_VALUE"""),"Sophia Kluck")</f>
        <v>Sophia Kluck</v>
      </c>
      <c r="C100" s="74" t="b">
        <f>IFERROR(__xludf.DUMMYFUNCTION("""COMPUTED_VALUE"""),TRUE)</f>
        <v>1</v>
      </c>
      <c r="D100" s="137">
        <f>IFERROR(__xludf.DUMMYFUNCTION("""COMPUTED_VALUE"""),0.42013888889050577)</f>
        <v>0.4201388889</v>
      </c>
      <c r="E100" s="82">
        <f>IFERROR(__xludf.DUMMYFUNCTION("""COMPUTED_VALUE"""),0.05486111110803904)</f>
        <v>0.05486111111</v>
      </c>
      <c r="F100" s="137">
        <f>IFERROR(__xludf.DUMMYFUNCTION("""COMPUTED_VALUE"""),0.4749999999985448)</f>
        <v>0.475</v>
      </c>
      <c r="G100" s="82" t="str">
        <f>IFERROR(__xludf.DUMMYFUNCTION("""COMPUTED_VALUE"""),"")</f>
        <v/>
      </c>
      <c r="H100" s="74">
        <f>IFERROR(__xludf.DUMMYFUNCTION("""COMPUTED_VALUE"""),53.0)</f>
        <v>53</v>
      </c>
      <c r="I100" s="84" t="str">
        <f>IFERROR(__xludf.DUMMYFUNCTION("""COMPUTED_VALUE"""),"")</f>
        <v/>
      </c>
      <c r="J100" s="74" t="str">
        <f>IFERROR(__xludf.DUMMYFUNCTION("""COMPUTED_VALUE"""),"Breakfast/Lunch")</f>
        <v>Breakfast/Lunch</v>
      </c>
      <c r="K100" s="113">
        <f>IFERROR(__xludf.DUMMYFUNCTION("""COMPUTED_VALUE"""),46072.0)</f>
        <v>46072</v>
      </c>
      <c r="L100" s="74" t="str">
        <f>IFERROR(__xludf.DUMMYFUNCTION("""COMPUTED_VALUE"""),"Thursday")</f>
        <v>Thursday</v>
      </c>
      <c r="M100" s="74" t="str">
        <f>IFERROR(__xludf.DUMMYFUNCTION("""COMPUTED_VALUE"""),"BF")</f>
        <v>BF</v>
      </c>
      <c r="N100" s="114" t="str">
        <f>IFERROR(__xludf.DUMMYFUNCTION("""COMPUTED_VALUE"""),"")</f>
        <v/>
      </c>
      <c r="O100" s="74" t="str">
        <f>IFERROR(__xludf.DUMMYFUNCTION("""COMPUTED_VALUE"""),"")</f>
        <v/>
      </c>
      <c r="P100" s="74" t="str">
        <f>IFERROR(__xludf.DUMMYFUNCTION("""COMPUTED_VALUE"""),"")</f>
        <v/>
      </c>
      <c r="Q100" s="82" t="str">
        <f>IFERROR(__xludf.DUMMYFUNCTION("""COMPUTED_VALUE"""),"")</f>
        <v/>
      </c>
      <c r="R100" s="82" t="str">
        <f>IFERROR(__xludf.DUMMYFUNCTION("""COMPUTED_VALUE"""),"")</f>
        <v/>
      </c>
      <c r="S100" s="84" t="str">
        <f>IFERROR(__xludf.DUMMYFUNCTION("""COMPUTED_VALUE"""),"")</f>
        <v/>
      </c>
      <c r="T100" s="84" t="str">
        <f>IFERROR(__xludf.DUMMYFUNCTION("""COMPUTED_VALUE"""),"")</f>
        <v/>
      </c>
      <c r="U100" s="74" t="str">
        <f>IFERROR(__xludf.DUMMYFUNCTION("""COMPUTED_VALUE"""),"")</f>
        <v/>
      </c>
      <c r="V100" s="82" t="str">
        <f>IFERROR(__xludf.DUMMYFUNCTION("""COMPUTED_VALUE"""),"")</f>
        <v/>
      </c>
      <c r="W100" s="64" t="str">
        <f>IFERROR(__xludf.DUMMYFUNCTION("""COMPUTED_VALUE"""),"")</f>
        <v/>
      </c>
      <c r="X100" s="84" t="str">
        <f>IFERROR(__xludf.DUMMYFUNCTION("""COMPUTED_VALUE"""),"")</f>
        <v/>
      </c>
      <c r="Y100" s="114" t="str">
        <f>IFERROR(__xludf.DUMMYFUNCTION("""COMPUTED_VALUE"""),"")</f>
        <v/>
      </c>
    </row>
    <row r="101">
      <c r="A101" s="109">
        <f>IFERROR(__xludf.DUMMYFUNCTION("""COMPUTED_VALUE"""),46072.52297233796)</f>
        <v>46072.52297</v>
      </c>
      <c r="B101" s="81" t="str">
        <f>IFERROR(__xludf.DUMMYFUNCTION("""COMPUTED_VALUE"""),"Emmett Khan")</f>
        <v>Emmett Khan</v>
      </c>
      <c r="C101" s="74" t="b">
        <f>IFERROR(__xludf.DUMMYFUNCTION("""COMPUTED_VALUE"""),FALSE)</f>
        <v>0</v>
      </c>
      <c r="D101" s="137">
        <f>IFERROR(__xludf.DUMMYFUNCTION("""COMPUTED_VALUE"""),0.47916666666424135)</f>
        <v>0.4791666667</v>
      </c>
      <c r="E101" s="82">
        <f>IFERROR(__xludf.DUMMYFUNCTION("""COMPUTED_VALUE"""),0.05208333333575865)</f>
        <v>0.05208333334</v>
      </c>
      <c r="F101" s="137">
        <f>IFERROR(__xludf.DUMMYFUNCTION("""COMPUTED_VALUE"""),0.53125)</f>
        <v>0.53125</v>
      </c>
      <c r="G101" s="82">
        <f>IFERROR(__xludf.DUMMYFUNCTION("""COMPUTED_VALUE"""),0.05208333333575865)</f>
        <v>0.05208333334</v>
      </c>
      <c r="H101" s="74">
        <f>IFERROR(__xludf.DUMMYFUNCTION("""COMPUTED_VALUE"""),36.0)</f>
        <v>36</v>
      </c>
      <c r="I101" s="84">
        <f>IFERROR(__xludf.DUMMYFUNCTION("""COMPUTED_VALUE"""),28.799999998658894)</f>
        <v>28.8</v>
      </c>
      <c r="J101" s="74" t="str">
        <f>IFERROR(__xludf.DUMMYFUNCTION("""COMPUTED_VALUE"""),"Lunch")</f>
        <v>Lunch</v>
      </c>
      <c r="K101" s="113">
        <f>IFERROR(__xludf.DUMMYFUNCTION("""COMPUTED_VALUE"""),46072.0)</f>
        <v>46072</v>
      </c>
      <c r="L101" s="74" t="str">
        <f>IFERROR(__xludf.DUMMYFUNCTION("""COMPUTED_VALUE"""),"Thursday")</f>
        <v>Thursday</v>
      </c>
      <c r="M101" s="74" t="str">
        <f>IFERROR(__xludf.DUMMYFUNCTION("""COMPUTED_VALUE"""),"MF")</f>
        <v>MF</v>
      </c>
      <c r="N101" s="114">
        <f>IFERROR(__xludf.DUMMYFUNCTION("""COMPUTED_VALUE"""),0.5728209086333865)</f>
        <v>0.5728209086</v>
      </c>
      <c r="O101" s="74" t="str">
        <f>IFERROR(__xludf.DUMMYFUNCTION("""COMPUTED_VALUE"""),"")</f>
        <v/>
      </c>
      <c r="P101" s="74" t="str">
        <f>IFERROR(__xludf.DUMMYFUNCTION("""COMPUTED_VALUE"""),"")</f>
        <v/>
      </c>
      <c r="Q101" s="82" t="str">
        <f>IFERROR(__xludf.DUMMYFUNCTION("""COMPUTED_VALUE"""),"")</f>
        <v/>
      </c>
      <c r="R101" s="82" t="str">
        <f>IFERROR(__xludf.DUMMYFUNCTION("""COMPUTED_VALUE"""),"")</f>
        <v/>
      </c>
      <c r="S101" s="84" t="str">
        <f>IFERROR(__xludf.DUMMYFUNCTION("""COMPUTED_VALUE"""),"")</f>
        <v/>
      </c>
      <c r="T101" s="84" t="str">
        <f>IFERROR(__xludf.DUMMYFUNCTION("""COMPUTED_VALUE"""),"")</f>
        <v/>
      </c>
      <c r="U101" s="74" t="str">
        <f>IFERROR(__xludf.DUMMYFUNCTION("""COMPUTED_VALUE"""),"")</f>
        <v/>
      </c>
      <c r="V101" s="82" t="str">
        <f>IFERROR(__xludf.DUMMYFUNCTION("""COMPUTED_VALUE"""),"")</f>
        <v/>
      </c>
      <c r="W101" s="64" t="str">
        <f>IFERROR(__xludf.DUMMYFUNCTION("""COMPUTED_VALUE"""),"")</f>
        <v/>
      </c>
      <c r="X101" s="84" t="str">
        <f>IFERROR(__xludf.DUMMYFUNCTION("""COMPUTED_VALUE"""),"")</f>
        <v/>
      </c>
      <c r="Y101" s="114" t="str">
        <f>IFERROR(__xludf.DUMMYFUNCTION("""COMPUTED_VALUE"""),"")</f>
        <v/>
      </c>
    </row>
    <row r="102">
      <c r="A102" s="109">
        <f>IFERROR(__xludf.DUMMYFUNCTION("""COMPUTED_VALUE"""),46072.54057175926)</f>
        <v>46072.54057</v>
      </c>
      <c r="B102" s="81" t="str">
        <f>IFERROR(__xludf.DUMMYFUNCTION("""COMPUTED_VALUE"""),"Kyra Turner")</f>
        <v>Kyra Turner</v>
      </c>
      <c r="C102" s="74" t="b">
        <f>IFERROR(__xludf.DUMMYFUNCTION("""COMPUTED_VALUE"""),FALSE)</f>
        <v>0</v>
      </c>
      <c r="D102" s="137">
        <f>IFERROR(__xludf.DUMMYFUNCTION("""COMPUTED_VALUE"""),0.5034722222189885)</f>
        <v>0.5034722222</v>
      </c>
      <c r="E102" s="82">
        <f>IFERROR(__xludf.DUMMYFUNCTION("""COMPUTED_VALUE"""),0.03333333334012423)</f>
        <v>0.03333333334</v>
      </c>
      <c r="F102" s="137">
        <f>IFERROR(__xludf.DUMMYFUNCTION("""COMPUTED_VALUE"""),0.5368055555591127)</f>
        <v>0.5368055556</v>
      </c>
      <c r="G102" s="82">
        <f>IFERROR(__xludf.DUMMYFUNCTION("""COMPUTED_VALUE"""),0.1263888889006921)</f>
        <v>0.1263888889</v>
      </c>
      <c r="H102" s="74">
        <f>IFERROR(__xludf.DUMMYFUNCTION("""COMPUTED_VALUE"""),42.0)</f>
        <v>42</v>
      </c>
      <c r="I102" s="84">
        <f>IFERROR(__xludf.DUMMYFUNCTION("""COMPUTED_VALUE"""),41.2087912049428)</f>
        <v>41.2087912</v>
      </c>
      <c r="J102" s="74" t="str">
        <f>IFERROR(__xludf.DUMMYFUNCTION("""COMPUTED_VALUE"""),"Lunch")</f>
        <v>Lunch</v>
      </c>
      <c r="K102" s="113">
        <f>IFERROR(__xludf.DUMMYFUNCTION("""COMPUTED_VALUE"""),46072.0)</f>
        <v>46072</v>
      </c>
      <c r="L102" s="74" t="str">
        <f>IFERROR(__xludf.DUMMYFUNCTION("""COMPUTED_VALUE"""),"Thursday")</f>
        <v>Thursday</v>
      </c>
      <c r="M102" s="74" t="str">
        <f>IFERROR(__xludf.DUMMYFUNCTION("""COMPUTED_VALUE"""),"BF")</f>
        <v>BF</v>
      </c>
      <c r="N102" s="114">
        <f>IFERROR(__xludf.DUMMYFUNCTION("""COMPUTED_VALUE"""),1.4535395890272012)</f>
        <v>1.453539589</v>
      </c>
      <c r="O102" s="74" t="str">
        <f>IFERROR(__xludf.DUMMYFUNCTION("""COMPUTED_VALUE"""),"")</f>
        <v/>
      </c>
      <c r="P102" s="74" t="str">
        <f>IFERROR(__xludf.DUMMYFUNCTION("""COMPUTED_VALUE"""),"")</f>
        <v/>
      </c>
      <c r="Q102" s="82" t="str">
        <f>IFERROR(__xludf.DUMMYFUNCTION("""COMPUTED_VALUE"""),"")</f>
        <v/>
      </c>
      <c r="R102" s="82" t="str">
        <f>IFERROR(__xludf.DUMMYFUNCTION("""COMPUTED_VALUE"""),"")</f>
        <v/>
      </c>
      <c r="S102" s="84" t="str">
        <f>IFERROR(__xludf.DUMMYFUNCTION("""COMPUTED_VALUE"""),"")</f>
        <v/>
      </c>
      <c r="T102" s="84" t="str">
        <f>IFERROR(__xludf.DUMMYFUNCTION("""COMPUTED_VALUE"""),"")</f>
        <v/>
      </c>
      <c r="U102" s="74" t="str">
        <f>IFERROR(__xludf.DUMMYFUNCTION("""COMPUTED_VALUE"""),"")</f>
        <v/>
      </c>
      <c r="V102" s="82" t="str">
        <f>IFERROR(__xludf.DUMMYFUNCTION("""COMPUTED_VALUE"""),"")</f>
        <v/>
      </c>
      <c r="W102" s="64" t="str">
        <f>IFERROR(__xludf.DUMMYFUNCTION("""COMPUTED_VALUE"""),"")</f>
        <v/>
      </c>
      <c r="X102" s="84" t="str">
        <f>IFERROR(__xludf.DUMMYFUNCTION("""COMPUTED_VALUE"""),"")</f>
        <v/>
      </c>
      <c r="Y102" s="114" t="str">
        <f>IFERROR(__xludf.DUMMYFUNCTION("""COMPUTED_VALUE"""),"")</f>
        <v/>
      </c>
    </row>
    <row r="103">
      <c r="A103" s="109">
        <f>IFERROR(__xludf.DUMMYFUNCTION("""COMPUTED_VALUE"""),46072.57008070602)</f>
        <v>46072.57008</v>
      </c>
      <c r="B103" s="81" t="str">
        <f>IFERROR(__xludf.DUMMYFUNCTION("""COMPUTED_VALUE"""),"Kyra Turner")</f>
        <v>Kyra Turner</v>
      </c>
      <c r="C103" s="74" t="b">
        <f>IFERROR(__xludf.DUMMYFUNCTION("""COMPUTED_VALUE"""),TRUE)</f>
        <v>1</v>
      </c>
      <c r="D103" s="137">
        <f>IFERROR(__xludf.DUMMYFUNCTION("""COMPUTED_VALUE"""),0.538888888884685)</f>
        <v>0.5388888889</v>
      </c>
      <c r="E103" s="82">
        <f>IFERROR(__xludf.DUMMYFUNCTION("""COMPUTED_VALUE"""),0.030555555560567882)</f>
        <v>0.03055555556</v>
      </c>
      <c r="F103" s="137">
        <f>IFERROR(__xludf.DUMMYFUNCTION("""COMPUTED_VALUE"""),0.5694444444452529)</f>
        <v>0.5694444444</v>
      </c>
      <c r="G103" s="82" t="str">
        <f>IFERROR(__xludf.DUMMYFUNCTION("""COMPUTED_VALUE"""),"")</f>
        <v/>
      </c>
      <c r="H103" s="74">
        <f>IFERROR(__xludf.DUMMYFUNCTION("""COMPUTED_VALUE"""),37.0)</f>
        <v>37</v>
      </c>
      <c r="I103" s="84" t="str">
        <f>IFERROR(__xludf.DUMMYFUNCTION("""COMPUTED_VALUE"""),"")</f>
        <v/>
      </c>
      <c r="J103" s="74" t="str">
        <f>IFERROR(__xludf.DUMMYFUNCTION("""COMPUTED_VALUE"""),"Lunch")</f>
        <v>Lunch</v>
      </c>
      <c r="K103" s="113">
        <f>IFERROR(__xludf.DUMMYFUNCTION("""COMPUTED_VALUE"""),46072.0)</f>
        <v>46072</v>
      </c>
      <c r="L103" s="74" t="str">
        <f>IFERROR(__xludf.DUMMYFUNCTION("""COMPUTED_VALUE"""),"Thursday")</f>
        <v>Thursday</v>
      </c>
      <c r="M103" s="74" t="str">
        <f>IFERROR(__xludf.DUMMYFUNCTION("""COMPUTED_VALUE"""),"BF")</f>
        <v>BF</v>
      </c>
      <c r="N103" s="114" t="str">
        <f>IFERROR(__xludf.DUMMYFUNCTION("""COMPUTED_VALUE"""),"")</f>
        <v/>
      </c>
      <c r="O103" s="74" t="str">
        <f>IFERROR(__xludf.DUMMYFUNCTION("""COMPUTED_VALUE"""),"")</f>
        <v/>
      </c>
      <c r="P103" s="74" t="str">
        <f>IFERROR(__xludf.DUMMYFUNCTION("""COMPUTED_VALUE"""),"")</f>
        <v/>
      </c>
      <c r="Q103" s="82" t="str">
        <f>IFERROR(__xludf.DUMMYFUNCTION("""COMPUTED_VALUE"""),"")</f>
        <v/>
      </c>
      <c r="R103" s="82" t="str">
        <f>IFERROR(__xludf.DUMMYFUNCTION("""COMPUTED_VALUE"""),"")</f>
        <v/>
      </c>
      <c r="S103" s="84" t="str">
        <f>IFERROR(__xludf.DUMMYFUNCTION("""COMPUTED_VALUE"""),"")</f>
        <v/>
      </c>
      <c r="T103" s="84" t="str">
        <f>IFERROR(__xludf.DUMMYFUNCTION("""COMPUTED_VALUE"""),"")</f>
        <v/>
      </c>
      <c r="U103" s="74" t="str">
        <f>IFERROR(__xludf.DUMMYFUNCTION("""COMPUTED_VALUE"""),"")</f>
        <v/>
      </c>
      <c r="V103" s="82" t="str">
        <f>IFERROR(__xludf.DUMMYFUNCTION("""COMPUTED_VALUE"""),"")</f>
        <v/>
      </c>
      <c r="W103" s="64" t="str">
        <f>IFERROR(__xludf.DUMMYFUNCTION("""COMPUTED_VALUE"""),"")</f>
        <v/>
      </c>
      <c r="X103" s="84" t="str">
        <f>IFERROR(__xludf.DUMMYFUNCTION("""COMPUTED_VALUE"""),"")</f>
        <v/>
      </c>
      <c r="Y103" s="114" t="str">
        <f>IFERROR(__xludf.DUMMYFUNCTION("""COMPUTED_VALUE"""),"")</f>
        <v/>
      </c>
    </row>
    <row r="104">
      <c r="A104" s="109">
        <f>IFERROR(__xludf.DUMMYFUNCTION("""COMPUTED_VALUE"""),46072.64471570602)</f>
        <v>46072.64472</v>
      </c>
      <c r="B104" s="81" t="str">
        <f>IFERROR(__xludf.DUMMYFUNCTION("""COMPUTED_VALUE"""),"Kyra Turner")</f>
        <v>Kyra Turner</v>
      </c>
      <c r="C104" s="74" t="b">
        <f>IFERROR(__xludf.DUMMYFUNCTION("""COMPUTED_VALUE"""),TRUE)</f>
        <v>1</v>
      </c>
      <c r="D104" s="137">
        <f>IFERROR(__xludf.DUMMYFUNCTION("""COMPUTED_VALUE"""),0.5819444444423425)</f>
        <v>0.5819444444</v>
      </c>
      <c r="E104" s="82">
        <f>IFERROR(__xludf.DUMMYFUNCTION("""COMPUTED_VALUE"""),0.0625)</f>
        <v>0.0625</v>
      </c>
      <c r="F104" s="137">
        <f>IFERROR(__xludf.DUMMYFUNCTION("""COMPUTED_VALUE"""),0.6444444444423425)</f>
        <v>0.6444444444</v>
      </c>
      <c r="G104" s="82" t="str">
        <f>IFERROR(__xludf.DUMMYFUNCTION("""COMPUTED_VALUE"""),"")</f>
        <v/>
      </c>
      <c r="H104" s="74">
        <f>IFERROR(__xludf.DUMMYFUNCTION("""COMPUTED_VALUE"""),46.0)</f>
        <v>46</v>
      </c>
      <c r="I104" s="84" t="str">
        <f>IFERROR(__xludf.DUMMYFUNCTION("""COMPUTED_VALUE"""),"")</f>
        <v/>
      </c>
      <c r="J104" s="74" t="str">
        <f>IFERROR(__xludf.DUMMYFUNCTION("""COMPUTED_VALUE"""),"Lunch")</f>
        <v>Lunch</v>
      </c>
      <c r="K104" s="113">
        <f>IFERROR(__xludf.DUMMYFUNCTION("""COMPUTED_VALUE"""),46072.0)</f>
        <v>46072</v>
      </c>
      <c r="L104" s="74" t="str">
        <f>IFERROR(__xludf.DUMMYFUNCTION("""COMPUTED_VALUE"""),"Thursday")</f>
        <v>Thursday</v>
      </c>
      <c r="M104" s="74" t="str">
        <f>IFERROR(__xludf.DUMMYFUNCTION("""COMPUTED_VALUE"""),"BF")</f>
        <v>BF</v>
      </c>
      <c r="N104" s="114" t="str">
        <f>IFERROR(__xludf.DUMMYFUNCTION("""COMPUTED_VALUE"""),"")</f>
        <v/>
      </c>
      <c r="O104" s="74" t="str">
        <f>IFERROR(__xludf.DUMMYFUNCTION("""COMPUTED_VALUE"""),"")</f>
        <v/>
      </c>
      <c r="P104" s="74" t="str">
        <f>IFERROR(__xludf.DUMMYFUNCTION("""COMPUTED_VALUE"""),"")</f>
        <v/>
      </c>
      <c r="Q104" s="82" t="str">
        <f>IFERROR(__xludf.DUMMYFUNCTION("""COMPUTED_VALUE"""),"")</f>
        <v/>
      </c>
      <c r="R104" s="82" t="str">
        <f>IFERROR(__xludf.DUMMYFUNCTION("""COMPUTED_VALUE"""),"")</f>
        <v/>
      </c>
      <c r="S104" s="84" t="str">
        <f>IFERROR(__xludf.DUMMYFUNCTION("""COMPUTED_VALUE"""),"")</f>
        <v/>
      </c>
      <c r="T104" s="84" t="str">
        <f>IFERROR(__xludf.DUMMYFUNCTION("""COMPUTED_VALUE"""),"")</f>
        <v/>
      </c>
      <c r="U104" s="74" t="str">
        <f>IFERROR(__xludf.DUMMYFUNCTION("""COMPUTED_VALUE"""),"")</f>
        <v/>
      </c>
      <c r="V104" s="82" t="str">
        <f>IFERROR(__xludf.DUMMYFUNCTION("""COMPUTED_VALUE"""),"")</f>
        <v/>
      </c>
      <c r="W104" s="64" t="str">
        <f>IFERROR(__xludf.DUMMYFUNCTION("""COMPUTED_VALUE"""),"")</f>
        <v/>
      </c>
      <c r="X104" s="84" t="str">
        <f>IFERROR(__xludf.DUMMYFUNCTION("""COMPUTED_VALUE"""),"")</f>
        <v/>
      </c>
      <c r="Y104" s="114" t="str">
        <f>IFERROR(__xludf.DUMMYFUNCTION("""COMPUTED_VALUE"""),"")</f>
        <v/>
      </c>
    </row>
    <row r="105">
      <c r="A105" s="109">
        <f>IFERROR(__xludf.DUMMYFUNCTION("""COMPUTED_VALUE"""),46072.79366790509)</f>
        <v>46072.79367</v>
      </c>
      <c r="B105" s="81" t="str">
        <f>IFERROR(__xludf.DUMMYFUNCTION("""COMPUTED_VALUE"""),"Emmett Khan")</f>
        <v>Emmett Khan</v>
      </c>
      <c r="C105" s="74" t="b">
        <f>IFERROR(__xludf.DUMMYFUNCTION("""COMPUTED_VALUE"""),FALSE)</f>
        <v>0</v>
      </c>
      <c r="D105" s="137">
        <f>IFERROR(__xludf.DUMMYFUNCTION("""COMPUTED_VALUE"""),0.7083333333357587)</f>
        <v>0.7083333333</v>
      </c>
      <c r="E105" s="82">
        <f>IFERROR(__xludf.DUMMYFUNCTION("""COMPUTED_VALUE"""),0.0625)</f>
        <v>0.0625</v>
      </c>
      <c r="F105" s="137">
        <f>IFERROR(__xludf.DUMMYFUNCTION("""COMPUTED_VALUE"""),0.7708333333357587)</f>
        <v>0.7708333333</v>
      </c>
      <c r="G105" s="82">
        <f>IFERROR(__xludf.DUMMYFUNCTION("""COMPUTED_VALUE"""),0.09027777778101154)</f>
        <v>0.09027777778</v>
      </c>
      <c r="H105" s="74">
        <f>IFERROR(__xludf.DUMMYFUNCTION("""COMPUTED_VALUE"""),306.0)</f>
        <v>306</v>
      </c>
      <c r="I105" s="84">
        <f>IFERROR(__xludf.DUMMYFUNCTION("""COMPUTED_VALUE"""),178.15384614746466)</f>
        <v>178.1538461</v>
      </c>
      <c r="J105" s="74" t="str">
        <f>IFERROR(__xludf.DUMMYFUNCTION("""COMPUTED_VALUE"""),"Dinner")</f>
        <v>Dinner</v>
      </c>
      <c r="K105" s="113">
        <f>IFERROR(__xludf.DUMMYFUNCTION("""COMPUTED_VALUE"""),46072.0)</f>
        <v>46072</v>
      </c>
      <c r="L105" s="74" t="str">
        <f>IFERROR(__xludf.DUMMYFUNCTION("""COMPUTED_VALUE"""),"Thursday")</f>
        <v>Thursday</v>
      </c>
      <c r="M105" s="74" t="str">
        <f>IFERROR(__xludf.DUMMYFUNCTION("""COMPUTED_VALUE"""),"MF")</f>
        <v>MF</v>
      </c>
      <c r="N105" s="114">
        <f>IFERROR(__xludf.DUMMYFUNCTION("""COMPUTED_VALUE"""),3.8412047371596363)</f>
        <v>3.841204737</v>
      </c>
      <c r="O105" s="74" t="str">
        <f>IFERROR(__xludf.DUMMYFUNCTION("""COMPUTED_VALUE"""),"")</f>
        <v/>
      </c>
      <c r="P105" s="74" t="str">
        <f>IFERROR(__xludf.DUMMYFUNCTION("""COMPUTED_VALUE"""),"")</f>
        <v/>
      </c>
      <c r="Q105" s="82" t="str">
        <f>IFERROR(__xludf.DUMMYFUNCTION("""COMPUTED_VALUE"""),"")</f>
        <v/>
      </c>
      <c r="R105" s="82" t="str">
        <f>IFERROR(__xludf.DUMMYFUNCTION("""COMPUTED_VALUE"""),"")</f>
        <v/>
      </c>
      <c r="S105" s="84" t="str">
        <f>IFERROR(__xludf.DUMMYFUNCTION("""COMPUTED_VALUE"""),"")</f>
        <v/>
      </c>
      <c r="T105" s="84" t="str">
        <f>IFERROR(__xludf.DUMMYFUNCTION("""COMPUTED_VALUE"""),"")</f>
        <v/>
      </c>
      <c r="U105" s="74" t="str">
        <f>IFERROR(__xludf.DUMMYFUNCTION("""COMPUTED_VALUE"""),"")</f>
        <v/>
      </c>
      <c r="V105" s="82" t="str">
        <f>IFERROR(__xludf.DUMMYFUNCTION("""COMPUTED_VALUE"""),"")</f>
        <v/>
      </c>
      <c r="W105" s="64" t="str">
        <f>IFERROR(__xludf.DUMMYFUNCTION("""COMPUTED_VALUE"""),"")</f>
        <v/>
      </c>
      <c r="X105" s="84" t="str">
        <f>IFERROR(__xludf.DUMMYFUNCTION("""COMPUTED_VALUE"""),"")</f>
        <v/>
      </c>
      <c r="Y105" s="114" t="str">
        <f>IFERROR(__xludf.DUMMYFUNCTION("""COMPUTED_VALUE"""),"")</f>
        <v/>
      </c>
    </row>
    <row r="106">
      <c r="A106" s="109">
        <f>IFERROR(__xludf.DUMMYFUNCTION("""COMPUTED_VALUE"""),46072.794255659726)</f>
        <v>46072.79426</v>
      </c>
      <c r="B106" s="81" t="str">
        <f>IFERROR(__xludf.DUMMYFUNCTION("""COMPUTED_VALUE"""),"Emmett Khan")</f>
        <v>Emmett Khan</v>
      </c>
      <c r="C106" s="74" t="b">
        <f>IFERROR(__xludf.DUMMYFUNCTION("""COMPUTED_VALUE"""),TRUE)</f>
        <v>1</v>
      </c>
      <c r="D106" s="137">
        <f>IFERROR(__xludf.DUMMYFUNCTION("""COMPUTED_VALUE"""),0.7604166666642413)</f>
        <v>0.7604166667</v>
      </c>
      <c r="E106" s="82">
        <f>IFERROR(__xludf.DUMMYFUNCTION("""COMPUTED_VALUE"""),0.027777777781011537)</f>
        <v>0.02777777778</v>
      </c>
      <c r="F106" s="137">
        <f>IFERROR(__xludf.DUMMYFUNCTION("""COMPUTED_VALUE"""),0.7881944444452529)</f>
        <v>0.7881944444</v>
      </c>
      <c r="G106" s="82" t="str">
        <f>IFERROR(__xludf.DUMMYFUNCTION("""COMPUTED_VALUE"""),"")</f>
        <v/>
      </c>
      <c r="H106" s="74">
        <f>IFERROR(__xludf.DUMMYFUNCTION("""COMPUTED_VALUE"""),80.0)</f>
        <v>80</v>
      </c>
      <c r="I106" s="84" t="str">
        <f>IFERROR(__xludf.DUMMYFUNCTION("""COMPUTED_VALUE"""),"")</f>
        <v/>
      </c>
      <c r="J106" s="74" t="str">
        <f>IFERROR(__xludf.DUMMYFUNCTION("""COMPUTED_VALUE"""),"Dinner")</f>
        <v>Dinner</v>
      </c>
      <c r="K106" s="113">
        <f>IFERROR(__xludf.DUMMYFUNCTION("""COMPUTED_VALUE"""),46072.0)</f>
        <v>46072</v>
      </c>
      <c r="L106" s="74" t="str">
        <f>IFERROR(__xludf.DUMMYFUNCTION("""COMPUTED_VALUE"""),"Thursday")</f>
        <v>Thursday</v>
      </c>
      <c r="M106" s="74" t="str">
        <f>IFERROR(__xludf.DUMMYFUNCTION("""COMPUTED_VALUE"""),"MF")</f>
        <v>MF</v>
      </c>
      <c r="N106" s="114" t="str">
        <f>IFERROR(__xludf.DUMMYFUNCTION("""COMPUTED_VALUE"""),"")</f>
        <v/>
      </c>
      <c r="O106" s="74">
        <f>IFERROR(__xludf.DUMMYFUNCTION("""COMPUTED_VALUE"""),422.0)</f>
        <v>422</v>
      </c>
      <c r="P106" s="74">
        <f>IFERROR(__xludf.DUMMYFUNCTION("""COMPUTED_VALUE"""),258.0)</f>
        <v>258</v>
      </c>
      <c r="Q106" s="82">
        <f>IFERROR(__xludf.DUMMYFUNCTION("""COMPUTED_VALUE"""),0.1423611111167702)</f>
        <v>0.1423611111</v>
      </c>
      <c r="R106" s="82">
        <f>IFERROR(__xludf.DUMMYFUNCTION("""COMPUTED_VALUE"""),0.3069444444554392)</f>
        <v>0.3069444445</v>
      </c>
      <c r="S106" s="84">
        <f>IFERROR(__xludf.DUMMYFUNCTION("""COMPUTED_VALUE"""),103.47692307306178)</f>
        <v>103.4769231</v>
      </c>
      <c r="T106" s="84">
        <f>IFERROR(__xludf.DUMMYFUNCTION("""COMPUTED_VALUE"""),31.880656976739335)</f>
        <v>31.88065698</v>
      </c>
      <c r="U106" s="74">
        <f>IFERROR(__xludf.DUMMYFUNCTION("""COMPUTED_VALUE"""),680.0)</f>
        <v>680</v>
      </c>
      <c r="V106" s="82">
        <f>IFERROR(__xludf.DUMMYFUNCTION("""COMPUTED_VALUE"""),0.4493055555722094)</f>
        <v>0.4493055556</v>
      </c>
      <c r="W106" s="64">
        <f>IFERROR(__xludf.DUMMYFUNCTION("""COMPUTED_VALUE"""),63.06027820477236)</f>
        <v>63.0602782</v>
      </c>
      <c r="X106" s="84">
        <f>IFERROR(__xludf.DUMMYFUNCTION("""COMPUTED_VALUE"""),60.519163415268316)</f>
        <v>60.51916342</v>
      </c>
      <c r="Y106" s="114">
        <f>IFERROR(__xludf.DUMMYFUNCTION("""COMPUTED_VALUE"""),0.6913983832151938)</f>
        <v>0.6913983832</v>
      </c>
    </row>
    <row r="107">
      <c r="A107" s="109">
        <f>IFERROR(__xludf.DUMMYFUNCTION("""COMPUTED_VALUE"""),46073.580546921294)</f>
        <v>46073.58055</v>
      </c>
      <c r="B107" s="81" t="str">
        <f>IFERROR(__xludf.DUMMYFUNCTION("""COMPUTED_VALUE"""),"Brynn Hornig")</f>
        <v>Brynn Hornig</v>
      </c>
      <c r="C107" s="74" t="b">
        <f>IFERROR(__xludf.DUMMYFUNCTION("""COMPUTED_VALUE"""),FALSE)</f>
        <v>0</v>
      </c>
      <c r="D107" s="137">
        <f>IFERROR(__xludf.DUMMYFUNCTION("""COMPUTED_VALUE"""),0.4618055555555556)</f>
        <v>0.4618055556</v>
      </c>
      <c r="E107" s="82">
        <f>IFERROR(__xludf.DUMMYFUNCTION("""COMPUTED_VALUE"""),0.12152777778020307)</f>
        <v>0.1215277778</v>
      </c>
      <c r="F107" s="137">
        <f>IFERROR(__xludf.DUMMYFUNCTION("""COMPUTED_VALUE"""),0.5833333333357587)</f>
        <v>0.5833333333</v>
      </c>
      <c r="G107" s="82">
        <f>IFERROR(__xludf.DUMMYFUNCTION("""COMPUTED_VALUE"""),0.12152777778020307)</f>
        <v>0.1215277778</v>
      </c>
      <c r="H107" s="74">
        <f>IFERROR(__xludf.DUMMYFUNCTION("""COMPUTED_VALUE"""),82.0)</f>
        <v>82</v>
      </c>
      <c r="I107" s="84">
        <f>IFERROR(__xludf.DUMMYFUNCTION("""COMPUTED_VALUE"""),28.114285713724644)</f>
        <v>28.11428571</v>
      </c>
      <c r="J107" s="74" t="str">
        <f>IFERROR(__xludf.DUMMYFUNCTION("""COMPUTED_VALUE"""),"Lunch")</f>
        <v>Lunch</v>
      </c>
      <c r="K107" s="113">
        <f>IFERROR(__xludf.DUMMYFUNCTION("""COMPUTED_VALUE"""),46073.0)</f>
        <v>46073</v>
      </c>
      <c r="L107" s="74" t="str">
        <f>IFERROR(__xludf.DUMMYFUNCTION("""COMPUTED_VALUE"""),"Friday")</f>
        <v>Friday</v>
      </c>
      <c r="M107" s="74" t="str">
        <f>IFERROR(__xludf.DUMMYFUNCTION("""COMPUTED_VALUE"""),"BF")</f>
        <v>BF</v>
      </c>
      <c r="N107" s="114">
        <f>IFERROR(__xludf.DUMMYFUNCTION("""COMPUTED_VALUE"""),0.9916628492907369)</f>
        <v>0.9916628493</v>
      </c>
      <c r="O107" s="74" t="str">
        <f>IFERROR(__xludf.DUMMYFUNCTION("""COMPUTED_VALUE"""),"")</f>
        <v/>
      </c>
      <c r="P107" s="74" t="str">
        <f>IFERROR(__xludf.DUMMYFUNCTION("""COMPUTED_VALUE"""),"")</f>
        <v/>
      </c>
      <c r="Q107" s="82" t="str">
        <f>IFERROR(__xludf.DUMMYFUNCTION("""COMPUTED_VALUE"""),"")</f>
        <v/>
      </c>
      <c r="R107" s="82" t="str">
        <f>IFERROR(__xludf.DUMMYFUNCTION("""COMPUTED_VALUE"""),"")</f>
        <v/>
      </c>
      <c r="S107" s="84" t="str">
        <f>IFERROR(__xludf.DUMMYFUNCTION("""COMPUTED_VALUE"""),"")</f>
        <v/>
      </c>
      <c r="T107" s="84" t="str">
        <f>IFERROR(__xludf.DUMMYFUNCTION("""COMPUTED_VALUE"""),"")</f>
        <v/>
      </c>
      <c r="U107" s="74" t="str">
        <f>IFERROR(__xludf.DUMMYFUNCTION("""COMPUTED_VALUE"""),"")</f>
        <v/>
      </c>
      <c r="V107" s="82" t="str">
        <f>IFERROR(__xludf.DUMMYFUNCTION("""COMPUTED_VALUE"""),"")</f>
        <v/>
      </c>
      <c r="W107" s="64" t="str">
        <f>IFERROR(__xludf.DUMMYFUNCTION("""COMPUTED_VALUE"""),"")</f>
        <v/>
      </c>
      <c r="X107" s="84" t="str">
        <f>IFERROR(__xludf.DUMMYFUNCTION("""COMPUTED_VALUE"""),"")</f>
        <v/>
      </c>
      <c r="Y107" s="114" t="str">
        <f>IFERROR(__xludf.DUMMYFUNCTION("""COMPUTED_VALUE"""),"")</f>
        <v/>
      </c>
    </row>
    <row r="108">
      <c r="A108" s="109">
        <f>IFERROR(__xludf.DUMMYFUNCTION("""COMPUTED_VALUE"""),46073.620064710645)</f>
        <v>46073.62006</v>
      </c>
      <c r="B108" s="81" t="str">
        <f>IFERROR(__xludf.DUMMYFUNCTION("""COMPUTED_VALUE"""),"Oluwatimilehin Shodipe")</f>
        <v>Oluwatimilehin Shodipe</v>
      </c>
      <c r="C108" s="74" t="b">
        <f>IFERROR(__xludf.DUMMYFUNCTION("""COMPUTED_VALUE"""),FALSE)</f>
        <v>0</v>
      </c>
      <c r="D108" s="137">
        <f>IFERROR(__xludf.DUMMYFUNCTION("""COMPUTED_VALUE"""),0.48263888889050577)</f>
        <v>0.4826388889</v>
      </c>
      <c r="E108" s="82">
        <f>IFERROR(__xludf.DUMMYFUNCTION("""COMPUTED_VALUE"""),0.14236111110949423)</f>
        <v>0.1423611111</v>
      </c>
      <c r="F108" s="137">
        <f>IFERROR(__xludf.DUMMYFUNCTION("""COMPUTED_VALUE"""),0.625)</f>
        <v>0.625</v>
      </c>
      <c r="G108" s="82">
        <f>IFERROR(__xludf.DUMMYFUNCTION("""COMPUTED_VALUE"""),0.14236111110949423)</f>
        <v>0.1423611111</v>
      </c>
      <c r="H108" s="74">
        <f>IFERROR(__xludf.DUMMYFUNCTION("""COMPUTED_VALUE"""),173.0)</f>
        <v>173</v>
      </c>
      <c r="I108" s="84">
        <f>IFERROR(__xludf.DUMMYFUNCTION("""COMPUTED_VALUE"""),50.6341463420385)</f>
        <v>50.63414634</v>
      </c>
      <c r="J108" s="74" t="str">
        <f>IFERROR(__xludf.DUMMYFUNCTION("""COMPUTED_VALUE"""),"Lunch")</f>
        <v>Lunch</v>
      </c>
      <c r="K108" s="113">
        <f>IFERROR(__xludf.DUMMYFUNCTION("""COMPUTED_VALUE"""),46073.0)</f>
        <v>46073</v>
      </c>
      <c r="L108" s="74" t="str">
        <f>IFERROR(__xludf.DUMMYFUNCTION("""COMPUTED_VALUE"""),"Friday")</f>
        <v>Friday</v>
      </c>
      <c r="M108" s="74" t="str">
        <f>IFERROR(__xludf.DUMMYFUNCTION("""COMPUTED_VALUE"""),"MF")</f>
        <v>MF</v>
      </c>
      <c r="N108" s="114">
        <f>IFERROR(__xludf.DUMMYFUNCTION("""COMPUTED_VALUE"""),1.0070936707247562)</f>
        <v>1.007093671</v>
      </c>
      <c r="O108" s="74" t="str">
        <f>IFERROR(__xludf.DUMMYFUNCTION("""COMPUTED_VALUE"""),"")</f>
        <v/>
      </c>
      <c r="P108" s="74" t="str">
        <f>IFERROR(__xludf.DUMMYFUNCTION("""COMPUTED_VALUE"""),"")</f>
        <v/>
      </c>
      <c r="Q108" s="82" t="str">
        <f>IFERROR(__xludf.DUMMYFUNCTION("""COMPUTED_VALUE"""),"")</f>
        <v/>
      </c>
      <c r="R108" s="82" t="str">
        <f>IFERROR(__xludf.DUMMYFUNCTION("""COMPUTED_VALUE"""),"")</f>
        <v/>
      </c>
      <c r="S108" s="84" t="str">
        <f>IFERROR(__xludf.DUMMYFUNCTION("""COMPUTED_VALUE"""),"")</f>
        <v/>
      </c>
      <c r="T108" s="84" t="str">
        <f>IFERROR(__xludf.DUMMYFUNCTION("""COMPUTED_VALUE"""),"")</f>
        <v/>
      </c>
      <c r="U108" s="74" t="str">
        <f>IFERROR(__xludf.DUMMYFUNCTION("""COMPUTED_VALUE"""),"")</f>
        <v/>
      </c>
      <c r="V108" s="82" t="str">
        <f>IFERROR(__xludf.DUMMYFUNCTION("""COMPUTED_VALUE"""),"")</f>
        <v/>
      </c>
      <c r="W108" s="64" t="str">
        <f>IFERROR(__xludf.DUMMYFUNCTION("""COMPUTED_VALUE"""),"")</f>
        <v/>
      </c>
      <c r="X108" s="84" t="str">
        <f>IFERROR(__xludf.DUMMYFUNCTION("""COMPUTED_VALUE"""),"")</f>
        <v/>
      </c>
      <c r="Y108" s="114" t="str">
        <f>IFERROR(__xludf.DUMMYFUNCTION("""COMPUTED_VALUE"""),"")</f>
        <v/>
      </c>
    </row>
    <row r="109">
      <c r="A109" s="109">
        <f>IFERROR(__xludf.DUMMYFUNCTION("""COMPUTED_VALUE"""),46073.75015707176)</f>
        <v>46073.75016</v>
      </c>
      <c r="B109" s="81" t="str">
        <f>IFERROR(__xludf.DUMMYFUNCTION("""COMPUTED_VALUE"""),"Leah Bucci")</f>
        <v>Leah Bucci</v>
      </c>
      <c r="C109" s="74" t="b">
        <f>IFERROR(__xludf.DUMMYFUNCTION("""COMPUTED_VALUE"""),FALSE)</f>
        <v>0</v>
      </c>
      <c r="D109" s="137">
        <f>IFERROR(__xludf.DUMMYFUNCTION("""COMPUTED_VALUE"""),0.6666666666642413)</f>
        <v>0.6666666667</v>
      </c>
      <c r="E109" s="82">
        <f>IFERROR(__xludf.DUMMYFUNCTION("""COMPUTED_VALUE"""),0.08333333333575865)</f>
        <v>0.08333333334</v>
      </c>
      <c r="F109" s="137">
        <f>IFERROR(__xludf.DUMMYFUNCTION("""COMPUTED_VALUE"""),0.75)</f>
        <v>0.75</v>
      </c>
      <c r="G109" s="82">
        <f>IFERROR(__xludf.DUMMYFUNCTION("""COMPUTED_VALUE"""),0.08333333333575865)</f>
        <v>0.08333333334</v>
      </c>
      <c r="H109" s="74">
        <f>IFERROR(__xludf.DUMMYFUNCTION("""COMPUTED_VALUE"""),146.0)</f>
        <v>146</v>
      </c>
      <c r="I109" s="84">
        <f>IFERROR(__xludf.DUMMYFUNCTION("""COMPUTED_VALUE"""),72.99999999787542)</f>
        <v>73</v>
      </c>
      <c r="J109" s="74" t="str">
        <f>IFERROR(__xludf.DUMMYFUNCTION("""COMPUTED_VALUE"""),"Dinner")</f>
        <v>Dinner</v>
      </c>
      <c r="K109" s="113">
        <f>IFERROR(__xludf.DUMMYFUNCTION("""COMPUTED_VALUE"""),46073.0)</f>
        <v>46073</v>
      </c>
      <c r="L109" s="74" t="str">
        <f>IFERROR(__xludf.DUMMYFUNCTION("""COMPUTED_VALUE"""),"Friday")</f>
        <v>Friday</v>
      </c>
      <c r="M109" s="74" t="str">
        <f>IFERROR(__xludf.DUMMYFUNCTION("""COMPUTED_VALUE"""),"MF")</f>
        <v>MF</v>
      </c>
      <c r="N109" s="114">
        <f>IFERROR(__xludf.DUMMYFUNCTION("""COMPUTED_VALUE"""),1.573965153535828)</f>
        <v>1.573965154</v>
      </c>
      <c r="O109" s="74" t="str">
        <f>IFERROR(__xludf.DUMMYFUNCTION("""COMPUTED_VALUE"""),"")</f>
        <v/>
      </c>
      <c r="P109" s="74" t="str">
        <f>IFERROR(__xludf.DUMMYFUNCTION("""COMPUTED_VALUE"""),"")</f>
        <v/>
      </c>
      <c r="Q109" s="82" t="str">
        <f>IFERROR(__xludf.DUMMYFUNCTION("""COMPUTED_VALUE"""),"")</f>
        <v/>
      </c>
      <c r="R109" s="82" t="str">
        <f>IFERROR(__xludf.DUMMYFUNCTION("""COMPUTED_VALUE"""),"")</f>
        <v/>
      </c>
      <c r="S109" s="84" t="str">
        <f>IFERROR(__xludf.DUMMYFUNCTION("""COMPUTED_VALUE"""),"")</f>
        <v/>
      </c>
      <c r="T109" s="84" t="str">
        <f>IFERROR(__xludf.DUMMYFUNCTION("""COMPUTED_VALUE"""),"")</f>
        <v/>
      </c>
      <c r="U109" s="74" t="str">
        <f>IFERROR(__xludf.DUMMYFUNCTION("""COMPUTED_VALUE"""),"")</f>
        <v/>
      </c>
      <c r="V109" s="82" t="str">
        <f>IFERROR(__xludf.DUMMYFUNCTION("""COMPUTED_VALUE"""),"")</f>
        <v/>
      </c>
      <c r="W109" s="64" t="str">
        <f>IFERROR(__xludf.DUMMYFUNCTION("""COMPUTED_VALUE"""),"")</f>
        <v/>
      </c>
      <c r="X109" s="84" t="str">
        <f>IFERROR(__xludf.DUMMYFUNCTION("""COMPUTED_VALUE"""),"")</f>
        <v/>
      </c>
      <c r="Y109" s="114" t="str">
        <f>IFERROR(__xludf.DUMMYFUNCTION("""COMPUTED_VALUE"""),"")</f>
        <v/>
      </c>
    </row>
    <row r="110">
      <c r="A110" s="109">
        <f>IFERROR(__xludf.DUMMYFUNCTION("""COMPUTED_VALUE"""),46073.807364884255)</f>
        <v>46073.80736</v>
      </c>
      <c r="B110" s="81" t="str">
        <f>IFERROR(__xludf.DUMMYFUNCTION("""COMPUTED_VALUE"""),"Orpheus Wilson")</f>
        <v>Orpheus Wilson</v>
      </c>
      <c r="C110" s="74" t="b">
        <f>IFERROR(__xludf.DUMMYFUNCTION("""COMPUTED_VALUE"""),FALSE)</f>
        <v>0</v>
      </c>
      <c r="D110" s="137">
        <f>IFERROR(__xludf.DUMMYFUNCTION("""COMPUTED_VALUE"""),0.7562499999985448)</f>
        <v>0.75625</v>
      </c>
      <c r="E110" s="82">
        <f>IFERROR(__xludf.DUMMYFUNCTION("""COMPUTED_VALUE"""),0.04513888889050577)</f>
        <v>0.04513888889</v>
      </c>
      <c r="F110" s="137">
        <f>IFERROR(__xludf.DUMMYFUNCTION("""COMPUTED_VALUE"""),0.8013888888890506)</f>
        <v>0.8013888889</v>
      </c>
      <c r="G110" s="82">
        <f>IFERROR(__xludf.DUMMYFUNCTION("""COMPUTED_VALUE"""),0.06458333334012423)</f>
        <v>0.06458333334</v>
      </c>
      <c r="H110" s="74">
        <f>IFERROR(__xludf.DUMMYFUNCTION("""COMPUTED_VALUE"""),151.0)</f>
        <v>151</v>
      </c>
      <c r="I110" s="84">
        <f>IFERROR(__xludf.DUMMYFUNCTION("""COMPUTED_VALUE"""),135.4838709534959)</f>
        <v>135.483871</v>
      </c>
      <c r="J110" s="74" t="str">
        <f>IFERROR(__xludf.DUMMYFUNCTION("""COMPUTED_VALUE"""),"Dinner")</f>
        <v>Dinner</v>
      </c>
      <c r="K110" s="113">
        <f>IFERROR(__xludf.DUMMYFUNCTION("""COMPUTED_VALUE"""),46073.0)</f>
        <v>46073</v>
      </c>
      <c r="L110" s="74" t="str">
        <f>IFERROR(__xludf.DUMMYFUNCTION("""COMPUTED_VALUE"""),"Friday")</f>
        <v>Friday</v>
      </c>
      <c r="M110" s="74" t="str">
        <f>IFERROR(__xludf.DUMMYFUNCTION("""COMPUTED_VALUE"""),"MF")</f>
        <v>MF</v>
      </c>
      <c r="N110" s="114">
        <f>IFERROR(__xludf.DUMMYFUNCTION("""COMPUTED_VALUE"""),2.9211902979884083)</f>
        <v>2.921190298</v>
      </c>
      <c r="O110" s="74" t="str">
        <f>IFERROR(__xludf.DUMMYFUNCTION("""COMPUTED_VALUE"""),"")</f>
        <v/>
      </c>
      <c r="P110" s="74" t="str">
        <f>IFERROR(__xludf.DUMMYFUNCTION("""COMPUTED_VALUE"""),"")</f>
        <v/>
      </c>
      <c r="Q110" s="82" t="str">
        <f>IFERROR(__xludf.DUMMYFUNCTION("""COMPUTED_VALUE"""),"")</f>
        <v/>
      </c>
      <c r="R110" s="82" t="str">
        <f>IFERROR(__xludf.DUMMYFUNCTION("""COMPUTED_VALUE"""),"")</f>
        <v/>
      </c>
      <c r="S110" s="84" t="str">
        <f>IFERROR(__xludf.DUMMYFUNCTION("""COMPUTED_VALUE"""),"")</f>
        <v/>
      </c>
      <c r="T110" s="84" t="str">
        <f>IFERROR(__xludf.DUMMYFUNCTION("""COMPUTED_VALUE"""),"")</f>
        <v/>
      </c>
      <c r="U110" s="74" t="str">
        <f>IFERROR(__xludf.DUMMYFUNCTION("""COMPUTED_VALUE"""),"")</f>
        <v/>
      </c>
      <c r="V110" s="82" t="str">
        <f>IFERROR(__xludf.DUMMYFUNCTION("""COMPUTED_VALUE"""),"")</f>
        <v/>
      </c>
      <c r="W110" s="64" t="str">
        <f>IFERROR(__xludf.DUMMYFUNCTION("""COMPUTED_VALUE"""),"")</f>
        <v/>
      </c>
      <c r="X110" s="84" t="str">
        <f>IFERROR(__xludf.DUMMYFUNCTION("""COMPUTED_VALUE"""),"")</f>
        <v/>
      </c>
      <c r="Y110" s="114" t="str">
        <f>IFERROR(__xludf.DUMMYFUNCTION("""COMPUTED_VALUE"""),"")</f>
        <v/>
      </c>
    </row>
    <row r="111">
      <c r="A111" s="109">
        <f>IFERROR(__xludf.DUMMYFUNCTION("""COMPUTED_VALUE"""),46073.8303446412)</f>
        <v>46073.83034</v>
      </c>
      <c r="B111" s="81" t="str">
        <f>IFERROR(__xludf.DUMMYFUNCTION("""COMPUTED_VALUE"""),"Orpheus Wilson")</f>
        <v>Orpheus Wilson</v>
      </c>
      <c r="C111" s="74" t="b">
        <f>IFERROR(__xludf.DUMMYFUNCTION("""COMPUTED_VALUE"""),TRUE)</f>
        <v>1</v>
      </c>
      <c r="D111" s="137">
        <f>IFERROR(__xludf.DUMMYFUNCTION("""COMPUTED_VALUE"""),0.8076388888875954)</f>
        <v>0.8076388889</v>
      </c>
      <c r="E111" s="82">
        <f>IFERROR(__xludf.DUMMYFUNCTION("""COMPUTED_VALUE"""),0.01944444444961846)</f>
        <v>0.01944444445</v>
      </c>
      <c r="F111" s="137">
        <f>IFERROR(__xludf.DUMMYFUNCTION("""COMPUTED_VALUE"""),0.8270833333372138)</f>
        <v>0.8270833333</v>
      </c>
      <c r="G111" s="82" t="str">
        <f>IFERROR(__xludf.DUMMYFUNCTION("""COMPUTED_VALUE"""),"")</f>
        <v/>
      </c>
      <c r="H111" s="74">
        <f>IFERROR(__xludf.DUMMYFUNCTION("""COMPUTED_VALUE"""),59.0)</f>
        <v>59</v>
      </c>
      <c r="I111" s="84" t="str">
        <f>IFERROR(__xludf.DUMMYFUNCTION("""COMPUTED_VALUE"""),"")</f>
        <v/>
      </c>
      <c r="J111" s="74" t="str">
        <f>IFERROR(__xludf.DUMMYFUNCTION("""COMPUTED_VALUE"""),"Dinner")</f>
        <v>Dinner</v>
      </c>
      <c r="K111" s="113">
        <f>IFERROR(__xludf.DUMMYFUNCTION("""COMPUTED_VALUE"""),46073.0)</f>
        <v>46073</v>
      </c>
      <c r="L111" s="74" t="str">
        <f>IFERROR(__xludf.DUMMYFUNCTION("""COMPUTED_VALUE"""),"Friday")</f>
        <v>Friday</v>
      </c>
      <c r="M111" s="74" t="str">
        <f>IFERROR(__xludf.DUMMYFUNCTION("""COMPUTED_VALUE"""),"MF")</f>
        <v>MF</v>
      </c>
      <c r="N111" s="114" t="str">
        <f>IFERROR(__xludf.DUMMYFUNCTION("""COMPUTED_VALUE"""),"")</f>
        <v/>
      </c>
      <c r="O111" s="74">
        <f>IFERROR(__xludf.DUMMYFUNCTION("""COMPUTED_VALUE"""),529.0)</f>
        <v>529</v>
      </c>
      <c r="P111" s="74">
        <f>IFERROR(__xludf.DUMMYFUNCTION("""COMPUTED_VALUE"""),82.0)</f>
        <v>82</v>
      </c>
      <c r="Q111" s="82">
        <f>IFERROR(__xludf.DUMMYFUNCTION("""COMPUTED_VALUE"""),0.2902777777853771)</f>
        <v>0.2902777778</v>
      </c>
      <c r="R111" s="82">
        <f>IFERROR(__xludf.DUMMYFUNCTION("""COMPUTED_VALUE"""),0.12152777778020307)</f>
        <v>0.1215277778</v>
      </c>
      <c r="S111" s="84">
        <f>IFERROR(__xludf.DUMMYFUNCTION("""COMPUTED_VALUE"""),86.3726724311366)</f>
        <v>86.37267243</v>
      </c>
      <c r="T111" s="84">
        <f>IFERROR(__xludf.DUMMYFUNCTION("""COMPUTED_VALUE"""),28.114285713724644)</f>
        <v>28.11428571</v>
      </c>
      <c r="U111" s="74">
        <f>IFERROR(__xludf.DUMMYFUNCTION("""COMPUTED_VALUE"""),611.0)</f>
        <v>611</v>
      </c>
      <c r="V111" s="82">
        <f>IFERROR(__xludf.DUMMYFUNCTION("""COMPUTED_VALUE"""),0.4118055555655802)</f>
        <v>0.4118055556</v>
      </c>
      <c r="W111" s="64">
        <f>IFERROR(__xludf.DUMMYFUNCTION("""COMPUTED_VALUE"""),61.821247890569275)</f>
        <v>61.82124789</v>
      </c>
      <c r="X111" s="84">
        <f>IFERROR(__xludf.DUMMYFUNCTION("""COMPUTED_VALUE"""),71.80807575178362)</f>
        <v>71.80807575</v>
      </c>
      <c r="Y111" s="114">
        <f>IFERROR(__xludf.DUMMYFUNCTION("""COMPUTED_VALUE"""),1.057447944108852)</f>
        <v>1.057447944</v>
      </c>
    </row>
    <row r="112">
      <c r="A112" s="109">
        <f>IFERROR(__xludf.DUMMYFUNCTION("""COMPUTED_VALUE"""),46079.52288072917)</f>
        <v>46079.52288</v>
      </c>
      <c r="B112" s="81" t="str">
        <f>IFERROR(__xludf.DUMMYFUNCTION("""COMPUTED_VALUE"""),"Emmett Khan")</f>
        <v>Emmett Khan</v>
      </c>
      <c r="C112" s="74" t="b">
        <f>IFERROR(__xludf.DUMMYFUNCTION("""COMPUTED_VALUE"""),FALSE)</f>
        <v>0</v>
      </c>
      <c r="D112" s="137">
        <f>IFERROR(__xludf.DUMMYFUNCTION("""COMPUTED_VALUE"""),0.4791666666666667)</f>
        <v>0.4791666667</v>
      </c>
      <c r="E112" s="82">
        <f>IFERROR(__xludf.DUMMYFUNCTION("""COMPUTED_VALUE"""),0.052083333333333315)</f>
        <v>0.05208333333</v>
      </c>
      <c r="F112" s="137">
        <f>IFERROR(__xludf.DUMMYFUNCTION("""COMPUTED_VALUE"""),0.53125)</f>
        <v>0.53125</v>
      </c>
      <c r="G112" s="82">
        <f>IFERROR(__xludf.DUMMYFUNCTION("""COMPUTED_VALUE"""),0.052083333333333315)</f>
        <v>0.05208333333</v>
      </c>
      <c r="H112" s="74">
        <f>IFERROR(__xludf.DUMMYFUNCTION("""COMPUTED_VALUE"""),29.0)</f>
        <v>29</v>
      </c>
      <c r="I112" s="84">
        <f>IFERROR(__xludf.DUMMYFUNCTION("""COMPUTED_VALUE"""),23.20000000000001)</f>
        <v>23.2</v>
      </c>
      <c r="J112" s="74" t="str">
        <f>IFERROR(__xludf.DUMMYFUNCTION("""COMPUTED_VALUE"""),"Lunch")</f>
        <v>Lunch</v>
      </c>
      <c r="K112" s="113">
        <f>IFERROR(__xludf.DUMMYFUNCTION("""COMPUTED_VALUE"""),46079.0)</f>
        <v>46079</v>
      </c>
      <c r="L112" s="74" t="str">
        <f>IFERROR(__xludf.DUMMYFUNCTION("""COMPUTED_VALUE"""),"Thursday")</f>
        <v>Thursday</v>
      </c>
      <c r="M112" s="74" t="str">
        <f>IFERROR(__xludf.DUMMYFUNCTION("""COMPUTED_VALUE"""),"MF")</f>
        <v>MF</v>
      </c>
      <c r="N112" s="114">
        <f>IFERROR(__xludf.DUMMYFUNCTION("""COMPUTED_VALUE"""),0.46143906530949347)</f>
        <v>0.4614390653</v>
      </c>
      <c r="O112" s="74" t="str">
        <f>IFERROR(__xludf.DUMMYFUNCTION("""COMPUTED_VALUE"""),"")</f>
        <v/>
      </c>
      <c r="P112" s="74" t="str">
        <f>IFERROR(__xludf.DUMMYFUNCTION("""COMPUTED_VALUE"""),"")</f>
        <v/>
      </c>
      <c r="Q112" s="82" t="str">
        <f>IFERROR(__xludf.DUMMYFUNCTION("""COMPUTED_VALUE"""),"")</f>
        <v/>
      </c>
      <c r="R112" s="82" t="str">
        <f>IFERROR(__xludf.DUMMYFUNCTION("""COMPUTED_VALUE"""),"")</f>
        <v/>
      </c>
      <c r="S112" s="84" t="str">
        <f>IFERROR(__xludf.DUMMYFUNCTION("""COMPUTED_VALUE"""),"")</f>
        <v/>
      </c>
      <c r="T112" s="84" t="str">
        <f>IFERROR(__xludf.DUMMYFUNCTION("""COMPUTED_VALUE"""),"")</f>
        <v/>
      </c>
      <c r="U112" s="74" t="str">
        <f>IFERROR(__xludf.DUMMYFUNCTION("""COMPUTED_VALUE"""),"")</f>
        <v/>
      </c>
      <c r="V112" s="82" t="str">
        <f>IFERROR(__xludf.DUMMYFUNCTION("""COMPUTED_VALUE"""),"")</f>
        <v/>
      </c>
      <c r="W112" s="64" t="str">
        <f>IFERROR(__xludf.DUMMYFUNCTION("""COMPUTED_VALUE"""),"")</f>
        <v/>
      </c>
      <c r="X112" s="84" t="str">
        <f>IFERROR(__xludf.DUMMYFUNCTION("""COMPUTED_VALUE"""),"")</f>
        <v/>
      </c>
      <c r="Y112" s="114" t="str">
        <f>IFERROR(__xludf.DUMMYFUNCTION("""COMPUTED_VALUE"""),"")</f>
        <v/>
      </c>
    </row>
    <row r="113">
      <c r="A113" s="109">
        <f>IFERROR(__xludf.DUMMYFUNCTION("""COMPUTED_VALUE"""),46080.52350431713)</f>
        <v>46080.5235</v>
      </c>
      <c r="B113" s="81" t="str">
        <f>IFERROR(__xludf.DUMMYFUNCTION("""COMPUTED_VALUE"""),"Brynn Hornig")</f>
        <v>Brynn Hornig</v>
      </c>
      <c r="C113" s="74" t="b">
        <f>IFERROR(__xludf.DUMMYFUNCTION("""COMPUTED_VALUE"""),FALSE)</f>
        <v>0</v>
      </c>
      <c r="D113" s="137">
        <f>IFERROR(__xludf.DUMMYFUNCTION("""COMPUTED_VALUE"""),0.7083333333357587)</f>
        <v>0.7083333333</v>
      </c>
      <c r="E113" s="82">
        <f>IFERROR(__xludf.DUMMYFUNCTION("""COMPUTED_VALUE"""),0.0833333333284827)</f>
        <v>0.08333333333</v>
      </c>
      <c r="F113" s="137">
        <f>IFERROR(__xludf.DUMMYFUNCTION("""COMPUTED_VALUE"""),0.7916666666642413)</f>
        <v>0.7916666667</v>
      </c>
      <c r="G113" s="82">
        <f>IFERROR(__xludf.DUMMYFUNCTION("""COMPUTED_VALUE"""),0.0833333333284827)</f>
        <v>0.08333333333</v>
      </c>
      <c r="H113" s="74">
        <f>IFERROR(__xludf.DUMMYFUNCTION("""COMPUTED_VALUE"""),74.0)</f>
        <v>74</v>
      </c>
      <c r="I113" s="84">
        <f>IFERROR(__xludf.DUMMYFUNCTION("""COMPUTED_VALUE"""),37.00000000215368)</f>
        <v>37</v>
      </c>
      <c r="J113" s="74" t="str">
        <f>IFERROR(__xludf.DUMMYFUNCTION("""COMPUTED_VALUE"""),"Dinner")</f>
        <v>Dinner</v>
      </c>
      <c r="K113" s="113">
        <f>IFERROR(__xludf.DUMMYFUNCTION("""COMPUTED_VALUE"""),46079.0)</f>
        <v>46079</v>
      </c>
      <c r="L113" s="74" t="str">
        <f>IFERROR(__xludf.DUMMYFUNCTION("""COMPUTED_VALUE"""),"Thursday")</f>
        <v>Thursday</v>
      </c>
      <c r="M113" s="74" t="str">
        <f>IFERROR(__xludf.DUMMYFUNCTION("""COMPUTED_VALUE"""),"MF")</f>
        <v>MF</v>
      </c>
      <c r="N113" s="114">
        <f>IFERROR(__xludf.DUMMYFUNCTION("""COMPUTED_VALUE"""),0.7977631600809639)</f>
        <v>0.7977631601</v>
      </c>
      <c r="O113" s="74" t="str">
        <f>IFERROR(__xludf.DUMMYFUNCTION("""COMPUTED_VALUE"""),"")</f>
        <v/>
      </c>
      <c r="P113" s="74" t="str">
        <f>IFERROR(__xludf.DUMMYFUNCTION("""COMPUTED_VALUE"""),"")</f>
        <v/>
      </c>
      <c r="Q113" s="82" t="str">
        <f>IFERROR(__xludf.DUMMYFUNCTION("""COMPUTED_VALUE"""),"")</f>
        <v/>
      </c>
      <c r="R113" s="82" t="str">
        <f>IFERROR(__xludf.DUMMYFUNCTION("""COMPUTED_VALUE"""),"")</f>
        <v/>
      </c>
      <c r="S113" s="84" t="str">
        <f>IFERROR(__xludf.DUMMYFUNCTION("""COMPUTED_VALUE"""),"")</f>
        <v/>
      </c>
      <c r="T113" s="84" t="str">
        <f>IFERROR(__xludf.DUMMYFUNCTION("""COMPUTED_VALUE"""),"")</f>
        <v/>
      </c>
      <c r="U113" s="74" t="str">
        <f>IFERROR(__xludf.DUMMYFUNCTION("""COMPUTED_VALUE"""),"")</f>
        <v/>
      </c>
      <c r="V113" s="82" t="str">
        <f>IFERROR(__xludf.DUMMYFUNCTION("""COMPUTED_VALUE"""),"")</f>
        <v/>
      </c>
      <c r="W113" s="64" t="str">
        <f>IFERROR(__xludf.DUMMYFUNCTION("""COMPUTED_VALUE"""),"")</f>
        <v/>
      </c>
      <c r="X113" s="84" t="str">
        <f>IFERROR(__xludf.DUMMYFUNCTION("""COMPUTED_VALUE"""),"")</f>
        <v/>
      </c>
      <c r="Y113" s="114" t="str">
        <f>IFERROR(__xludf.DUMMYFUNCTION("""COMPUTED_VALUE"""),"")</f>
        <v/>
      </c>
    </row>
    <row r="114">
      <c r="A114" s="109">
        <f>IFERROR(__xludf.DUMMYFUNCTION("""COMPUTED_VALUE"""),46079.86478696759)</f>
        <v>46079.86479</v>
      </c>
      <c r="B114" s="81" t="str">
        <f>IFERROR(__xludf.DUMMYFUNCTION("""COMPUTED_VALUE"""),"Arjya Aich")</f>
        <v>Arjya Aich</v>
      </c>
      <c r="C114" s="74" t="b">
        <f>IFERROR(__xludf.DUMMYFUNCTION("""COMPUTED_VALUE"""),FALSE)</f>
        <v>0</v>
      </c>
      <c r="D114" s="137">
        <f>IFERROR(__xludf.DUMMYFUNCTION("""COMPUTED_VALUE"""),0.7916666666642413)</f>
        <v>0.7916666667</v>
      </c>
      <c r="E114" s="82">
        <f>IFERROR(__xludf.DUMMYFUNCTION("""COMPUTED_VALUE"""),0.08333333333575865)</f>
        <v>0.08333333334</v>
      </c>
      <c r="F114" s="137">
        <f>IFERROR(__xludf.DUMMYFUNCTION("""COMPUTED_VALUE"""),0.875)</f>
        <v>0.875</v>
      </c>
      <c r="G114" s="82">
        <f>IFERROR(__xludf.DUMMYFUNCTION("""COMPUTED_VALUE"""),0.08333333333575865)</f>
        <v>0.08333333334</v>
      </c>
      <c r="H114" s="74">
        <f>IFERROR(__xludf.DUMMYFUNCTION("""COMPUTED_VALUE"""),41.0)</f>
        <v>41</v>
      </c>
      <c r="I114" s="84">
        <f>IFERROR(__xludf.DUMMYFUNCTION("""COMPUTED_VALUE"""),20.49999999940337)</f>
        <v>20.5</v>
      </c>
      <c r="J114" s="74" t="str">
        <f>IFERROR(__xludf.DUMMYFUNCTION("""COMPUTED_VALUE"""),"Dinner")</f>
        <v>Dinner</v>
      </c>
      <c r="K114" s="113">
        <f>IFERROR(__xludf.DUMMYFUNCTION("""COMPUTED_VALUE"""),46079.0)</f>
        <v>46079</v>
      </c>
      <c r="L114" s="74" t="str">
        <f>IFERROR(__xludf.DUMMYFUNCTION("""COMPUTED_VALUE"""),"Thursday")</f>
        <v>Thursday</v>
      </c>
      <c r="M114" s="74" t="str">
        <f>IFERROR(__xludf.DUMMYFUNCTION("""COMPUTED_VALUE"""),"MF")</f>
        <v>MF</v>
      </c>
      <c r="N114" s="114">
        <f>IFERROR(__xludf.DUMMYFUNCTION("""COMPUTED_VALUE"""),0.44200391297923936)</f>
        <v>0.442003913</v>
      </c>
      <c r="O114" s="74">
        <f>IFERROR(__xludf.DUMMYFUNCTION("""COMPUTED_VALUE"""),144.0)</f>
        <v>144</v>
      </c>
      <c r="P114" s="74" t="str">
        <f>IFERROR(__xludf.DUMMYFUNCTION("""COMPUTED_VALUE"""),"")</f>
        <v/>
      </c>
      <c r="Q114" s="82">
        <f>IFERROR(__xludf.DUMMYFUNCTION("""COMPUTED_VALUE"""),0.21874999999757466)</f>
        <v>0.21875</v>
      </c>
      <c r="R114" s="82" t="str">
        <f>IFERROR(__xludf.DUMMYFUNCTION("""COMPUTED_VALUE"""),"")</f>
        <v/>
      </c>
      <c r="S114" s="84">
        <f>IFERROR(__xludf.DUMMYFUNCTION("""COMPUTED_VALUE"""),26.900000000519025)</f>
        <v>26.9</v>
      </c>
      <c r="T114" s="84" t="str">
        <f>IFERROR(__xludf.DUMMYFUNCTION("""COMPUTED_VALUE"""),"")</f>
        <v/>
      </c>
      <c r="U114" s="74">
        <f>IFERROR(__xludf.DUMMYFUNCTION("""COMPUTED_VALUE"""),144.0)</f>
        <v>144</v>
      </c>
      <c r="V114" s="82">
        <f>IFERROR(__xludf.DUMMYFUNCTION("""COMPUTED_VALUE"""),0.21874999999757466)</f>
        <v>0.21875</v>
      </c>
      <c r="W114" s="64">
        <f>IFERROR(__xludf.DUMMYFUNCTION("""COMPUTED_VALUE"""),27.428571428875532)</f>
        <v>27.42857143</v>
      </c>
      <c r="X114" s="84">
        <f>IFERROR(__xludf.DUMMYFUNCTION("""COMPUTED_VALUE"""),26.900000000519025)</f>
        <v>26.9</v>
      </c>
      <c r="Y114" s="114">
        <f>IFERROR(__xludf.DUMMYFUNCTION("""COMPUTED_VALUE"""),0.4958461002318144)</f>
        <v>0.4958461002</v>
      </c>
    </row>
    <row r="115">
      <c r="A115" s="109">
        <f>IFERROR(__xludf.DUMMYFUNCTION("""COMPUTED_VALUE"""),46080.44051408565)</f>
        <v>46080.44051</v>
      </c>
      <c r="B115" s="81" t="str">
        <f>IFERROR(__xludf.DUMMYFUNCTION("""COMPUTED_VALUE"""),"Kaylie Forgue")</f>
        <v>Kaylie Forgue</v>
      </c>
      <c r="C115" s="74" t="b">
        <f>IFERROR(__xludf.DUMMYFUNCTION("""COMPUTED_VALUE"""),FALSE)</f>
        <v>0</v>
      </c>
      <c r="D115" s="137">
        <f>IFERROR(__xludf.DUMMYFUNCTION("""COMPUTED_VALUE"""),0.3743055555532919)</f>
        <v>0.3743055556</v>
      </c>
      <c r="E115" s="82">
        <f>IFERROR(__xludf.DUMMYFUNCTION("""COMPUTED_VALUE"""),0.06041666666715173)</f>
        <v>0.06041666667</v>
      </c>
      <c r="F115" s="137">
        <f>IFERROR(__xludf.DUMMYFUNCTION("""COMPUTED_VALUE"""),0.43472222222044365)</f>
        <v>0.4347222222</v>
      </c>
      <c r="G115" s="82">
        <f>IFERROR(__xludf.DUMMYFUNCTION("""COMPUTED_VALUE"""),0.06041666666715173)</f>
        <v>0.06041666667</v>
      </c>
      <c r="H115" s="74">
        <f>IFERROR(__xludf.DUMMYFUNCTION("""COMPUTED_VALUE"""),110.0)</f>
        <v>110</v>
      </c>
      <c r="I115" s="84">
        <f>IFERROR(__xludf.DUMMYFUNCTION("""COMPUTED_VALUE"""),75.86206896490818)</f>
        <v>75.86206896</v>
      </c>
      <c r="J115" s="74" t="str">
        <f>IFERROR(__xludf.DUMMYFUNCTION("""COMPUTED_VALUE"""),"Breakfast")</f>
        <v>Breakfast</v>
      </c>
      <c r="K115" s="113">
        <f>IFERROR(__xludf.DUMMYFUNCTION("""COMPUTED_VALUE"""),46080.0)</f>
        <v>46080</v>
      </c>
      <c r="L115" s="74" t="str">
        <f>IFERROR(__xludf.DUMMYFUNCTION("""COMPUTED_VALUE"""),"Friday")</f>
        <v>Friday</v>
      </c>
      <c r="M115" s="74" t="str">
        <f>IFERROR(__xludf.DUMMYFUNCTION("""COMPUTED_VALUE"""),"BF")</f>
        <v>BF</v>
      </c>
      <c r="N115" s="114">
        <f>IFERROR(__xludf.DUMMYFUNCTION("""COMPUTED_VALUE"""),2.6758494321663004)</f>
        <v>2.675849432</v>
      </c>
      <c r="O115" s="74" t="str">
        <f>IFERROR(__xludf.DUMMYFUNCTION("""COMPUTED_VALUE"""),"")</f>
        <v/>
      </c>
      <c r="P115" s="74" t="str">
        <f>IFERROR(__xludf.DUMMYFUNCTION("""COMPUTED_VALUE"""),"")</f>
        <v/>
      </c>
      <c r="Q115" s="82" t="str">
        <f>IFERROR(__xludf.DUMMYFUNCTION("""COMPUTED_VALUE"""),"")</f>
        <v/>
      </c>
      <c r="R115" s="82" t="str">
        <f>IFERROR(__xludf.DUMMYFUNCTION("""COMPUTED_VALUE"""),"")</f>
        <v/>
      </c>
      <c r="S115" s="84" t="str">
        <f>IFERROR(__xludf.DUMMYFUNCTION("""COMPUTED_VALUE"""),"")</f>
        <v/>
      </c>
      <c r="T115" s="84" t="str">
        <f>IFERROR(__xludf.DUMMYFUNCTION("""COMPUTED_VALUE"""),"")</f>
        <v/>
      </c>
      <c r="U115" s="74" t="str">
        <f>IFERROR(__xludf.DUMMYFUNCTION("""COMPUTED_VALUE"""),"")</f>
        <v/>
      </c>
      <c r="V115" s="82" t="str">
        <f>IFERROR(__xludf.DUMMYFUNCTION("""COMPUTED_VALUE"""),"")</f>
        <v/>
      </c>
      <c r="W115" s="64" t="str">
        <f>IFERROR(__xludf.DUMMYFUNCTION("""COMPUTED_VALUE"""),"")</f>
        <v/>
      </c>
      <c r="X115" s="84" t="str">
        <f>IFERROR(__xludf.DUMMYFUNCTION("""COMPUTED_VALUE"""),"")</f>
        <v/>
      </c>
      <c r="Y115" s="114" t="str">
        <f>IFERROR(__xludf.DUMMYFUNCTION("""COMPUTED_VALUE"""),"")</f>
        <v/>
      </c>
    </row>
    <row r="116">
      <c r="A116" s="109">
        <f>IFERROR(__xludf.DUMMYFUNCTION("""COMPUTED_VALUE"""),46080.58051659723)</f>
        <v>46080.58052</v>
      </c>
      <c r="B116" s="81" t="str">
        <f>IFERROR(__xludf.DUMMYFUNCTION("""COMPUTED_VALUE"""),"Brynn Hornig")</f>
        <v>Brynn Hornig</v>
      </c>
      <c r="C116" s="74" t="b">
        <f>IFERROR(__xludf.DUMMYFUNCTION("""COMPUTED_VALUE"""),FALSE)</f>
        <v>0</v>
      </c>
      <c r="D116" s="137">
        <f>IFERROR(__xludf.DUMMYFUNCTION("""COMPUTED_VALUE"""),0.45833333333575865)</f>
        <v>0.4583333333</v>
      </c>
      <c r="E116" s="82">
        <f>IFERROR(__xludf.DUMMYFUNCTION("""COMPUTED_VALUE"""),0.125)</f>
        <v>0.125</v>
      </c>
      <c r="F116" s="137">
        <f>IFERROR(__xludf.DUMMYFUNCTION("""COMPUTED_VALUE"""),0.5833333333357587)</f>
        <v>0.5833333333</v>
      </c>
      <c r="G116" s="82">
        <f>IFERROR(__xludf.DUMMYFUNCTION("""COMPUTED_VALUE"""),0.125)</f>
        <v>0.125</v>
      </c>
      <c r="H116" s="74">
        <f>IFERROR(__xludf.DUMMYFUNCTION("""COMPUTED_VALUE"""),96.0)</f>
        <v>96</v>
      </c>
      <c r="I116" s="84">
        <f>IFERROR(__xludf.DUMMYFUNCTION("""COMPUTED_VALUE"""),32.0)</f>
        <v>32</v>
      </c>
      <c r="J116" s="74" t="str">
        <f>IFERROR(__xludf.DUMMYFUNCTION("""COMPUTED_VALUE"""),"Lunch")</f>
        <v>Lunch</v>
      </c>
      <c r="K116" s="113">
        <f>IFERROR(__xludf.DUMMYFUNCTION("""COMPUTED_VALUE"""),46080.0)</f>
        <v>46080</v>
      </c>
      <c r="L116" s="74" t="str">
        <f>IFERROR(__xludf.DUMMYFUNCTION("""COMPUTED_VALUE"""),"Friday")</f>
        <v>Friday</v>
      </c>
      <c r="M116" s="74" t="str">
        <f>IFERROR(__xludf.DUMMYFUNCTION("""COMPUTED_VALUE"""),"BF")</f>
        <v>BF</v>
      </c>
      <c r="N116" s="114">
        <f>IFERROR(__xludf.DUMMYFUNCTION("""COMPUTED_VALUE"""),1.1287219423046653)</f>
        <v>1.128721942</v>
      </c>
      <c r="O116" s="74" t="str">
        <f>IFERROR(__xludf.DUMMYFUNCTION("""COMPUTED_VALUE"""),"")</f>
        <v/>
      </c>
      <c r="P116" s="74" t="str">
        <f>IFERROR(__xludf.DUMMYFUNCTION("""COMPUTED_VALUE"""),"")</f>
        <v/>
      </c>
      <c r="Q116" s="82" t="str">
        <f>IFERROR(__xludf.DUMMYFUNCTION("""COMPUTED_VALUE"""),"")</f>
        <v/>
      </c>
      <c r="R116" s="82" t="str">
        <f>IFERROR(__xludf.DUMMYFUNCTION("""COMPUTED_VALUE"""),"")</f>
        <v/>
      </c>
      <c r="S116" s="84" t="str">
        <f>IFERROR(__xludf.DUMMYFUNCTION("""COMPUTED_VALUE"""),"")</f>
        <v/>
      </c>
      <c r="T116" s="84" t="str">
        <f>IFERROR(__xludf.DUMMYFUNCTION("""COMPUTED_VALUE"""),"")</f>
        <v/>
      </c>
      <c r="U116" s="74" t="str">
        <f>IFERROR(__xludf.DUMMYFUNCTION("""COMPUTED_VALUE"""),"")</f>
        <v/>
      </c>
      <c r="V116" s="82" t="str">
        <f>IFERROR(__xludf.DUMMYFUNCTION("""COMPUTED_VALUE"""),"")</f>
        <v/>
      </c>
      <c r="W116" s="64" t="str">
        <f>IFERROR(__xludf.DUMMYFUNCTION("""COMPUTED_VALUE"""),"")</f>
        <v/>
      </c>
      <c r="X116" s="84" t="str">
        <f>IFERROR(__xludf.DUMMYFUNCTION("""COMPUTED_VALUE"""),"")</f>
        <v/>
      </c>
      <c r="Y116" s="114" t="str">
        <f>IFERROR(__xludf.DUMMYFUNCTION("""COMPUTED_VALUE"""),"")</f>
        <v/>
      </c>
    </row>
    <row r="117">
      <c r="A117" s="109">
        <f>IFERROR(__xludf.DUMMYFUNCTION("""COMPUTED_VALUE"""),46080.617279178245)</f>
        <v>46080.61728</v>
      </c>
      <c r="B117" s="81" t="str">
        <f>IFERROR(__xludf.DUMMYFUNCTION("""COMPUTED_VALUE"""),"Oluwatimilehin Shodipe")</f>
        <v>Oluwatimilehin Shodipe</v>
      </c>
      <c r="C117" s="74" t="b">
        <f>IFERROR(__xludf.DUMMYFUNCTION("""COMPUTED_VALUE"""),FALSE)</f>
        <v>0</v>
      </c>
      <c r="D117" s="137">
        <f>IFERROR(__xludf.DUMMYFUNCTION("""COMPUTED_VALUE"""),0.48263888889050577)</f>
        <v>0.4826388889</v>
      </c>
      <c r="E117" s="82">
        <f>IFERROR(__xludf.DUMMYFUNCTION("""COMPUTED_VALUE"""),0.14861111110803904)</f>
        <v>0.1486111111</v>
      </c>
      <c r="F117" s="137">
        <f>IFERROR(__xludf.DUMMYFUNCTION("""COMPUTED_VALUE"""),0.6312499999985448)</f>
        <v>0.63125</v>
      </c>
      <c r="G117" s="82">
        <f>IFERROR(__xludf.DUMMYFUNCTION("""COMPUTED_VALUE"""),0.14861111110803904)</f>
        <v>0.1486111111</v>
      </c>
      <c r="H117" s="74">
        <f>IFERROR(__xludf.DUMMYFUNCTION("""COMPUTED_VALUE"""),145.0)</f>
        <v>145</v>
      </c>
      <c r="I117" s="84">
        <f>IFERROR(__xludf.DUMMYFUNCTION("""COMPUTED_VALUE"""),40.654205608317035)</f>
        <v>40.65420561</v>
      </c>
      <c r="J117" s="74" t="str">
        <f>IFERROR(__xludf.DUMMYFUNCTION("""COMPUTED_VALUE"""),"Lunch")</f>
        <v>Lunch</v>
      </c>
      <c r="K117" s="113">
        <f>IFERROR(__xludf.DUMMYFUNCTION("""COMPUTED_VALUE"""),46080.0)</f>
        <v>46080</v>
      </c>
      <c r="L117" s="74" t="str">
        <f>IFERROR(__xludf.DUMMYFUNCTION("""COMPUTED_VALUE"""),"Friday")</f>
        <v>Friday</v>
      </c>
      <c r="M117" s="74" t="str">
        <f>IFERROR(__xludf.DUMMYFUNCTION("""COMPUTED_VALUE"""),"MF")</f>
        <v>MF</v>
      </c>
      <c r="N117" s="114">
        <f>IFERROR(__xludf.DUMMYFUNCTION("""COMPUTED_VALUE"""),0.8085964929655935)</f>
        <v>0.808596493</v>
      </c>
      <c r="O117" s="74" t="str">
        <f>IFERROR(__xludf.DUMMYFUNCTION("""COMPUTED_VALUE"""),"")</f>
        <v/>
      </c>
      <c r="P117" s="74" t="str">
        <f>IFERROR(__xludf.DUMMYFUNCTION("""COMPUTED_VALUE"""),"")</f>
        <v/>
      </c>
      <c r="Q117" s="82" t="str">
        <f>IFERROR(__xludf.DUMMYFUNCTION("""COMPUTED_VALUE"""),"")</f>
        <v/>
      </c>
      <c r="R117" s="82" t="str">
        <f>IFERROR(__xludf.DUMMYFUNCTION("""COMPUTED_VALUE"""),"")</f>
        <v/>
      </c>
      <c r="S117" s="84" t="str">
        <f>IFERROR(__xludf.DUMMYFUNCTION("""COMPUTED_VALUE"""),"")</f>
        <v/>
      </c>
      <c r="T117" s="84" t="str">
        <f>IFERROR(__xludf.DUMMYFUNCTION("""COMPUTED_VALUE"""),"")</f>
        <v/>
      </c>
      <c r="U117" s="74" t="str">
        <f>IFERROR(__xludf.DUMMYFUNCTION("""COMPUTED_VALUE"""),"")</f>
        <v/>
      </c>
      <c r="V117" s="82" t="str">
        <f>IFERROR(__xludf.DUMMYFUNCTION("""COMPUTED_VALUE"""),"")</f>
        <v/>
      </c>
      <c r="W117" s="64" t="str">
        <f>IFERROR(__xludf.DUMMYFUNCTION("""COMPUTED_VALUE"""),"")</f>
        <v/>
      </c>
      <c r="X117" s="84" t="str">
        <f>IFERROR(__xludf.DUMMYFUNCTION("""COMPUTED_VALUE"""),"")</f>
        <v/>
      </c>
      <c r="Y117" s="114" t="str">
        <f>IFERROR(__xludf.DUMMYFUNCTION("""COMPUTED_VALUE"""),"")</f>
        <v/>
      </c>
    </row>
    <row r="118">
      <c r="A118" s="109">
        <f>IFERROR(__xludf.DUMMYFUNCTION("""COMPUTED_VALUE"""),46080.78070474537)</f>
        <v>46080.7807</v>
      </c>
      <c r="B118" s="81" t="str">
        <f>IFERROR(__xludf.DUMMYFUNCTION("""COMPUTED_VALUE"""),"Leah Bucci")</f>
        <v>Leah Bucci</v>
      </c>
      <c r="C118" s="74" t="b">
        <f>IFERROR(__xludf.DUMMYFUNCTION("""COMPUTED_VALUE"""),FALSE)</f>
        <v>0</v>
      </c>
      <c r="D118" s="137">
        <f>IFERROR(__xludf.DUMMYFUNCTION("""COMPUTED_VALUE"""),0.6666666666642413)</f>
        <v>0.6666666667</v>
      </c>
      <c r="E118" s="82">
        <f>IFERROR(__xludf.DUMMYFUNCTION("""COMPUTED_VALUE"""),0.07638888889050577)</f>
        <v>0.07638888889</v>
      </c>
      <c r="F118" s="137">
        <f>IFERROR(__xludf.DUMMYFUNCTION("""COMPUTED_VALUE"""),0.7430555555547471)</f>
        <v>0.7430555556</v>
      </c>
      <c r="G118" s="82">
        <f>IFERROR(__xludf.DUMMYFUNCTION("""COMPUTED_VALUE"""),0.07638888889050577)</f>
        <v>0.07638888889</v>
      </c>
      <c r="H118" s="74">
        <f>IFERROR(__xludf.DUMMYFUNCTION("""COMPUTED_VALUE"""),121.0)</f>
        <v>121</v>
      </c>
      <c r="I118" s="84">
        <f>IFERROR(__xludf.DUMMYFUNCTION("""COMPUTED_VALUE"""),65.99999999860302)</f>
        <v>66</v>
      </c>
      <c r="J118" s="74" t="str">
        <f>IFERROR(__xludf.DUMMYFUNCTION("""COMPUTED_VALUE"""),"Dinner")</f>
        <v>Dinner</v>
      </c>
      <c r="K118" s="113">
        <f>IFERROR(__xludf.DUMMYFUNCTION("""COMPUTED_VALUE"""),46080.0)</f>
        <v>46080</v>
      </c>
      <c r="L118" s="74" t="str">
        <f>IFERROR(__xludf.DUMMYFUNCTION("""COMPUTED_VALUE"""),"Friday")</f>
        <v>Friday</v>
      </c>
      <c r="M118" s="74" t="str">
        <f>IFERROR(__xludf.DUMMYFUNCTION("""COMPUTED_VALUE"""),"MF")</f>
        <v>MF</v>
      </c>
      <c r="N118" s="114">
        <f>IFERROR(__xludf.DUMMYFUNCTION("""COMPUTED_VALUE"""),1.4230369881395781)</f>
        <v>1.423036988</v>
      </c>
      <c r="O118" s="74">
        <f>IFERROR(__xludf.DUMMYFUNCTION("""COMPUTED_VALUE"""),266.0)</f>
        <v>266</v>
      </c>
      <c r="P118" s="74">
        <f>IFERROR(__xludf.DUMMYFUNCTION("""COMPUTED_VALUE"""),206.0)</f>
        <v>206</v>
      </c>
      <c r="Q118" s="82">
        <f>IFERROR(__xludf.DUMMYFUNCTION("""COMPUTED_VALUE"""),0.2249999999985448)</f>
        <v>0.225</v>
      </c>
      <c r="R118" s="82">
        <f>IFERROR(__xludf.DUMMYFUNCTION("""COMPUTED_VALUE"""),0.18541666666715173)</f>
        <v>0.1854166667</v>
      </c>
      <c r="S118" s="84">
        <f>IFERROR(__xludf.DUMMYFUNCTION("""COMPUTED_VALUE"""),53.32710280346002)</f>
        <v>53.3271028</v>
      </c>
      <c r="T118" s="84">
        <f>IFERROR(__xludf.DUMMYFUNCTION("""COMPUTED_VALUE"""),53.93103448245409)</f>
        <v>53.93103448</v>
      </c>
      <c r="U118" s="74">
        <f>IFERROR(__xludf.DUMMYFUNCTION("""COMPUTED_VALUE"""),472.0)</f>
        <v>472</v>
      </c>
      <c r="V118" s="82">
        <f>IFERROR(__xludf.DUMMYFUNCTION("""COMPUTED_VALUE"""),0.41041666666569654)</f>
        <v>0.4104166667</v>
      </c>
      <c r="W118" s="64">
        <f>IFERROR(__xludf.DUMMYFUNCTION("""COMPUTED_VALUE"""),47.91878172600159)</f>
        <v>47.91878173</v>
      </c>
      <c r="X118" s="84">
        <f>IFERROR(__xludf.DUMMYFUNCTION("""COMPUTED_VALUE"""),53.62906864295706)</f>
        <v>53.62906864</v>
      </c>
      <c r="Y118" s="114">
        <f>IFERROR(__xludf.DUMMYFUNCTION("""COMPUTED_VALUE"""),1.2297396465685173)</f>
        <v>1.229739647</v>
      </c>
    </row>
    <row r="119">
      <c r="A119" s="109">
        <f>IFERROR(__xludf.DUMMYFUNCTION("""COMPUTED_VALUE"""),46083.437874247684)</f>
        <v>46083.43787</v>
      </c>
      <c r="B119" s="81" t="str">
        <f>IFERROR(__xludf.DUMMYFUNCTION("""COMPUTED_VALUE"""),"Sophia Kluck")</f>
        <v>Sophia Kluck</v>
      </c>
      <c r="C119" s="74" t="b">
        <f>IFERROR(__xludf.DUMMYFUNCTION("""COMPUTED_VALUE"""),FALSE)</f>
        <v>0</v>
      </c>
      <c r="D119" s="137">
        <f>IFERROR(__xludf.DUMMYFUNCTION("""COMPUTED_VALUE"""),0.37083333333430346)</f>
        <v>0.3708333333</v>
      </c>
      <c r="E119" s="82">
        <f>IFERROR(__xludf.DUMMYFUNCTION("""COMPUTED_VALUE"""),0.0625)</f>
        <v>0.0625</v>
      </c>
      <c r="F119" s="137">
        <f>IFERROR(__xludf.DUMMYFUNCTION("""COMPUTED_VALUE"""),0.43333333333430346)</f>
        <v>0.4333333333</v>
      </c>
      <c r="G119" s="82">
        <f>IFERROR(__xludf.DUMMYFUNCTION("""COMPUTED_VALUE"""),0.0625)</f>
        <v>0.0625</v>
      </c>
      <c r="H119" s="74">
        <f>IFERROR(__xludf.DUMMYFUNCTION("""COMPUTED_VALUE"""),39.0)</f>
        <v>39</v>
      </c>
      <c r="I119" s="84">
        <f>IFERROR(__xludf.DUMMYFUNCTION("""COMPUTED_VALUE"""),26.0)</f>
        <v>26</v>
      </c>
      <c r="J119" s="74" t="str">
        <f>IFERROR(__xludf.DUMMYFUNCTION("""COMPUTED_VALUE"""),"Breakfast")</f>
        <v>Breakfast</v>
      </c>
      <c r="K119" s="113">
        <f>IFERROR(__xludf.DUMMYFUNCTION("""COMPUTED_VALUE"""),46083.0)</f>
        <v>46083</v>
      </c>
      <c r="L119" s="74" t="str">
        <f>IFERROR(__xludf.DUMMYFUNCTION("""COMPUTED_VALUE"""),"Monday")</f>
        <v>Monday</v>
      </c>
      <c r="M119" s="74" t="str">
        <f>IFERROR(__xludf.DUMMYFUNCTION("""COMPUTED_VALUE"""),"BF")</f>
        <v>BF</v>
      </c>
      <c r="N119" s="114">
        <f>IFERROR(__xludf.DUMMYFUNCTION("""COMPUTED_VALUE"""),0.9170865781225405)</f>
        <v>0.9170865781</v>
      </c>
      <c r="O119" s="74" t="str">
        <f>IFERROR(__xludf.DUMMYFUNCTION("""COMPUTED_VALUE"""),"")</f>
        <v/>
      </c>
      <c r="P119" s="74" t="str">
        <f>IFERROR(__xludf.DUMMYFUNCTION("""COMPUTED_VALUE"""),"")</f>
        <v/>
      </c>
      <c r="Q119" s="82" t="str">
        <f>IFERROR(__xludf.DUMMYFUNCTION("""COMPUTED_VALUE"""),"")</f>
        <v/>
      </c>
      <c r="R119" s="82" t="str">
        <f>IFERROR(__xludf.DUMMYFUNCTION("""COMPUTED_VALUE"""),"")</f>
        <v/>
      </c>
      <c r="S119" s="84" t="str">
        <f>IFERROR(__xludf.DUMMYFUNCTION("""COMPUTED_VALUE"""),"")</f>
        <v/>
      </c>
      <c r="T119" s="84" t="str">
        <f>IFERROR(__xludf.DUMMYFUNCTION("""COMPUTED_VALUE"""),"")</f>
        <v/>
      </c>
      <c r="U119" s="74" t="str">
        <f>IFERROR(__xludf.DUMMYFUNCTION("""COMPUTED_VALUE"""),"")</f>
        <v/>
      </c>
      <c r="V119" s="82" t="str">
        <f>IFERROR(__xludf.DUMMYFUNCTION("""COMPUTED_VALUE"""),"")</f>
        <v/>
      </c>
      <c r="W119" s="64" t="str">
        <f>IFERROR(__xludf.DUMMYFUNCTION("""COMPUTED_VALUE"""),"")</f>
        <v/>
      </c>
      <c r="X119" s="84" t="str">
        <f>IFERROR(__xludf.DUMMYFUNCTION("""COMPUTED_VALUE"""),"")</f>
        <v/>
      </c>
      <c r="Y119" s="114" t="str">
        <f>IFERROR(__xludf.DUMMYFUNCTION("""COMPUTED_VALUE"""),"")</f>
        <v/>
      </c>
    </row>
    <row r="120">
      <c r="A120" s="109">
        <f>IFERROR(__xludf.DUMMYFUNCTION("""COMPUTED_VALUE"""),46083.641478425925)</f>
        <v>46083.64148</v>
      </c>
      <c r="B120" s="81" t="str">
        <f>IFERROR(__xludf.DUMMYFUNCTION("""COMPUTED_VALUE"""),"Brynn Hornig")</f>
        <v>Brynn Hornig</v>
      </c>
      <c r="C120" s="74" t="b">
        <f>IFERROR(__xludf.DUMMYFUNCTION("""COMPUTED_VALUE"""),FALSE)</f>
        <v>0</v>
      </c>
      <c r="D120" s="137">
        <f>IFERROR(__xludf.DUMMYFUNCTION("""COMPUTED_VALUE"""),0.5208333333357587)</f>
        <v>0.5208333333</v>
      </c>
      <c r="E120" s="82">
        <f>IFERROR(__xludf.DUMMYFUNCTION("""COMPUTED_VALUE"""),0.125)</f>
        <v>0.125</v>
      </c>
      <c r="F120" s="137">
        <f>IFERROR(__xludf.DUMMYFUNCTION("""COMPUTED_VALUE"""),0.6458333333357587)</f>
        <v>0.6458333333</v>
      </c>
      <c r="G120" s="82">
        <f>IFERROR(__xludf.DUMMYFUNCTION("""COMPUTED_VALUE"""),0.125)</f>
        <v>0.125</v>
      </c>
      <c r="H120" s="74">
        <f>IFERROR(__xludf.DUMMYFUNCTION("""COMPUTED_VALUE"""),90.0)</f>
        <v>90</v>
      </c>
      <c r="I120" s="84">
        <f>IFERROR(__xludf.DUMMYFUNCTION("""COMPUTED_VALUE"""),30.0)</f>
        <v>30</v>
      </c>
      <c r="J120" s="74" t="str">
        <f>IFERROR(__xludf.DUMMYFUNCTION("""COMPUTED_VALUE"""),"Lunch")</f>
        <v>Lunch</v>
      </c>
      <c r="K120" s="113">
        <f>IFERROR(__xludf.DUMMYFUNCTION("""COMPUTED_VALUE"""),46083.0)</f>
        <v>46083</v>
      </c>
      <c r="L120" s="74" t="str">
        <f>IFERROR(__xludf.DUMMYFUNCTION("""COMPUTED_VALUE"""),"Monday")</f>
        <v>Monday</v>
      </c>
      <c r="M120" s="74" t="str">
        <f>IFERROR(__xludf.DUMMYFUNCTION("""COMPUTED_VALUE"""),"BF")</f>
        <v>BF</v>
      </c>
      <c r="N120" s="114">
        <f>IFERROR(__xludf.DUMMYFUNCTION("""COMPUTED_VALUE"""),1.0581768209106235)</f>
        <v>1.058176821</v>
      </c>
      <c r="O120" s="74" t="str">
        <f>IFERROR(__xludf.DUMMYFUNCTION("""COMPUTED_VALUE"""),"")</f>
        <v/>
      </c>
      <c r="P120" s="74" t="str">
        <f>IFERROR(__xludf.DUMMYFUNCTION("""COMPUTED_VALUE"""),"")</f>
        <v/>
      </c>
      <c r="Q120" s="82" t="str">
        <f>IFERROR(__xludf.DUMMYFUNCTION("""COMPUTED_VALUE"""),"")</f>
        <v/>
      </c>
      <c r="R120" s="82" t="str">
        <f>IFERROR(__xludf.DUMMYFUNCTION("""COMPUTED_VALUE"""),"")</f>
        <v/>
      </c>
      <c r="S120" s="84" t="str">
        <f>IFERROR(__xludf.DUMMYFUNCTION("""COMPUTED_VALUE"""),"")</f>
        <v/>
      </c>
      <c r="T120" s="84" t="str">
        <f>IFERROR(__xludf.DUMMYFUNCTION("""COMPUTED_VALUE"""),"")</f>
        <v/>
      </c>
      <c r="U120" s="74" t="str">
        <f>IFERROR(__xludf.DUMMYFUNCTION("""COMPUTED_VALUE"""),"")</f>
        <v/>
      </c>
      <c r="V120" s="82" t="str">
        <f>IFERROR(__xludf.DUMMYFUNCTION("""COMPUTED_VALUE"""),"")</f>
        <v/>
      </c>
      <c r="W120" s="64" t="str">
        <f>IFERROR(__xludf.DUMMYFUNCTION("""COMPUTED_VALUE"""),"")</f>
        <v/>
      </c>
      <c r="X120" s="84" t="str">
        <f>IFERROR(__xludf.DUMMYFUNCTION("""COMPUTED_VALUE"""),"")</f>
        <v/>
      </c>
      <c r="Y120" s="114" t="str">
        <f>IFERROR(__xludf.DUMMYFUNCTION("""COMPUTED_VALUE"""),"")</f>
        <v/>
      </c>
    </row>
    <row r="121">
      <c r="A121" s="109">
        <f>IFERROR(__xludf.DUMMYFUNCTION("""COMPUTED_VALUE"""),46083.748098449076)</f>
        <v>46083.7481</v>
      </c>
      <c r="B121" s="81" t="str">
        <f>IFERROR(__xludf.DUMMYFUNCTION("""COMPUTED_VALUE"""),"Orpheus Wilson")</f>
        <v>Orpheus Wilson</v>
      </c>
      <c r="C121" s="74" t="b">
        <f>IFERROR(__xludf.DUMMYFUNCTION("""COMPUTED_VALUE"""),FALSE)</f>
        <v>0</v>
      </c>
      <c r="D121" s="137">
        <f>IFERROR(__xludf.DUMMYFUNCTION("""COMPUTED_VALUE"""),0.6708333333372138)</f>
        <v>0.6708333333</v>
      </c>
      <c r="E121" s="82">
        <f>IFERROR(__xludf.DUMMYFUNCTION("""COMPUTED_VALUE"""),0.07569444444379769)</f>
        <v>0.07569444444</v>
      </c>
      <c r="F121" s="137">
        <f>IFERROR(__xludf.DUMMYFUNCTION("""COMPUTED_VALUE"""),0.7465277777810115)</f>
        <v>0.7465277778</v>
      </c>
      <c r="G121" s="82">
        <f>IFERROR(__xludf.DUMMYFUNCTION("""COMPUTED_VALUE"""),0.07569444444379769)</f>
        <v>0.07569444444</v>
      </c>
      <c r="H121" s="74">
        <f>IFERROR(__xludf.DUMMYFUNCTION("""COMPUTED_VALUE"""),95.0)</f>
        <v>95</v>
      </c>
      <c r="I121" s="84">
        <f>IFERROR(__xludf.DUMMYFUNCTION("""COMPUTED_VALUE"""),52.293577982098185)</f>
        <v>52.29357798</v>
      </c>
      <c r="J121" s="74" t="str">
        <f>IFERROR(__xludf.DUMMYFUNCTION("""COMPUTED_VALUE"""),"Dinner")</f>
        <v>Dinner</v>
      </c>
      <c r="K121" s="113">
        <f>IFERROR(__xludf.DUMMYFUNCTION("""COMPUTED_VALUE"""),46083.0)</f>
        <v>46083</v>
      </c>
      <c r="L121" s="74" t="str">
        <f>IFERROR(__xludf.DUMMYFUNCTION("""COMPUTED_VALUE"""),"Monday")</f>
        <v>Monday</v>
      </c>
      <c r="M121" s="74" t="str">
        <f>IFERROR(__xludf.DUMMYFUNCTION("""COMPUTED_VALUE"""),"MF")</f>
        <v>MF</v>
      </c>
      <c r="N121" s="114">
        <f>IFERROR(__xludf.DUMMYFUNCTION("""COMPUTED_VALUE"""),1.127510541094883)</f>
        <v>1.127510541</v>
      </c>
      <c r="O121" s="74" t="str">
        <f>IFERROR(__xludf.DUMMYFUNCTION("""COMPUTED_VALUE"""),"")</f>
        <v/>
      </c>
      <c r="P121" s="74" t="str">
        <f>IFERROR(__xludf.DUMMYFUNCTION("""COMPUTED_VALUE"""),"")</f>
        <v/>
      </c>
      <c r="Q121" s="82" t="str">
        <f>IFERROR(__xludf.DUMMYFUNCTION("""COMPUTED_VALUE"""),"")</f>
        <v/>
      </c>
      <c r="R121" s="82" t="str">
        <f>IFERROR(__xludf.DUMMYFUNCTION("""COMPUTED_VALUE"""),"")</f>
        <v/>
      </c>
      <c r="S121" s="84" t="str">
        <f>IFERROR(__xludf.DUMMYFUNCTION("""COMPUTED_VALUE"""),"")</f>
        <v/>
      </c>
      <c r="T121" s="84" t="str">
        <f>IFERROR(__xludf.DUMMYFUNCTION("""COMPUTED_VALUE"""),"")</f>
        <v/>
      </c>
      <c r="U121" s="74" t="str">
        <f>IFERROR(__xludf.DUMMYFUNCTION("""COMPUTED_VALUE"""),"")</f>
        <v/>
      </c>
      <c r="V121" s="82" t="str">
        <f>IFERROR(__xludf.DUMMYFUNCTION("""COMPUTED_VALUE"""),"")</f>
        <v/>
      </c>
      <c r="W121" s="64" t="str">
        <f>IFERROR(__xludf.DUMMYFUNCTION("""COMPUTED_VALUE"""),"")</f>
        <v/>
      </c>
      <c r="X121" s="84" t="str">
        <f>IFERROR(__xludf.DUMMYFUNCTION("""COMPUTED_VALUE"""),"")</f>
        <v/>
      </c>
      <c r="Y121" s="114" t="str">
        <f>IFERROR(__xludf.DUMMYFUNCTION("""COMPUTED_VALUE"""),"")</f>
        <v/>
      </c>
    </row>
    <row r="122">
      <c r="A122" s="109">
        <f>IFERROR(__xludf.DUMMYFUNCTION("""COMPUTED_VALUE"""),46083.843096770834)</f>
        <v>46083.8431</v>
      </c>
      <c r="B122" s="81" t="str">
        <f>IFERROR(__xludf.DUMMYFUNCTION("""COMPUTED_VALUE"""),"Maureen Surgot")</f>
        <v>Maureen Surgot</v>
      </c>
      <c r="C122" s="74" t="b">
        <f>IFERROR(__xludf.DUMMYFUNCTION("""COMPUTED_VALUE"""),FALSE)</f>
        <v>0</v>
      </c>
      <c r="D122" s="137">
        <f>IFERROR(__xludf.DUMMYFUNCTION("""COMPUTED_VALUE"""),0.75)</f>
        <v>0.75</v>
      </c>
      <c r="E122" s="82">
        <f>IFERROR(__xludf.DUMMYFUNCTION("""COMPUTED_VALUE"""),0.09027777778101154)</f>
        <v>0.09027777778</v>
      </c>
      <c r="F122" s="137">
        <f>IFERROR(__xludf.DUMMYFUNCTION("""COMPUTED_VALUE"""),0.8402777777810115)</f>
        <v>0.8402777778</v>
      </c>
      <c r="G122" s="82">
        <f>IFERROR(__xludf.DUMMYFUNCTION("""COMPUTED_VALUE"""),0.09027777778101154)</f>
        <v>0.09027777778</v>
      </c>
      <c r="H122" s="74">
        <f>IFERROR(__xludf.DUMMYFUNCTION("""COMPUTED_VALUE"""),140.0)</f>
        <v>140</v>
      </c>
      <c r="I122" s="84">
        <f>IFERROR(__xludf.DUMMYFUNCTION("""COMPUTED_VALUE"""),64.61538461307009)</f>
        <v>64.61538461</v>
      </c>
      <c r="J122" s="74" t="str">
        <f>IFERROR(__xludf.DUMMYFUNCTION("""COMPUTED_VALUE"""),"Dinner")</f>
        <v>Dinner</v>
      </c>
      <c r="K122" s="113">
        <f>IFERROR(__xludf.DUMMYFUNCTION("""COMPUTED_VALUE"""),46083.0)</f>
        <v>46083</v>
      </c>
      <c r="L122" s="74" t="str">
        <f>IFERROR(__xludf.DUMMYFUNCTION("""COMPUTED_VALUE"""),"Monday")</f>
        <v>Monday</v>
      </c>
      <c r="M122" s="74" t="str">
        <f>IFERROR(__xludf.DUMMYFUNCTION("""COMPUTED_VALUE"""),"MF")</f>
        <v>MF</v>
      </c>
      <c r="N122" s="114">
        <f>IFERROR(__xludf.DUMMYFUNCTION("""COMPUTED_VALUE"""),1.39318306529106)</f>
        <v>1.393183065</v>
      </c>
      <c r="O122" s="74" t="str">
        <f>IFERROR(__xludf.DUMMYFUNCTION("""COMPUTED_VALUE"""),"")</f>
        <v/>
      </c>
      <c r="P122" s="74" t="str">
        <f>IFERROR(__xludf.DUMMYFUNCTION("""COMPUTED_VALUE"""),"")</f>
        <v/>
      </c>
      <c r="Q122" s="82" t="str">
        <f>IFERROR(__xludf.DUMMYFUNCTION("""COMPUTED_VALUE"""),"")</f>
        <v/>
      </c>
      <c r="R122" s="82" t="str">
        <f>IFERROR(__xludf.DUMMYFUNCTION("""COMPUTED_VALUE"""),"")</f>
        <v/>
      </c>
      <c r="S122" s="84" t="str">
        <f>IFERROR(__xludf.DUMMYFUNCTION("""COMPUTED_VALUE"""),"")</f>
        <v/>
      </c>
      <c r="T122" s="84" t="str">
        <f>IFERROR(__xludf.DUMMYFUNCTION("""COMPUTED_VALUE"""),"")</f>
        <v/>
      </c>
      <c r="U122" s="74" t="str">
        <f>IFERROR(__xludf.DUMMYFUNCTION("""COMPUTED_VALUE"""),"")</f>
        <v/>
      </c>
      <c r="V122" s="82" t="str">
        <f>IFERROR(__xludf.DUMMYFUNCTION("""COMPUTED_VALUE"""),"")</f>
        <v/>
      </c>
      <c r="W122" s="64" t="str">
        <f>IFERROR(__xludf.DUMMYFUNCTION("""COMPUTED_VALUE"""),"")</f>
        <v/>
      </c>
      <c r="X122" s="84" t="str">
        <f>IFERROR(__xludf.DUMMYFUNCTION("""COMPUTED_VALUE"""),"")</f>
        <v/>
      </c>
      <c r="Y122" s="114" t="str">
        <f>IFERROR(__xludf.DUMMYFUNCTION("""COMPUTED_VALUE"""),"")</f>
        <v/>
      </c>
    </row>
    <row r="123">
      <c r="A123" s="109">
        <f>IFERROR(__xludf.DUMMYFUNCTION("""COMPUTED_VALUE"""),46083.95738878472)</f>
        <v>46083.95739</v>
      </c>
      <c r="B123" s="81" t="str">
        <f>IFERROR(__xludf.DUMMYFUNCTION("""COMPUTED_VALUE"""),"Denise Romanszysn")</f>
        <v>Denise Romanszysn</v>
      </c>
      <c r="C123" s="74" t="b">
        <f>IFERROR(__xludf.DUMMYFUNCTION("""COMPUTED_VALUE"""),FALSE)</f>
        <v>0</v>
      </c>
      <c r="D123" s="137">
        <f>IFERROR(__xludf.DUMMYFUNCTION("""COMPUTED_VALUE"""),0.44097222221898846)</f>
        <v>0.4409722222</v>
      </c>
      <c r="E123" s="82">
        <f>IFERROR(__xludf.DUMMYFUNCTION("""COMPUTED_VALUE"""),0.045833333337213844)</f>
        <v>0.04583333334</v>
      </c>
      <c r="F123" s="137">
        <f>IFERROR(__xludf.DUMMYFUNCTION("""COMPUTED_VALUE"""),0.4868055555562023)</f>
        <v>0.4868055556</v>
      </c>
      <c r="G123" s="82">
        <f>IFERROR(__xludf.DUMMYFUNCTION("""COMPUTED_VALUE"""),0.045833333337213844)</f>
        <v>0.04583333334</v>
      </c>
      <c r="H123" s="74">
        <f>IFERROR(__xludf.DUMMYFUNCTION("""COMPUTED_VALUE"""),61.0)</f>
        <v>61</v>
      </c>
      <c r="I123" s="84">
        <f>IFERROR(__xludf.DUMMYFUNCTION("""COMPUTED_VALUE"""),55.45454544985036)</f>
        <v>55.45454545</v>
      </c>
      <c r="J123" s="74" t="str">
        <f>IFERROR(__xludf.DUMMYFUNCTION("""COMPUTED_VALUE"""),"Breakfast/Lunch")</f>
        <v>Breakfast/Lunch</v>
      </c>
      <c r="K123" s="113">
        <f>IFERROR(__xludf.DUMMYFUNCTION("""COMPUTED_VALUE"""),46083.0)</f>
        <v>46083</v>
      </c>
      <c r="L123" s="74" t="str">
        <f>IFERROR(__xludf.DUMMYFUNCTION("""COMPUTED_VALUE"""),"Monday")</f>
        <v>Monday</v>
      </c>
      <c r="M123" s="74" t="str">
        <f>IFERROR(__xludf.DUMMYFUNCTION("""COMPUTED_VALUE"""),"BF")</f>
        <v>BF</v>
      </c>
      <c r="N123" s="114">
        <f>IFERROR(__xludf.DUMMYFUNCTION("""COMPUTED_VALUE"""),1.6037491356123734)</f>
        <v>1.603749136</v>
      </c>
      <c r="O123" s="74" t="str">
        <f>IFERROR(__xludf.DUMMYFUNCTION("""COMPUTED_VALUE"""),"")</f>
        <v/>
      </c>
      <c r="P123" s="74" t="str">
        <f>IFERROR(__xludf.DUMMYFUNCTION("""COMPUTED_VALUE"""),"")</f>
        <v/>
      </c>
      <c r="Q123" s="82" t="str">
        <f>IFERROR(__xludf.DUMMYFUNCTION("""COMPUTED_VALUE"""),"")</f>
        <v/>
      </c>
      <c r="R123" s="82" t="str">
        <f>IFERROR(__xludf.DUMMYFUNCTION("""COMPUTED_VALUE"""),"")</f>
        <v/>
      </c>
      <c r="S123" s="84" t="str">
        <f>IFERROR(__xludf.DUMMYFUNCTION("""COMPUTED_VALUE"""),"")</f>
        <v/>
      </c>
      <c r="T123" s="84" t="str">
        <f>IFERROR(__xludf.DUMMYFUNCTION("""COMPUTED_VALUE"""),"")</f>
        <v/>
      </c>
      <c r="U123" s="74" t="str">
        <f>IFERROR(__xludf.DUMMYFUNCTION("""COMPUTED_VALUE"""),"")</f>
        <v/>
      </c>
      <c r="V123" s="82" t="str">
        <f>IFERROR(__xludf.DUMMYFUNCTION("""COMPUTED_VALUE"""),"")</f>
        <v/>
      </c>
      <c r="W123" s="64" t="str">
        <f>IFERROR(__xludf.DUMMYFUNCTION("""COMPUTED_VALUE"""),"")</f>
        <v/>
      </c>
      <c r="X123" s="84" t="str">
        <f>IFERROR(__xludf.DUMMYFUNCTION("""COMPUTED_VALUE"""),"")</f>
        <v/>
      </c>
      <c r="Y123" s="114" t="str">
        <f>IFERROR(__xludf.DUMMYFUNCTION("""COMPUTED_VALUE"""),"")</f>
        <v/>
      </c>
    </row>
    <row r="124">
      <c r="A124" s="109">
        <f>IFERROR(__xludf.DUMMYFUNCTION("""COMPUTED_VALUE"""),46083.958136064815)</f>
        <v>46083.95814</v>
      </c>
      <c r="B124" s="81" t="str">
        <f>IFERROR(__xludf.DUMMYFUNCTION("""COMPUTED_VALUE"""),"Denise Romanszysn")</f>
        <v>Denise Romanszysn</v>
      </c>
      <c r="C124" s="74" t="b">
        <f>IFERROR(__xludf.DUMMYFUNCTION("""COMPUTED_VALUE"""),FALSE)</f>
        <v>0</v>
      </c>
      <c r="D124" s="137">
        <f>IFERROR(__xludf.DUMMYFUNCTION("""COMPUTED_VALUE"""),0.5451388888905058)</f>
        <v>0.5451388889</v>
      </c>
      <c r="E124" s="82">
        <f>IFERROR(__xludf.DUMMYFUNCTION("""COMPUTED_VALUE"""),0.07638888889050577)</f>
        <v>0.07638888889</v>
      </c>
      <c r="F124" s="137">
        <f>IFERROR(__xludf.DUMMYFUNCTION("""COMPUTED_VALUE"""),0.6215277777810115)</f>
        <v>0.6215277778</v>
      </c>
      <c r="G124" s="82">
        <f>IFERROR(__xludf.DUMMYFUNCTION("""COMPUTED_VALUE"""),0.07638888889050577)</f>
        <v>0.07638888889</v>
      </c>
      <c r="H124" s="74">
        <f>IFERROR(__xludf.DUMMYFUNCTION("""COMPUTED_VALUE"""),103.0)</f>
        <v>103</v>
      </c>
      <c r="I124" s="84">
        <f>IFERROR(__xludf.DUMMYFUNCTION("""COMPUTED_VALUE"""),56.181818180629016)</f>
        <v>56.18181818</v>
      </c>
      <c r="J124" s="74" t="str">
        <f>IFERROR(__xludf.DUMMYFUNCTION("""COMPUTED_VALUE"""),"Lunch")</f>
        <v>Lunch</v>
      </c>
      <c r="K124" s="113">
        <f>IFERROR(__xludf.DUMMYFUNCTION("""COMPUTED_VALUE"""),46083.0)</f>
        <v>46083</v>
      </c>
      <c r="L124" s="74" t="str">
        <f>IFERROR(__xludf.DUMMYFUNCTION("""COMPUTED_VALUE"""),"Monday")</f>
        <v>Monday</v>
      </c>
      <c r="M124" s="74" t="str">
        <f>IFERROR(__xludf.DUMMYFUNCTION("""COMPUTED_VALUE"""),"MF")</f>
        <v>MF</v>
      </c>
      <c r="N124" s="114">
        <f>IFERROR(__xludf.DUMMYFUNCTION("""COMPUTED_VALUE"""),1.1174347270972995)</f>
        <v>1.117434727</v>
      </c>
      <c r="O124" s="74">
        <f>IFERROR(__xludf.DUMMYFUNCTION("""COMPUTED_VALUE"""),338.0)</f>
        <v>338</v>
      </c>
      <c r="P124" s="74">
        <f>IFERROR(__xludf.DUMMYFUNCTION("""COMPUTED_VALUE"""),190.0)</f>
        <v>190</v>
      </c>
      <c r="Q124" s="82">
        <f>IFERROR(__xludf.DUMMYFUNCTION("""COMPUTED_VALUE"""),0.242361111115315)</f>
        <v>0.2423611111</v>
      </c>
      <c r="R124" s="82">
        <f>IFERROR(__xludf.DUMMYFUNCTION("""COMPUTED_VALUE"""),0.23333333333721384)</f>
        <v>0.2333333333</v>
      </c>
      <c r="S124" s="84">
        <f>IFERROR(__xludf.DUMMYFUNCTION("""COMPUTED_VALUE"""),57.696926925265764)</f>
        <v>57.69692693</v>
      </c>
      <c r="T124" s="84">
        <f>IFERROR(__xludf.DUMMYFUNCTION("""COMPUTED_VALUE"""),37.15151514995012)</f>
        <v>37.15151515</v>
      </c>
      <c r="U124" s="74">
        <f>IFERROR(__xludf.DUMMYFUNCTION("""COMPUTED_VALUE"""),528.0)</f>
        <v>528</v>
      </c>
      <c r="V124" s="82">
        <f>IFERROR(__xludf.DUMMYFUNCTION("""COMPUTED_VALUE"""),0.47569444445252884)</f>
        <v>0.4756944445</v>
      </c>
      <c r="W124" s="64">
        <f>IFERROR(__xludf.DUMMYFUNCTION("""COMPUTED_VALUE"""),46.248175181695764)</f>
        <v>46.24817518</v>
      </c>
      <c r="X124" s="84">
        <f>IFERROR(__xludf.DUMMYFUNCTION("""COMPUTED_VALUE"""),47.42422103760794)</f>
        <v>47.42422104</v>
      </c>
      <c r="Y124" s="114">
        <f>IFERROR(__xludf.DUMMYFUNCTION("""COMPUTED_VALUE"""),0.9225445148918504)</f>
        <v>0.9225445149</v>
      </c>
    </row>
    <row r="125">
      <c r="A125" s="109">
        <f>IFERROR(__xludf.DUMMYFUNCTION("""COMPUTED_VALUE"""),46084.52628614583)</f>
        <v>46084.52629</v>
      </c>
      <c r="B125" s="81" t="str">
        <f>IFERROR(__xludf.DUMMYFUNCTION("""COMPUTED_VALUE"""),"Kaylie Forgue")</f>
        <v>Kaylie Forgue</v>
      </c>
      <c r="C125" s="74" t="b">
        <f>IFERROR(__xludf.DUMMYFUNCTION("""COMPUTED_VALUE"""),FALSE)</f>
        <v>0</v>
      </c>
      <c r="D125" s="137">
        <f>IFERROR(__xludf.DUMMYFUNCTION("""COMPUTED_VALUE"""),0.44652777777810115)</f>
        <v>0.4465277778</v>
      </c>
      <c r="E125" s="82">
        <f>IFERROR(__xludf.DUMMYFUNCTION("""COMPUTED_VALUE"""),0.07291666666424135)</f>
        <v>0.07291666666</v>
      </c>
      <c r="F125" s="137">
        <f>IFERROR(__xludf.DUMMYFUNCTION("""COMPUTED_VALUE"""),0.5194444444423425)</f>
        <v>0.5194444444</v>
      </c>
      <c r="G125" s="82">
        <f>IFERROR(__xludf.DUMMYFUNCTION("""COMPUTED_VALUE"""),0.07291666666424135)</f>
        <v>0.07291666666</v>
      </c>
      <c r="H125" s="74">
        <f>IFERROR(__xludf.DUMMYFUNCTION("""COMPUTED_VALUE"""),60.0)</f>
        <v>60</v>
      </c>
      <c r="I125" s="84">
        <f>IFERROR(__xludf.DUMMYFUNCTION("""COMPUTED_VALUE"""),34.28571428685468)</f>
        <v>34.28571429</v>
      </c>
      <c r="J125" s="74" t="str">
        <f>IFERROR(__xludf.DUMMYFUNCTION("""COMPUTED_VALUE"""),"Breakfast/Lunch")</f>
        <v>Breakfast/Lunch</v>
      </c>
      <c r="K125" s="113">
        <f>IFERROR(__xludf.DUMMYFUNCTION("""COMPUTED_VALUE"""),46084.0)</f>
        <v>46084</v>
      </c>
      <c r="L125" s="74" t="str">
        <f>IFERROR(__xludf.DUMMYFUNCTION("""COMPUTED_VALUE"""),"Tuesday")</f>
        <v>Tuesday</v>
      </c>
      <c r="M125" s="74" t="str">
        <f>IFERROR(__xludf.DUMMYFUNCTION("""COMPUTED_VALUE"""),"BF")</f>
        <v>BF</v>
      </c>
      <c r="N125" s="114">
        <f>IFERROR(__xludf.DUMMYFUNCTION("""COMPUTED_VALUE"""),1.1055476484636906)</f>
        <v>1.105547648</v>
      </c>
      <c r="O125" s="74" t="str">
        <f>IFERROR(__xludf.DUMMYFUNCTION("""COMPUTED_VALUE"""),"")</f>
        <v/>
      </c>
      <c r="P125" s="74" t="str">
        <f>IFERROR(__xludf.DUMMYFUNCTION("""COMPUTED_VALUE"""),"")</f>
        <v/>
      </c>
      <c r="Q125" s="82" t="str">
        <f>IFERROR(__xludf.DUMMYFUNCTION("""COMPUTED_VALUE"""),"")</f>
        <v/>
      </c>
      <c r="R125" s="82" t="str">
        <f>IFERROR(__xludf.DUMMYFUNCTION("""COMPUTED_VALUE"""),"")</f>
        <v/>
      </c>
      <c r="S125" s="84" t="str">
        <f>IFERROR(__xludf.DUMMYFUNCTION("""COMPUTED_VALUE"""),"")</f>
        <v/>
      </c>
      <c r="T125" s="84" t="str">
        <f>IFERROR(__xludf.DUMMYFUNCTION("""COMPUTED_VALUE"""),"")</f>
        <v/>
      </c>
      <c r="U125" s="74" t="str">
        <f>IFERROR(__xludf.DUMMYFUNCTION("""COMPUTED_VALUE"""),"")</f>
        <v/>
      </c>
      <c r="V125" s="82" t="str">
        <f>IFERROR(__xludf.DUMMYFUNCTION("""COMPUTED_VALUE"""),"")</f>
        <v/>
      </c>
      <c r="W125" s="64" t="str">
        <f>IFERROR(__xludf.DUMMYFUNCTION("""COMPUTED_VALUE"""),"")</f>
        <v/>
      </c>
      <c r="X125" s="84" t="str">
        <f>IFERROR(__xludf.DUMMYFUNCTION("""COMPUTED_VALUE"""),"")</f>
        <v/>
      </c>
      <c r="Y125" s="114" t="str">
        <f>IFERROR(__xludf.DUMMYFUNCTION("""COMPUTED_VALUE"""),"")</f>
        <v/>
      </c>
    </row>
    <row r="126">
      <c r="A126" s="109">
        <f>IFERROR(__xludf.DUMMYFUNCTION("""COMPUTED_VALUE"""),46084.54326319444)</f>
        <v>46084.54326</v>
      </c>
      <c r="B126" s="81" t="str">
        <f>IFERROR(__xludf.DUMMYFUNCTION("""COMPUTED_VALUE"""),"Kyra Turner")</f>
        <v>Kyra Turner</v>
      </c>
      <c r="C126" s="74" t="b">
        <f>IFERROR(__xludf.DUMMYFUNCTION("""COMPUTED_VALUE"""),FALSE)</f>
        <v>0</v>
      </c>
      <c r="D126" s="137">
        <f>IFERROR(__xludf.DUMMYFUNCTION("""COMPUTED_VALUE"""),0.4812499999970896)</f>
        <v>0.48125</v>
      </c>
      <c r="E126" s="82">
        <f>IFERROR(__xludf.DUMMYFUNCTION("""COMPUTED_VALUE"""),0.05972222222771961)</f>
        <v>0.05972222223</v>
      </c>
      <c r="F126" s="137">
        <f>IFERROR(__xludf.DUMMYFUNCTION("""COMPUTED_VALUE"""),0.5409722222248092)</f>
        <v>0.5409722222</v>
      </c>
      <c r="G126" s="82">
        <f>IFERROR(__xludf.DUMMYFUNCTION("""COMPUTED_VALUE"""),0.13263888889196096)</f>
        <v>0.1326388889</v>
      </c>
      <c r="H126" s="74">
        <f>IFERROR(__xludf.DUMMYFUNCTION("""COMPUTED_VALUE"""),109.0)</f>
        <v>109</v>
      </c>
      <c r="I126" s="84">
        <f>IFERROR(__xludf.DUMMYFUNCTION("""COMPUTED_VALUE"""),77.5916230348521)</f>
        <v>77.59162303</v>
      </c>
      <c r="J126" s="74" t="str">
        <f>IFERROR(__xludf.DUMMYFUNCTION("""COMPUTED_VALUE"""),"Lunch")</f>
        <v>Lunch</v>
      </c>
      <c r="K126" s="113">
        <f>IFERROR(__xludf.DUMMYFUNCTION("""COMPUTED_VALUE"""),46084.0)</f>
        <v>46084</v>
      </c>
      <c r="L126" s="74" t="str">
        <f>IFERROR(__xludf.DUMMYFUNCTION("""COMPUTED_VALUE"""),"Tuesday")</f>
        <v>Tuesday</v>
      </c>
      <c r="M126" s="74" t="str">
        <f>IFERROR(__xludf.DUMMYFUNCTION("""COMPUTED_VALUE"""),"MF")</f>
        <v>MF</v>
      </c>
      <c r="N126" s="114">
        <f>IFERROR(__xludf.DUMMYFUNCTION("""COMPUTED_VALUE"""),1.5432675003900302)</f>
        <v>1.5432675</v>
      </c>
      <c r="O126" s="74" t="str">
        <f>IFERROR(__xludf.DUMMYFUNCTION("""COMPUTED_VALUE"""),"")</f>
        <v/>
      </c>
      <c r="P126" s="74" t="str">
        <f>IFERROR(__xludf.DUMMYFUNCTION("""COMPUTED_VALUE"""),"")</f>
        <v/>
      </c>
      <c r="Q126" s="82" t="str">
        <f>IFERROR(__xludf.DUMMYFUNCTION("""COMPUTED_VALUE"""),"")</f>
        <v/>
      </c>
      <c r="R126" s="82" t="str">
        <f>IFERROR(__xludf.DUMMYFUNCTION("""COMPUTED_VALUE"""),"")</f>
        <v/>
      </c>
      <c r="S126" s="84" t="str">
        <f>IFERROR(__xludf.DUMMYFUNCTION("""COMPUTED_VALUE"""),"")</f>
        <v/>
      </c>
      <c r="T126" s="84" t="str">
        <f>IFERROR(__xludf.DUMMYFUNCTION("""COMPUTED_VALUE"""),"")</f>
        <v/>
      </c>
      <c r="U126" s="74" t="str">
        <f>IFERROR(__xludf.DUMMYFUNCTION("""COMPUTED_VALUE"""),"")</f>
        <v/>
      </c>
      <c r="V126" s="82" t="str">
        <f>IFERROR(__xludf.DUMMYFUNCTION("""COMPUTED_VALUE"""),"")</f>
        <v/>
      </c>
      <c r="W126" s="64" t="str">
        <f>IFERROR(__xludf.DUMMYFUNCTION("""COMPUTED_VALUE"""),"")</f>
        <v/>
      </c>
      <c r="X126" s="84" t="str">
        <f>IFERROR(__xludf.DUMMYFUNCTION("""COMPUTED_VALUE"""),"")</f>
        <v/>
      </c>
      <c r="Y126" s="114" t="str">
        <f>IFERROR(__xludf.DUMMYFUNCTION("""COMPUTED_VALUE"""),"")</f>
        <v/>
      </c>
    </row>
    <row r="127">
      <c r="A127" s="109">
        <f>IFERROR(__xludf.DUMMYFUNCTION("""COMPUTED_VALUE"""),46084.620962835645)</f>
        <v>46084.62096</v>
      </c>
      <c r="B127" s="81" t="str">
        <f>IFERROR(__xludf.DUMMYFUNCTION("""COMPUTED_VALUE"""),"Kyra Turner")</f>
        <v>Kyra Turner</v>
      </c>
      <c r="C127" s="74" t="b">
        <f>IFERROR(__xludf.DUMMYFUNCTION("""COMPUTED_VALUE"""),TRUE)</f>
        <v>1</v>
      </c>
      <c r="D127" s="137">
        <f>IFERROR(__xludf.DUMMYFUNCTION("""COMPUTED_VALUE"""),0.546527777776646)</f>
        <v>0.5465277778</v>
      </c>
      <c r="E127" s="82">
        <f>IFERROR(__xludf.DUMMYFUNCTION("""COMPUTED_VALUE"""),0.07291666666424135)</f>
        <v>0.07291666666</v>
      </c>
      <c r="F127" s="137">
        <f>IFERROR(__xludf.DUMMYFUNCTION("""COMPUTED_VALUE"""),0.6194444444408873)</f>
        <v>0.6194444444</v>
      </c>
      <c r="G127" s="82" t="str">
        <f>IFERROR(__xludf.DUMMYFUNCTION("""COMPUTED_VALUE"""),"")</f>
        <v/>
      </c>
      <c r="H127" s="74">
        <f>IFERROR(__xludf.DUMMYFUNCTION("""COMPUTED_VALUE"""),138.0)</f>
        <v>138</v>
      </c>
      <c r="I127" s="84" t="str">
        <f>IFERROR(__xludf.DUMMYFUNCTION("""COMPUTED_VALUE"""),"")</f>
        <v/>
      </c>
      <c r="J127" s="74" t="str">
        <f>IFERROR(__xludf.DUMMYFUNCTION("""COMPUTED_VALUE"""),"Lunch")</f>
        <v>Lunch</v>
      </c>
      <c r="K127" s="113">
        <f>IFERROR(__xludf.DUMMYFUNCTION("""COMPUTED_VALUE"""),46084.0)</f>
        <v>46084</v>
      </c>
      <c r="L127" s="74" t="str">
        <f>IFERROR(__xludf.DUMMYFUNCTION("""COMPUTED_VALUE"""),"Tuesday")</f>
        <v>Tuesday</v>
      </c>
      <c r="M127" s="74" t="str">
        <f>IFERROR(__xludf.DUMMYFUNCTION("""COMPUTED_VALUE"""),"MF")</f>
        <v>MF</v>
      </c>
      <c r="N127" s="114" t="str">
        <f>IFERROR(__xludf.DUMMYFUNCTION("""COMPUTED_VALUE"""),"")</f>
        <v/>
      </c>
      <c r="O127" s="74" t="str">
        <f>IFERROR(__xludf.DUMMYFUNCTION("""COMPUTED_VALUE"""),"")</f>
        <v/>
      </c>
      <c r="P127" s="74" t="str">
        <f>IFERROR(__xludf.DUMMYFUNCTION("""COMPUTED_VALUE"""),"")</f>
        <v/>
      </c>
      <c r="Q127" s="82" t="str">
        <f>IFERROR(__xludf.DUMMYFUNCTION("""COMPUTED_VALUE"""),"")</f>
        <v/>
      </c>
      <c r="R127" s="82" t="str">
        <f>IFERROR(__xludf.DUMMYFUNCTION("""COMPUTED_VALUE"""),"")</f>
        <v/>
      </c>
      <c r="S127" s="84" t="str">
        <f>IFERROR(__xludf.DUMMYFUNCTION("""COMPUTED_VALUE"""),"")</f>
        <v/>
      </c>
      <c r="T127" s="84" t="str">
        <f>IFERROR(__xludf.DUMMYFUNCTION("""COMPUTED_VALUE"""),"")</f>
        <v/>
      </c>
      <c r="U127" s="74" t="str">
        <f>IFERROR(__xludf.DUMMYFUNCTION("""COMPUTED_VALUE"""),"")</f>
        <v/>
      </c>
      <c r="V127" s="82" t="str">
        <f>IFERROR(__xludf.DUMMYFUNCTION("""COMPUTED_VALUE"""),"")</f>
        <v/>
      </c>
      <c r="W127" s="64" t="str">
        <f>IFERROR(__xludf.DUMMYFUNCTION("""COMPUTED_VALUE"""),"")</f>
        <v/>
      </c>
      <c r="X127" s="84" t="str">
        <f>IFERROR(__xludf.DUMMYFUNCTION("""COMPUTED_VALUE"""),"")</f>
        <v/>
      </c>
      <c r="Y127" s="114" t="str">
        <f>IFERROR(__xludf.DUMMYFUNCTION("""COMPUTED_VALUE"""),"")</f>
        <v/>
      </c>
    </row>
    <row r="128">
      <c r="A128" s="109">
        <f>IFERROR(__xludf.DUMMYFUNCTION("""COMPUTED_VALUE"""),46084.93031916667)</f>
        <v>46084.93032</v>
      </c>
      <c r="B128" s="81" t="str">
        <f>IFERROR(__xludf.DUMMYFUNCTION("""COMPUTED_VALUE"""),"Laila Maisuria")</f>
        <v>Laila Maisuria</v>
      </c>
      <c r="C128" s="74" t="b">
        <f>IFERROR(__xludf.DUMMYFUNCTION("""COMPUTED_VALUE"""),FALSE)</f>
        <v>0</v>
      </c>
      <c r="D128" s="137">
        <f>IFERROR(__xludf.DUMMYFUNCTION("""COMPUTED_VALUE"""),0.7527777777795563)</f>
        <v>0.7527777778</v>
      </c>
      <c r="E128" s="82">
        <f>IFERROR(__xludf.DUMMYFUNCTION("""COMPUTED_VALUE"""),0.11944444444088731)</f>
        <v>0.1194444444</v>
      </c>
      <c r="F128" s="137">
        <f>IFERROR(__xludf.DUMMYFUNCTION("""COMPUTED_VALUE"""),0.8722222222204437)</f>
        <v>0.8722222222</v>
      </c>
      <c r="G128" s="82">
        <f>IFERROR(__xludf.DUMMYFUNCTION("""COMPUTED_VALUE"""),0.11944444444088731)</f>
        <v>0.1194444444</v>
      </c>
      <c r="H128" s="74">
        <f>IFERROR(__xludf.DUMMYFUNCTION("""COMPUTED_VALUE"""),124.0)</f>
        <v>124</v>
      </c>
      <c r="I128" s="84">
        <f>IFERROR(__xludf.DUMMYFUNCTION("""COMPUTED_VALUE"""),43.255813954776556)</f>
        <v>43.25581395</v>
      </c>
      <c r="J128" s="74" t="str">
        <f>IFERROR(__xludf.DUMMYFUNCTION("""COMPUTED_VALUE"""),"Dinner")</f>
        <v>Dinner</v>
      </c>
      <c r="K128" s="113">
        <f>IFERROR(__xludf.DUMMYFUNCTION("""COMPUTED_VALUE"""),46084.0)</f>
        <v>46084</v>
      </c>
      <c r="L128" s="74" t="str">
        <f>IFERROR(__xludf.DUMMYFUNCTION("""COMPUTED_VALUE"""),"Tuesday")</f>
        <v>Tuesday</v>
      </c>
      <c r="M128" s="74" t="str">
        <f>IFERROR(__xludf.DUMMYFUNCTION("""COMPUTED_VALUE"""),"MF")</f>
        <v>MF</v>
      </c>
      <c r="N128" s="114">
        <f>IFERROR(__xludf.DUMMYFUNCTION("""COMPUTED_VALUE"""),0.9326458062277887)</f>
        <v>0.9326458062</v>
      </c>
      <c r="O128" s="74">
        <f>IFERROR(__xludf.DUMMYFUNCTION("""COMPUTED_VALUE"""),371.0)</f>
        <v>371</v>
      </c>
      <c r="P128" s="74">
        <f>IFERROR(__xludf.DUMMYFUNCTION("""COMPUTED_VALUE"""),60.0)</f>
        <v>60</v>
      </c>
      <c r="Q128" s="82">
        <f>IFERROR(__xludf.DUMMYFUNCTION("""COMPUTED_VALUE"""),0.25208333333284827)</f>
        <v>0.2520833333</v>
      </c>
      <c r="R128" s="82">
        <f>IFERROR(__xludf.DUMMYFUNCTION("""COMPUTED_VALUE"""),0.07291666666424135)</f>
        <v>0.07291666666</v>
      </c>
      <c r="S128" s="84">
        <f>IFERROR(__xludf.DUMMYFUNCTION("""COMPUTED_VALUE"""),60.42371849481433)</f>
        <v>60.42371849</v>
      </c>
      <c r="T128" s="84">
        <f>IFERROR(__xludf.DUMMYFUNCTION("""COMPUTED_VALUE"""),34.28571428685468)</f>
        <v>34.28571429</v>
      </c>
      <c r="U128" s="74">
        <f>IFERROR(__xludf.DUMMYFUNCTION("""COMPUTED_VALUE"""),431.0)</f>
        <v>431</v>
      </c>
      <c r="V128" s="82">
        <f>IFERROR(__xludf.DUMMYFUNCTION("""COMPUTED_VALUE"""),0.3249999999970896)</f>
        <v>0.325</v>
      </c>
      <c r="W128" s="64">
        <f>IFERROR(__xludf.DUMMYFUNCTION("""COMPUTED_VALUE"""),55.25641025690508)</f>
        <v>55.25641026</v>
      </c>
      <c r="X128" s="84">
        <f>IFERROR(__xludf.DUMMYFUNCTION("""COMPUTED_VALUE"""),51.71105042549445)</f>
        <v>51.71105043</v>
      </c>
      <c r="Y128" s="114">
        <f>IFERROR(__xludf.DUMMYFUNCTION("""COMPUTED_VALUE"""),0.7241921714353986)</f>
        <v>0.7241921714</v>
      </c>
    </row>
    <row r="129">
      <c r="A129" s="109">
        <f>IFERROR(__xludf.DUMMYFUNCTION("""COMPUTED_VALUE"""),46085.41310872685)</f>
        <v>46085.41311</v>
      </c>
      <c r="B129" s="81" t="str">
        <f>IFERROR(__xludf.DUMMYFUNCTION("""COMPUTED_VALUE"""),"Kaylie Forgue")</f>
        <v>Kaylie Forgue</v>
      </c>
      <c r="C129" s="74" t="b">
        <f>IFERROR(__xludf.DUMMYFUNCTION("""COMPUTED_VALUE"""),FALSE)</f>
        <v>0</v>
      </c>
      <c r="D129" s="137">
        <f>IFERROR(__xludf.DUMMYFUNCTION("""COMPUTED_VALUE"""),0.3118055555532919)</f>
        <v>0.3118055556</v>
      </c>
      <c r="E129" s="82">
        <f>IFERROR(__xludf.DUMMYFUNCTION("""COMPUTED_VALUE"""),0.09791666666569654)</f>
        <v>0.09791666667</v>
      </c>
      <c r="F129" s="137">
        <f>IFERROR(__xludf.DUMMYFUNCTION("""COMPUTED_VALUE"""),0.40972222221898846)</f>
        <v>0.4097222222</v>
      </c>
      <c r="G129" s="82">
        <f>IFERROR(__xludf.DUMMYFUNCTION("""COMPUTED_VALUE"""),0.09791666666569654)</f>
        <v>0.09791666667</v>
      </c>
      <c r="H129" s="74">
        <f>IFERROR(__xludf.DUMMYFUNCTION("""COMPUTED_VALUE"""),71.0)</f>
        <v>71</v>
      </c>
      <c r="I129" s="84">
        <f>IFERROR(__xludf.DUMMYFUNCTION("""COMPUTED_VALUE"""),30.212765957746146)</f>
        <v>30.21276596</v>
      </c>
      <c r="J129" s="74" t="str">
        <f>IFERROR(__xludf.DUMMYFUNCTION("""COMPUTED_VALUE"""),"Breakfast")</f>
        <v>Breakfast</v>
      </c>
      <c r="K129" s="113">
        <f>IFERROR(__xludf.DUMMYFUNCTION("""COMPUTED_VALUE"""),46085.0)</f>
        <v>46085</v>
      </c>
      <c r="L129" s="74" t="str">
        <f>IFERROR(__xludf.DUMMYFUNCTION("""COMPUTED_VALUE"""),"Wednesday")</f>
        <v>Wednesday</v>
      </c>
      <c r="M129" s="74" t="str">
        <f>IFERROR(__xludf.DUMMYFUNCTION("""COMPUTED_VALUE"""),"BF")</f>
        <v>BF</v>
      </c>
      <c r="N129" s="114">
        <f>IFERROR(__xludf.DUMMYFUNCTION("""COMPUTED_VALUE"""),1.0656816210694844)</f>
        <v>1.065681621</v>
      </c>
      <c r="O129" s="74" t="str">
        <f>IFERROR(__xludf.DUMMYFUNCTION("""COMPUTED_VALUE"""),"")</f>
        <v/>
      </c>
      <c r="P129" s="74" t="str">
        <f>IFERROR(__xludf.DUMMYFUNCTION("""COMPUTED_VALUE"""),"")</f>
        <v/>
      </c>
      <c r="Q129" s="82" t="str">
        <f>IFERROR(__xludf.DUMMYFUNCTION("""COMPUTED_VALUE"""),"")</f>
        <v/>
      </c>
      <c r="R129" s="82" t="str">
        <f>IFERROR(__xludf.DUMMYFUNCTION("""COMPUTED_VALUE"""),"")</f>
        <v/>
      </c>
      <c r="S129" s="84" t="str">
        <f>IFERROR(__xludf.DUMMYFUNCTION("""COMPUTED_VALUE"""),"")</f>
        <v/>
      </c>
      <c r="T129" s="84" t="str">
        <f>IFERROR(__xludf.DUMMYFUNCTION("""COMPUTED_VALUE"""),"")</f>
        <v/>
      </c>
      <c r="U129" s="74" t="str">
        <f>IFERROR(__xludf.DUMMYFUNCTION("""COMPUTED_VALUE"""),"")</f>
        <v/>
      </c>
      <c r="V129" s="82" t="str">
        <f>IFERROR(__xludf.DUMMYFUNCTION("""COMPUTED_VALUE"""),"")</f>
        <v/>
      </c>
      <c r="W129" s="64" t="str">
        <f>IFERROR(__xludf.DUMMYFUNCTION("""COMPUTED_VALUE"""),"")</f>
        <v/>
      </c>
      <c r="X129" s="84" t="str">
        <f>IFERROR(__xludf.DUMMYFUNCTION("""COMPUTED_VALUE"""),"")</f>
        <v/>
      </c>
      <c r="Y129" s="114" t="str">
        <f>IFERROR(__xludf.DUMMYFUNCTION("""COMPUTED_VALUE"""),"")</f>
        <v/>
      </c>
    </row>
    <row r="130">
      <c r="A130" s="109">
        <f>IFERROR(__xludf.DUMMYFUNCTION("""COMPUTED_VALUE"""),46085.473465393516)</f>
        <v>46085.47347</v>
      </c>
      <c r="B130" s="81" t="str">
        <f>IFERROR(__xludf.DUMMYFUNCTION("""COMPUTED_VALUE"""),"Oluwatimilehin Shodipe")</f>
        <v>Oluwatimilehin Shodipe</v>
      </c>
      <c r="C130" s="74" t="b">
        <f>IFERROR(__xludf.DUMMYFUNCTION("""COMPUTED_VALUE"""),FALSE)</f>
        <v>0</v>
      </c>
      <c r="D130" s="137">
        <f>IFERROR(__xludf.DUMMYFUNCTION("""COMPUTED_VALUE"""),0.42708333333575865)</f>
        <v>0.4270833333</v>
      </c>
      <c r="E130" s="82">
        <f>IFERROR(__xludf.DUMMYFUNCTION("""COMPUTED_VALUE"""),0.052083333328482695)</f>
        <v>0.05208333333</v>
      </c>
      <c r="F130" s="137">
        <f>IFERROR(__xludf.DUMMYFUNCTION("""COMPUTED_VALUE"""),0.47916666666424135)</f>
        <v>0.4791666667</v>
      </c>
      <c r="G130" s="82">
        <f>IFERROR(__xludf.DUMMYFUNCTION("""COMPUTED_VALUE"""),0.052083333328482695)</f>
        <v>0.05208333333</v>
      </c>
      <c r="H130" s="74">
        <f>IFERROR(__xludf.DUMMYFUNCTION("""COMPUTED_VALUE"""),46.0)</f>
        <v>46</v>
      </c>
      <c r="I130" s="84">
        <f>IFERROR(__xludf.DUMMYFUNCTION("""COMPUTED_VALUE"""),36.800000003427265)</f>
        <v>36.8</v>
      </c>
      <c r="J130" s="74" t="str">
        <f>IFERROR(__xludf.DUMMYFUNCTION("""COMPUTED_VALUE"""),"Breakfast/Lunch")</f>
        <v>Breakfast/Lunch</v>
      </c>
      <c r="K130" s="113">
        <f>IFERROR(__xludf.DUMMYFUNCTION("""COMPUTED_VALUE"""),46085.0)</f>
        <v>46085</v>
      </c>
      <c r="L130" s="74" t="str">
        <f>IFERROR(__xludf.DUMMYFUNCTION("""COMPUTED_VALUE"""),"Wednesday")</f>
        <v>Wednesday</v>
      </c>
      <c r="M130" s="74" t="str">
        <f>IFERROR(__xludf.DUMMYFUNCTION("""COMPUTED_VALUE"""),"BF")</f>
        <v>BF</v>
      </c>
      <c r="N130" s="114">
        <f>IFERROR(__xludf.DUMMYFUNCTION("""COMPUTED_VALUE"""),0.9629756965799802)</f>
        <v>0.9629756966</v>
      </c>
      <c r="O130" s="74" t="str">
        <f>IFERROR(__xludf.DUMMYFUNCTION("""COMPUTED_VALUE"""),"")</f>
        <v/>
      </c>
      <c r="P130" s="74" t="str">
        <f>IFERROR(__xludf.DUMMYFUNCTION("""COMPUTED_VALUE"""),"")</f>
        <v/>
      </c>
      <c r="Q130" s="82" t="str">
        <f>IFERROR(__xludf.DUMMYFUNCTION("""COMPUTED_VALUE"""),"")</f>
        <v/>
      </c>
      <c r="R130" s="82" t="str">
        <f>IFERROR(__xludf.DUMMYFUNCTION("""COMPUTED_VALUE"""),"")</f>
        <v/>
      </c>
      <c r="S130" s="84" t="str">
        <f>IFERROR(__xludf.DUMMYFUNCTION("""COMPUTED_VALUE"""),"")</f>
        <v/>
      </c>
      <c r="T130" s="84" t="str">
        <f>IFERROR(__xludf.DUMMYFUNCTION("""COMPUTED_VALUE"""),"")</f>
        <v/>
      </c>
      <c r="U130" s="74" t="str">
        <f>IFERROR(__xludf.DUMMYFUNCTION("""COMPUTED_VALUE"""),"")</f>
        <v/>
      </c>
      <c r="V130" s="82" t="str">
        <f>IFERROR(__xludf.DUMMYFUNCTION("""COMPUTED_VALUE"""),"")</f>
        <v/>
      </c>
      <c r="W130" s="64" t="str">
        <f>IFERROR(__xludf.DUMMYFUNCTION("""COMPUTED_VALUE"""),"")</f>
        <v/>
      </c>
      <c r="X130" s="84" t="str">
        <f>IFERROR(__xludf.DUMMYFUNCTION("""COMPUTED_VALUE"""),"")</f>
        <v/>
      </c>
      <c r="Y130" s="114" t="str">
        <f>IFERROR(__xludf.DUMMYFUNCTION("""COMPUTED_VALUE"""),"")</f>
        <v/>
      </c>
    </row>
    <row r="131">
      <c r="A131" s="109">
        <f>IFERROR(__xludf.DUMMYFUNCTION("""COMPUTED_VALUE"""),46085.51341814815)</f>
        <v>46085.51342</v>
      </c>
      <c r="B131" s="81" t="str">
        <f>IFERROR(__xludf.DUMMYFUNCTION("""COMPUTED_VALUE"""),"Oluwatimilehin Shodipe")</f>
        <v>Oluwatimilehin Shodipe</v>
      </c>
      <c r="C131" s="74" t="b">
        <f>IFERROR(__xludf.DUMMYFUNCTION("""COMPUTED_VALUE"""),FALSE)</f>
        <v>0</v>
      </c>
      <c r="D131" s="137">
        <f>IFERROR(__xludf.DUMMYFUNCTION("""COMPUTED_VALUE"""),0.48611111110949423)</f>
        <v>0.4861111111</v>
      </c>
      <c r="E131" s="82">
        <f>IFERROR(__xludf.DUMMYFUNCTION("""COMPUTED_VALUE"""),0.024305555554747116)</f>
        <v>0.02430555555</v>
      </c>
      <c r="F131" s="137">
        <f>IFERROR(__xludf.DUMMYFUNCTION("""COMPUTED_VALUE"""),0.5104166666642413)</f>
        <v>0.5104166667</v>
      </c>
      <c r="G131" s="82">
        <f>IFERROR(__xludf.DUMMYFUNCTION("""COMPUTED_VALUE"""),0.024305555554747116)</f>
        <v>0.02430555555</v>
      </c>
      <c r="H131" s="74">
        <f>IFERROR(__xludf.DUMMYFUNCTION("""COMPUTED_VALUE"""),29.0)</f>
        <v>29</v>
      </c>
      <c r="I131" s="84">
        <f>IFERROR(__xludf.DUMMYFUNCTION("""COMPUTED_VALUE"""),49.71428571593929)</f>
        <v>49.71428572</v>
      </c>
      <c r="J131" s="74" t="str">
        <f>IFERROR(__xludf.DUMMYFUNCTION("""COMPUTED_VALUE"""),"Lunch")</f>
        <v>Lunch</v>
      </c>
      <c r="K131" s="113">
        <f>IFERROR(__xludf.DUMMYFUNCTION("""COMPUTED_VALUE"""),46085.0)</f>
        <v>46085</v>
      </c>
      <c r="L131" s="74" t="str">
        <f>IFERROR(__xludf.DUMMYFUNCTION("""COMPUTED_VALUE"""),"Wednesday")</f>
        <v>Wednesday</v>
      </c>
      <c r="M131" s="74" t="str">
        <f>IFERROR(__xludf.DUMMYFUNCTION("""COMPUTED_VALUE"""),"MF")</f>
        <v>MF</v>
      </c>
      <c r="N131" s="114">
        <f>IFERROR(__xludf.DUMMYFUNCTION("""COMPUTED_VALUE"""),0.9887979971246602)</f>
        <v>0.9887979971</v>
      </c>
      <c r="O131" s="74" t="str">
        <f>IFERROR(__xludf.DUMMYFUNCTION("""COMPUTED_VALUE"""),"")</f>
        <v/>
      </c>
      <c r="P131" s="74" t="str">
        <f>IFERROR(__xludf.DUMMYFUNCTION("""COMPUTED_VALUE"""),"")</f>
        <v/>
      </c>
      <c r="Q131" s="82" t="str">
        <f>IFERROR(__xludf.DUMMYFUNCTION("""COMPUTED_VALUE"""),"")</f>
        <v/>
      </c>
      <c r="R131" s="82" t="str">
        <f>IFERROR(__xludf.DUMMYFUNCTION("""COMPUTED_VALUE"""),"")</f>
        <v/>
      </c>
      <c r="S131" s="84" t="str">
        <f>IFERROR(__xludf.DUMMYFUNCTION("""COMPUTED_VALUE"""),"")</f>
        <v/>
      </c>
      <c r="T131" s="84" t="str">
        <f>IFERROR(__xludf.DUMMYFUNCTION("""COMPUTED_VALUE"""),"")</f>
        <v/>
      </c>
      <c r="U131" s="74" t="str">
        <f>IFERROR(__xludf.DUMMYFUNCTION("""COMPUTED_VALUE"""),"")</f>
        <v/>
      </c>
      <c r="V131" s="82" t="str">
        <f>IFERROR(__xludf.DUMMYFUNCTION("""COMPUTED_VALUE"""),"")</f>
        <v/>
      </c>
      <c r="W131" s="64" t="str">
        <f>IFERROR(__xludf.DUMMYFUNCTION("""COMPUTED_VALUE"""),"")</f>
        <v/>
      </c>
      <c r="X131" s="84" t="str">
        <f>IFERROR(__xludf.DUMMYFUNCTION("""COMPUTED_VALUE"""),"")</f>
        <v/>
      </c>
      <c r="Y131" s="114" t="str">
        <f>IFERROR(__xludf.DUMMYFUNCTION("""COMPUTED_VALUE"""),"")</f>
        <v/>
      </c>
    </row>
    <row r="132">
      <c r="A132" s="109">
        <f>IFERROR(__xludf.DUMMYFUNCTION("""COMPUTED_VALUE"""),46085.621953553244)</f>
        <v>46085.62195</v>
      </c>
      <c r="B132" s="81" t="str">
        <f>IFERROR(__xludf.DUMMYFUNCTION("""COMPUTED_VALUE"""),"Evan Morgan")</f>
        <v>Evan Morgan</v>
      </c>
      <c r="C132" s="74" t="b">
        <f>IFERROR(__xludf.DUMMYFUNCTION("""COMPUTED_VALUE"""),FALSE)</f>
        <v>0</v>
      </c>
      <c r="D132" s="137">
        <f>IFERROR(__xludf.DUMMYFUNCTION("""COMPUTED_VALUE"""),0.5416666666642413)</f>
        <v>0.5416666667</v>
      </c>
      <c r="E132" s="82">
        <f>IFERROR(__xludf.DUMMYFUNCTION("""COMPUTED_VALUE"""),0.07847222222335404)</f>
        <v>0.07847222222</v>
      </c>
      <c r="F132" s="137">
        <f>IFERROR(__xludf.DUMMYFUNCTION("""COMPUTED_VALUE"""),0.6201388888875954)</f>
        <v>0.6201388889</v>
      </c>
      <c r="G132" s="82">
        <f>IFERROR(__xludf.DUMMYFUNCTION("""COMPUTED_VALUE"""),0.07847222222335404)</f>
        <v>0.07847222222</v>
      </c>
      <c r="H132" s="74">
        <f>IFERROR(__xludf.DUMMYFUNCTION("""COMPUTED_VALUE"""),134.0)</f>
        <v>134</v>
      </c>
      <c r="I132" s="84">
        <f>IFERROR(__xludf.DUMMYFUNCTION("""COMPUTED_VALUE"""),71.15044247684989)</f>
        <v>71.15044248</v>
      </c>
      <c r="J132" s="74" t="str">
        <f>IFERROR(__xludf.DUMMYFUNCTION("""COMPUTED_VALUE"""),"Lunch")</f>
        <v>Lunch</v>
      </c>
      <c r="K132" s="113">
        <f>IFERROR(__xludf.DUMMYFUNCTION("""COMPUTED_VALUE"""),46085.0)</f>
        <v>46085</v>
      </c>
      <c r="L132" s="74" t="str">
        <f>IFERROR(__xludf.DUMMYFUNCTION("""COMPUTED_VALUE"""),"Wednesday")</f>
        <v>Wednesday</v>
      </c>
      <c r="M132" s="74" t="str">
        <f>IFERROR(__xludf.DUMMYFUNCTION("""COMPUTED_VALUE"""),"MF")</f>
        <v>MF</v>
      </c>
      <c r="N132" s="114">
        <f>IFERROR(__xludf.DUMMYFUNCTION("""COMPUTED_VALUE"""),1.4151548996928656)</f>
        <v>1.4151549</v>
      </c>
      <c r="O132" s="74" t="str">
        <f>IFERROR(__xludf.DUMMYFUNCTION("""COMPUTED_VALUE"""),"")</f>
        <v/>
      </c>
      <c r="P132" s="74" t="str">
        <f>IFERROR(__xludf.DUMMYFUNCTION("""COMPUTED_VALUE"""),"")</f>
        <v/>
      </c>
      <c r="Q132" s="82" t="str">
        <f>IFERROR(__xludf.DUMMYFUNCTION("""COMPUTED_VALUE"""),"")</f>
        <v/>
      </c>
      <c r="R132" s="82" t="str">
        <f>IFERROR(__xludf.DUMMYFUNCTION("""COMPUTED_VALUE"""),"")</f>
        <v/>
      </c>
      <c r="S132" s="84" t="str">
        <f>IFERROR(__xludf.DUMMYFUNCTION("""COMPUTED_VALUE"""),"")</f>
        <v/>
      </c>
      <c r="T132" s="84" t="str">
        <f>IFERROR(__xludf.DUMMYFUNCTION("""COMPUTED_VALUE"""),"")</f>
        <v/>
      </c>
      <c r="U132" s="74" t="str">
        <f>IFERROR(__xludf.DUMMYFUNCTION("""COMPUTED_VALUE"""),"")</f>
        <v/>
      </c>
      <c r="V132" s="82" t="str">
        <f>IFERROR(__xludf.DUMMYFUNCTION("""COMPUTED_VALUE"""),"")</f>
        <v/>
      </c>
      <c r="W132" s="64" t="str">
        <f>IFERROR(__xludf.DUMMYFUNCTION("""COMPUTED_VALUE"""),"")</f>
        <v/>
      </c>
      <c r="X132" s="84" t="str">
        <f>IFERROR(__xludf.DUMMYFUNCTION("""COMPUTED_VALUE"""),"")</f>
        <v/>
      </c>
      <c r="Y132" s="114" t="str">
        <f>IFERROR(__xludf.DUMMYFUNCTION("""COMPUTED_VALUE"""),"")</f>
        <v/>
      </c>
    </row>
    <row r="133">
      <c r="A133" s="109">
        <f>IFERROR(__xludf.DUMMYFUNCTION("""COMPUTED_VALUE"""),46085.733698298616)</f>
        <v>46085.7337</v>
      </c>
      <c r="B133" s="81" t="str">
        <f>IFERROR(__xludf.DUMMYFUNCTION("""COMPUTED_VALUE"""),"Evan Morgan")</f>
        <v>Evan Morgan</v>
      </c>
      <c r="C133" s="74" t="b">
        <f>IFERROR(__xludf.DUMMYFUNCTION("""COMPUTED_VALUE"""),FALSE)</f>
        <v>0</v>
      </c>
      <c r="D133" s="137">
        <f>IFERROR(__xludf.DUMMYFUNCTION("""COMPUTED_VALUE"""),0.6666666666642413)</f>
        <v>0.6666666667</v>
      </c>
      <c r="E133" s="82">
        <f>IFERROR(__xludf.DUMMYFUNCTION("""COMPUTED_VALUE"""),0.0666666666729725)</f>
        <v>0.06666666667</v>
      </c>
      <c r="F133" s="137">
        <f>IFERROR(__xludf.DUMMYFUNCTION("""COMPUTED_VALUE"""),0.7333333333372138)</f>
        <v>0.7333333333</v>
      </c>
      <c r="G133" s="82">
        <f>IFERROR(__xludf.DUMMYFUNCTION("""COMPUTED_VALUE"""),0.0666666666729725)</f>
        <v>0.06666666667</v>
      </c>
      <c r="H133" s="74">
        <f>IFERROR(__xludf.DUMMYFUNCTION("""COMPUTED_VALUE"""),48.0)</f>
        <v>48</v>
      </c>
      <c r="I133" s="84">
        <f>IFERROR(__xludf.DUMMYFUNCTION("""COMPUTED_VALUE"""),29.999999997162377)</f>
        <v>30</v>
      </c>
      <c r="J133" s="74" t="str">
        <f>IFERROR(__xludf.DUMMYFUNCTION("""COMPUTED_VALUE"""),"Dinner")</f>
        <v>Dinner</v>
      </c>
      <c r="K133" s="113">
        <f>IFERROR(__xludf.DUMMYFUNCTION("""COMPUTED_VALUE"""),46085.0)</f>
        <v>46085</v>
      </c>
      <c r="L133" s="74" t="str">
        <f>IFERROR(__xludf.DUMMYFUNCTION("""COMPUTED_VALUE"""),"Wednesday")</f>
        <v>Wednesday</v>
      </c>
      <c r="M133" s="74" t="str">
        <f>IFERROR(__xludf.DUMMYFUNCTION("""COMPUTED_VALUE"""),"MF")</f>
        <v>MF</v>
      </c>
      <c r="N133" s="114">
        <f>IFERROR(__xludf.DUMMYFUNCTION("""COMPUTED_VALUE"""),0.6468349945614078)</f>
        <v>0.6468349946</v>
      </c>
      <c r="O133" s="74" t="str">
        <f>IFERROR(__xludf.DUMMYFUNCTION("""COMPUTED_VALUE"""),"")</f>
        <v/>
      </c>
      <c r="P133" s="74" t="str">
        <f>IFERROR(__xludf.DUMMYFUNCTION("""COMPUTED_VALUE"""),"")</f>
        <v/>
      </c>
      <c r="Q133" s="82" t="str">
        <f>IFERROR(__xludf.DUMMYFUNCTION("""COMPUTED_VALUE"""),"")</f>
        <v/>
      </c>
      <c r="R133" s="82" t="str">
        <f>IFERROR(__xludf.DUMMYFUNCTION("""COMPUTED_VALUE"""),"")</f>
        <v/>
      </c>
      <c r="S133" s="84" t="str">
        <f>IFERROR(__xludf.DUMMYFUNCTION("""COMPUTED_VALUE"""),"")</f>
        <v/>
      </c>
      <c r="T133" s="84" t="str">
        <f>IFERROR(__xludf.DUMMYFUNCTION("""COMPUTED_VALUE"""),"")</f>
        <v/>
      </c>
      <c r="U133" s="74" t="str">
        <f>IFERROR(__xludf.DUMMYFUNCTION("""COMPUTED_VALUE"""),"")</f>
        <v/>
      </c>
      <c r="V133" s="82" t="str">
        <f>IFERROR(__xludf.DUMMYFUNCTION("""COMPUTED_VALUE"""),"")</f>
        <v/>
      </c>
      <c r="W133" s="64" t="str">
        <f>IFERROR(__xludf.DUMMYFUNCTION("""COMPUTED_VALUE"""),"")</f>
        <v/>
      </c>
      <c r="X133" s="84" t="str">
        <f>IFERROR(__xludf.DUMMYFUNCTION("""COMPUTED_VALUE"""),"")</f>
        <v/>
      </c>
      <c r="Y133" s="114" t="str">
        <f>IFERROR(__xludf.DUMMYFUNCTION("""COMPUTED_VALUE"""),"")</f>
        <v/>
      </c>
    </row>
    <row r="134">
      <c r="A134" s="109">
        <f>IFERROR(__xludf.DUMMYFUNCTION("""COMPUTED_VALUE"""),46085.84603962963)</f>
        <v>46085.84604</v>
      </c>
      <c r="B134" s="81" t="str">
        <f>IFERROR(__xludf.DUMMYFUNCTION("""COMPUTED_VALUE"""),"Maureen Surgot")</f>
        <v>Maureen Surgot</v>
      </c>
      <c r="C134" s="74" t="b">
        <f>IFERROR(__xludf.DUMMYFUNCTION("""COMPUTED_VALUE"""),FALSE)</f>
        <v>0</v>
      </c>
      <c r="D134" s="137">
        <f>IFERROR(__xludf.DUMMYFUNCTION("""COMPUTED_VALUE"""),0.6875)</f>
        <v>0.6875</v>
      </c>
      <c r="E134" s="82">
        <f>IFERROR(__xludf.DUMMYFUNCTION("""COMPUTED_VALUE"""),0.16666666666424135)</f>
        <v>0.1666666667</v>
      </c>
      <c r="F134" s="137">
        <f>IFERROR(__xludf.DUMMYFUNCTION("""COMPUTED_VALUE"""),0.8541666666642413)</f>
        <v>0.8541666667</v>
      </c>
      <c r="G134" s="82">
        <f>IFERROR(__xludf.DUMMYFUNCTION("""COMPUTED_VALUE"""),0.16666666666424135)</f>
        <v>0.1666666667</v>
      </c>
      <c r="H134" s="74">
        <f>IFERROR(__xludf.DUMMYFUNCTION("""COMPUTED_VALUE"""),258.0)</f>
        <v>258</v>
      </c>
      <c r="I134" s="84">
        <f>IFERROR(__xludf.DUMMYFUNCTION("""COMPUTED_VALUE"""),64.5000000009386)</f>
        <v>64.5</v>
      </c>
      <c r="J134" s="74" t="str">
        <f>IFERROR(__xludf.DUMMYFUNCTION("""COMPUTED_VALUE"""),"Dinner")</f>
        <v>Dinner</v>
      </c>
      <c r="K134" s="113">
        <f>IFERROR(__xludf.DUMMYFUNCTION("""COMPUTED_VALUE"""),46085.0)</f>
        <v>46085</v>
      </c>
      <c r="L134" s="74" t="str">
        <f>IFERROR(__xludf.DUMMYFUNCTION("""COMPUTED_VALUE"""),"Wednesday")</f>
        <v>Wednesday</v>
      </c>
      <c r="M134" s="74" t="str">
        <f>IFERROR(__xludf.DUMMYFUNCTION("""COMPUTED_VALUE"""),"BF")</f>
        <v>BF</v>
      </c>
      <c r="N134" s="114">
        <f>IFERROR(__xludf.DUMMYFUNCTION("""COMPUTED_VALUE"""),1.4516624040920716)</f>
        <v>1.451662404</v>
      </c>
      <c r="O134" s="74" t="str">
        <f>IFERROR(__xludf.DUMMYFUNCTION("""COMPUTED_VALUE"""),"")</f>
        <v/>
      </c>
      <c r="P134" s="74" t="str">
        <f>IFERROR(__xludf.DUMMYFUNCTION("""COMPUTED_VALUE"""),"")</f>
        <v/>
      </c>
      <c r="Q134" s="82" t="str">
        <f>IFERROR(__xludf.DUMMYFUNCTION("""COMPUTED_VALUE"""),"")</f>
        <v/>
      </c>
      <c r="R134" s="82" t="str">
        <f>IFERROR(__xludf.DUMMYFUNCTION("""COMPUTED_VALUE"""),"")</f>
        <v/>
      </c>
      <c r="S134" s="84" t="str">
        <f>IFERROR(__xludf.DUMMYFUNCTION("""COMPUTED_VALUE"""),"")</f>
        <v/>
      </c>
      <c r="T134" s="84" t="str">
        <f>IFERROR(__xludf.DUMMYFUNCTION("""COMPUTED_VALUE"""),"")</f>
        <v/>
      </c>
      <c r="U134" s="74" t="str">
        <f>IFERROR(__xludf.DUMMYFUNCTION("""COMPUTED_VALUE"""),"")</f>
        <v/>
      </c>
      <c r="V134" s="82" t="str">
        <f>IFERROR(__xludf.DUMMYFUNCTION("""COMPUTED_VALUE"""),"")</f>
        <v/>
      </c>
      <c r="W134" s="64" t="str">
        <f>IFERROR(__xludf.DUMMYFUNCTION("""COMPUTED_VALUE"""),"")</f>
        <v/>
      </c>
      <c r="X134" s="84" t="str">
        <f>IFERROR(__xludf.DUMMYFUNCTION("""COMPUTED_VALUE"""),"")</f>
        <v/>
      </c>
      <c r="Y134" s="114" t="str">
        <f>IFERROR(__xludf.DUMMYFUNCTION("""COMPUTED_VALUE"""),"")</f>
        <v/>
      </c>
    </row>
    <row r="135">
      <c r="A135" s="109">
        <f>IFERROR(__xludf.DUMMYFUNCTION("""COMPUTED_VALUE"""),46085.86977341435)</f>
        <v>46085.86977</v>
      </c>
      <c r="B135" s="81" t="str">
        <f>IFERROR(__xludf.DUMMYFUNCTION("""COMPUTED_VALUE"""),"Brynn Hornig")</f>
        <v>Brynn Hornig</v>
      </c>
      <c r="C135" s="74" t="b">
        <f>IFERROR(__xludf.DUMMYFUNCTION("""COMPUTED_VALUE"""),FALSE)</f>
        <v>0</v>
      </c>
      <c r="D135" s="137">
        <f>IFERROR(__xludf.DUMMYFUNCTION("""COMPUTED_VALUE"""),0.75)</f>
        <v>0.75</v>
      </c>
      <c r="E135" s="82">
        <f>IFERROR(__xludf.DUMMYFUNCTION("""COMPUTED_VALUE"""),0.125)</f>
        <v>0.125</v>
      </c>
      <c r="F135" s="137">
        <f>IFERROR(__xludf.DUMMYFUNCTION("""COMPUTED_VALUE"""),0.875)</f>
        <v>0.875</v>
      </c>
      <c r="G135" s="82">
        <f>IFERROR(__xludf.DUMMYFUNCTION("""COMPUTED_VALUE"""),0.125)</f>
        <v>0.125</v>
      </c>
      <c r="H135" s="74">
        <f>IFERROR(__xludf.DUMMYFUNCTION("""COMPUTED_VALUE"""),112.0)</f>
        <v>112</v>
      </c>
      <c r="I135" s="84">
        <f>IFERROR(__xludf.DUMMYFUNCTION("""COMPUTED_VALUE"""),37.333333333333336)</f>
        <v>37.33333333</v>
      </c>
      <c r="J135" s="74" t="str">
        <f>IFERROR(__xludf.DUMMYFUNCTION("""COMPUTED_VALUE"""),"Dinner")</f>
        <v>Dinner</v>
      </c>
      <c r="K135" s="113">
        <f>IFERROR(__xludf.DUMMYFUNCTION("""COMPUTED_VALUE"""),46085.0)</f>
        <v>46085</v>
      </c>
      <c r="L135" s="74" t="str">
        <f>IFERROR(__xludf.DUMMYFUNCTION("""COMPUTED_VALUE"""),"Wednesday")</f>
        <v>Wednesday</v>
      </c>
      <c r="M135" s="74" t="str">
        <f>IFERROR(__xludf.DUMMYFUNCTION("""COMPUTED_VALUE"""),"MF")</f>
        <v>MF</v>
      </c>
      <c r="N135" s="114">
        <f>IFERROR(__xludf.DUMMYFUNCTION("""COMPUTED_VALUE"""),0.8049502155303346)</f>
        <v>0.8049502155</v>
      </c>
      <c r="O135" s="74">
        <f>IFERROR(__xludf.DUMMYFUNCTION("""COMPUTED_VALUE"""),323.0)</f>
        <v>323</v>
      </c>
      <c r="P135" s="74">
        <f>IFERROR(__xludf.DUMMYFUNCTION("""COMPUTED_VALUE"""),375.0)</f>
        <v>375</v>
      </c>
      <c r="Q135" s="82">
        <f>IFERROR(__xludf.DUMMYFUNCTION("""COMPUTED_VALUE"""),0.29444444445107365)</f>
        <v>0.2944444445</v>
      </c>
      <c r="R135" s="82">
        <f>IFERROR(__xludf.DUMMYFUNCTION("""COMPUTED_VALUE"""),0.3166666666584206)</f>
        <v>0.3166666667</v>
      </c>
      <c r="S135" s="84">
        <f>IFERROR(__xludf.DUMMYFUNCTION("""COMPUTED_VALUE"""),47.04951538082123)</f>
        <v>47.04951538</v>
      </c>
      <c r="T135" s="84">
        <f>IFERROR(__xludf.DUMMYFUNCTION("""COMPUTED_VALUE"""),43.83758865403734)</f>
        <v>43.83758865</v>
      </c>
      <c r="U135" s="74">
        <f>IFERROR(__xludf.DUMMYFUNCTION("""COMPUTED_VALUE"""),698.0)</f>
        <v>698</v>
      </c>
      <c r="V135" s="82">
        <f>IFERROR(__xludf.DUMMYFUNCTION("""COMPUTED_VALUE"""),0.6111111111094942)</f>
        <v>0.6111111111</v>
      </c>
      <c r="W135" s="64">
        <f>IFERROR(__xludf.DUMMYFUNCTION("""COMPUTED_VALUE"""),47.59090909103501)</f>
        <v>47.59090909</v>
      </c>
      <c r="X135" s="84">
        <f>IFERROR(__xludf.DUMMYFUNCTION("""COMPUTED_VALUE"""),45.6729753550567)</f>
        <v>45.67297536</v>
      </c>
      <c r="Y135" s="114">
        <f>IFERROR(__xludf.DUMMYFUNCTION("""COMPUTED_VALUE"""),0.8995323117398286)</f>
        <v>0.8995323117</v>
      </c>
    </row>
    <row r="136">
      <c r="A136" s="109">
        <f>IFERROR(__xludf.DUMMYFUNCTION("""COMPUTED_VALUE"""),46086.362480104166)</f>
        <v>46086.36248</v>
      </c>
      <c r="B136" s="81" t="str">
        <f>IFERROR(__xludf.DUMMYFUNCTION("""COMPUTED_VALUE"""),"Evan Morgan")</f>
        <v>Evan Morgan</v>
      </c>
      <c r="C136" s="74" t="b">
        <f>IFERROR(__xludf.DUMMYFUNCTION("""COMPUTED_VALUE"""),FALSE)</f>
        <v>0</v>
      </c>
      <c r="D136" s="137">
        <f>IFERROR(__xludf.DUMMYFUNCTION("""COMPUTED_VALUE"""),0.29166666666424135)</f>
        <v>0.2916666667</v>
      </c>
      <c r="E136" s="82">
        <f>IFERROR(__xludf.DUMMYFUNCTION("""COMPUTED_VALUE"""),0.07013888889196096)</f>
        <v>0.07013888889</v>
      </c>
      <c r="F136" s="137">
        <f>IFERROR(__xludf.DUMMYFUNCTION("""COMPUTED_VALUE"""),0.3618055555562023)</f>
        <v>0.3618055556</v>
      </c>
      <c r="G136" s="82">
        <f>IFERROR(__xludf.DUMMYFUNCTION("""COMPUTED_VALUE"""),0.07013888889196096)</f>
        <v>0.07013888889</v>
      </c>
      <c r="H136" s="74">
        <f>IFERROR(__xludf.DUMMYFUNCTION("""COMPUTED_VALUE"""),18.0)</f>
        <v>18</v>
      </c>
      <c r="I136" s="84">
        <f>IFERROR(__xludf.DUMMYFUNCTION("""COMPUTED_VALUE"""),10.693069306462338)</f>
        <v>10.69306931</v>
      </c>
      <c r="J136" s="74" t="str">
        <f>IFERROR(__xludf.DUMMYFUNCTION("""COMPUTED_VALUE"""),"Breakfast")</f>
        <v>Breakfast</v>
      </c>
      <c r="K136" s="113">
        <f>IFERROR(__xludf.DUMMYFUNCTION("""COMPUTED_VALUE"""),46086.0)</f>
        <v>46086</v>
      </c>
      <c r="L136" s="74" t="str">
        <f>IFERROR(__xludf.DUMMYFUNCTION("""COMPUTED_VALUE"""),"Thursday")</f>
        <v>Thursday</v>
      </c>
      <c r="M136" s="74" t="str">
        <f>IFERROR(__xludf.DUMMYFUNCTION("""COMPUTED_VALUE"""),"MF")</f>
        <v>MF</v>
      </c>
      <c r="N136" s="114">
        <f>IFERROR(__xludf.DUMMYFUNCTION("""COMPUTED_VALUE"""),0.23873236873649836)</f>
        <v>0.2387323687</v>
      </c>
      <c r="O136" s="74" t="str">
        <f>IFERROR(__xludf.DUMMYFUNCTION("""COMPUTED_VALUE"""),"")</f>
        <v/>
      </c>
      <c r="P136" s="74" t="str">
        <f>IFERROR(__xludf.DUMMYFUNCTION("""COMPUTED_VALUE"""),"")</f>
        <v/>
      </c>
      <c r="Q136" s="82" t="str">
        <f>IFERROR(__xludf.DUMMYFUNCTION("""COMPUTED_VALUE"""),"")</f>
        <v/>
      </c>
      <c r="R136" s="82" t="str">
        <f>IFERROR(__xludf.DUMMYFUNCTION("""COMPUTED_VALUE"""),"")</f>
        <v/>
      </c>
      <c r="S136" s="84" t="str">
        <f>IFERROR(__xludf.DUMMYFUNCTION("""COMPUTED_VALUE"""),"")</f>
        <v/>
      </c>
      <c r="T136" s="84" t="str">
        <f>IFERROR(__xludf.DUMMYFUNCTION("""COMPUTED_VALUE"""),"")</f>
        <v/>
      </c>
      <c r="U136" s="74" t="str">
        <f>IFERROR(__xludf.DUMMYFUNCTION("""COMPUTED_VALUE"""),"")</f>
        <v/>
      </c>
      <c r="V136" s="82" t="str">
        <f>IFERROR(__xludf.DUMMYFUNCTION("""COMPUTED_VALUE"""),"")</f>
        <v/>
      </c>
      <c r="W136" s="64" t="str">
        <f>IFERROR(__xludf.DUMMYFUNCTION("""COMPUTED_VALUE"""),"")</f>
        <v/>
      </c>
      <c r="X136" s="84" t="str">
        <f>IFERROR(__xludf.DUMMYFUNCTION("""COMPUTED_VALUE"""),"")</f>
        <v/>
      </c>
      <c r="Y136" s="114" t="str">
        <f>IFERROR(__xludf.DUMMYFUNCTION("""COMPUTED_VALUE"""),"")</f>
        <v/>
      </c>
    </row>
    <row r="137">
      <c r="A137" s="109">
        <f>IFERROR(__xludf.DUMMYFUNCTION("""COMPUTED_VALUE"""),46086.47893978009)</f>
        <v>46086.47894</v>
      </c>
      <c r="B137" s="81" t="str">
        <f>IFERROR(__xludf.DUMMYFUNCTION("""COMPUTED_VALUE"""),"Sophia Kluck")</f>
        <v>Sophia Kluck</v>
      </c>
      <c r="C137" s="74" t="b">
        <f>IFERROR(__xludf.DUMMYFUNCTION("""COMPUTED_VALUE"""),FALSE)</f>
        <v>0</v>
      </c>
      <c r="D137" s="137">
        <f>IFERROR(__xludf.DUMMYFUNCTION("""COMPUTED_VALUE"""),0.367361111115315)</f>
        <v>0.3673611111</v>
      </c>
      <c r="E137" s="82">
        <f>IFERROR(__xludf.DUMMYFUNCTION("""COMPUTED_VALUE"""),0.10763888888322981)</f>
        <v>0.1076388889</v>
      </c>
      <c r="F137" s="137">
        <f>IFERROR(__xludf.DUMMYFUNCTION("""COMPUTED_VALUE"""),0.4749999999985448)</f>
        <v>0.475</v>
      </c>
      <c r="G137" s="82">
        <f>IFERROR(__xludf.DUMMYFUNCTION("""COMPUTED_VALUE"""),0.10763888888322981)</f>
        <v>0.1076388889</v>
      </c>
      <c r="H137" s="74">
        <f>IFERROR(__xludf.DUMMYFUNCTION("""COMPUTED_VALUE"""),92.0)</f>
        <v>92</v>
      </c>
      <c r="I137" s="84">
        <f>IFERROR(__xludf.DUMMYFUNCTION("""COMPUTED_VALUE"""),35.612903227678785)</f>
        <v>35.61290323</v>
      </c>
      <c r="J137" s="74" t="str">
        <f>IFERROR(__xludf.DUMMYFUNCTION("""COMPUTED_VALUE"""),"Breakfast/Lunch")</f>
        <v>Breakfast/Lunch</v>
      </c>
      <c r="K137" s="113">
        <f>IFERROR(__xludf.DUMMYFUNCTION("""COMPUTED_VALUE"""),46086.0)</f>
        <v>46086</v>
      </c>
      <c r="L137" s="74" t="str">
        <f>IFERROR(__xludf.DUMMYFUNCTION("""COMPUTED_VALUE"""),"Thursday")</f>
        <v>Thursday</v>
      </c>
      <c r="M137" s="74" t="str">
        <f>IFERROR(__xludf.DUMMYFUNCTION("""COMPUTED_VALUE"""),"BF")</f>
        <v>BF</v>
      </c>
      <c r="N137" s="114">
        <f>IFERROR(__xludf.DUMMYFUNCTION("""COMPUTED_VALUE"""),0.8430002384677543)</f>
        <v>0.8430002385</v>
      </c>
      <c r="O137" s="74" t="str">
        <f>IFERROR(__xludf.DUMMYFUNCTION("""COMPUTED_VALUE"""),"")</f>
        <v/>
      </c>
      <c r="P137" s="74" t="str">
        <f>IFERROR(__xludf.DUMMYFUNCTION("""COMPUTED_VALUE"""),"")</f>
        <v/>
      </c>
      <c r="Q137" s="82" t="str">
        <f>IFERROR(__xludf.DUMMYFUNCTION("""COMPUTED_VALUE"""),"")</f>
        <v/>
      </c>
      <c r="R137" s="82" t="str">
        <f>IFERROR(__xludf.DUMMYFUNCTION("""COMPUTED_VALUE"""),"")</f>
        <v/>
      </c>
      <c r="S137" s="84" t="str">
        <f>IFERROR(__xludf.DUMMYFUNCTION("""COMPUTED_VALUE"""),"")</f>
        <v/>
      </c>
      <c r="T137" s="84" t="str">
        <f>IFERROR(__xludf.DUMMYFUNCTION("""COMPUTED_VALUE"""),"")</f>
        <v/>
      </c>
      <c r="U137" s="74" t="str">
        <f>IFERROR(__xludf.DUMMYFUNCTION("""COMPUTED_VALUE"""),"")</f>
        <v/>
      </c>
      <c r="V137" s="82" t="str">
        <f>IFERROR(__xludf.DUMMYFUNCTION("""COMPUTED_VALUE"""),"")</f>
        <v/>
      </c>
      <c r="W137" s="64" t="str">
        <f>IFERROR(__xludf.DUMMYFUNCTION("""COMPUTED_VALUE"""),"")</f>
        <v/>
      </c>
      <c r="X137" s="84" t="str">
        <f>IFERROR(__xludf.DUMMYFUNCTION("""COMPUTED_VALUE"""),"")</f>
        <v/>
      </c>
      <c r="Y137" s="114" t="str">
        <f>IFERROR(__xludf.DUMMYFUNCTION("""COMPUTED_VALUE"""),"")</f>
        <v/>
      </c>
    </row>
    <row r="138">
      <c r="A138" s="109">
        <f>IFERROR(__xludf.DUMMYFUNCTION("""COMPUTED_VALUE"""),46086.527243159726)</f>
        <v>46086.52724</v>
      </c>
      <c r="B138" s="81" t="str">
        <f>IFERROR(__xludf.DUMMYFUNCTION("""COMPUTED_VALUE"""),"Emmett Khan")</f>
        <v>Emmett Khan</v>
      </c>
      <c r="C138" s="74" t="b">
        <f>IFERROR(__xludf.DUMMYFUNCTION("""COMPUTED_VALUE"""),FALSE)</f>
        <v>0</v>
      </c>
      <c r="D138" s="137">
        <f>IFERROR(__xludf.DUMMYFUNCTION("""COMPUTED_VALUE"""),0.47916666666424135)</f>
        <v>0.4791666667</v>
      </c>
      <c r="E138" s="82">
        <f>IFERROR(__xludf.DUMMYFUNCTION("""COMPUTED_VALUE"""),0.05208333333575865)</f>
        <v>0.05208333334</v>
      </c>
      <c r="F138" s="137">
        <f>IFERROR(__xludf.DUMMYFUNCTION("""COMPUTED_VALUE"""),0.53125)</f>
        <v>0.53125</v>
      </c>
      <c r="G138" s="82">
        <f>IFERROR(__xludf.DUMMYFUNCTION("""COMPUTED_VALUE"""),0.05208333333575865)</f>
        <v>0.05208333334</v>
      </c>
      <c r="H138" s="74">
        <f>IFERROR(__xludf.DUMMYFUNCTION("""COMPUTED_VALUE"""),72.0)</f>
        <v>72</v>
      </c>
      <c r="I138" s="84">
        <f>IFERROR(__xludf.DUMMYFUNCTION("""COMPUTED_VALUE"""),57.59999999731779)</f>
        <v>57.6</v>
      </c>
      <c r="J138" s="74" t="str">
        <f>IFERROR(__xludf.DUMMYFUNCTION("""COMPUTED_VALUE"""),"Lunch")</f>
        <v>Lunch</v>
      </c>
      <c r="K138" s="113">
        <f>IFERROR(__xludf.DUMMYFUNCTION("""COMPUTED_VALUE"""),46086.0)</f>
        <v>46086</v>
      </c>
      <c r="L138" s="74" t="str">
        <f>IFERROR(__xludf.DUMMYFUNCTION("""COMPUTED_VALUE"""),"Thursday")</f>
        <v>Thursday</v>
      </c>
      <c r="M138" s="74" t="str">
        <f>IFERROR(__xludf.DUMMYFUNCTION("""COMPUTED_VALUE"""),"MF")</f>
        <v>MF</v>
      </c>
      <c r="N138" s="114">
        <f>IFERROR(__xludf.DUMMYFUNCTION("""COMPUTED_VALUE"""),1.145641817266773)</f>
        <v>1.145641817</v>
      </c>
      <c r="O138" s="74" t="str">
        <f>IFERROR(__xludf.DUMMYFUNCTION("""COMPUTED_VALUE"""),"")</f>
        <v/>
      </c>
      <c r="P138" s="74" t="str">
        <f>IFERROR(__xludf.DUMMYFUNCTION("""COMPUTED_VALUE"""),"")</f>
        <v/>
      </c>
      <c r="Q138" s="82" t="str">
        <f>IFERROR(__xludf.DUMMYFUNCTION("""COMPUTED_VALUE"""),"")</f>
        <v/>
      </c>
      <c r="R138" s="82" t="str">
        <f>IFERROR(__xludf.DUMMYFUNCTION("""COMPUTED_VALUE"""),"")</f>
        <v/>
      </c>
      <c r="S138" s="84" t="str">
        <f>IFERROR(__xludf.DUMMYFUNCTION("""COMPUTED_VALUE"""),"")</f>
        <v/>
      </c>
      <c r="T138" s="84" t="str">
        <f>IFERROR(__xludf.DUMMYFUNCTION("""COMPUTED_VALUE"""),"")</f>
        <v/>
      </c>
      <c r="U138" s="74" t="str">
        <f>IFERROR(__xludf.DUMMYFUNCTION("""COMPUTED_VALUE"""),"")</f>
        <v/>
      </c>
      <c r="V138" s="82" t="str">
        <f>IFERROR(__xludf.DUMMYFUNCTION("""COMPUTED_VALUE"""),"")</f>
        <v/>
      </c>
      <c r="W138" s="64" t="str">
        <f>IFERROR(__xludf.DUMMYFUNCTION("""COMPUTED_VALUE"""),"")</f>
        <v/>
      </c>
      <c r="X138" s="84" t="str">
        <f>IFERROR(__xludf.DUMMYFUNCTION("""COMPUTED_VALUE"""),"")</f>
        <v/>
      </c>
      <c r="Y138" s="114" t="str">
        <f>IFERROR(__xludf.DUMMYFUNCTION("""COMPUTED_VALUE"""),"")</f>
        <v/>
      </c>
    </row>
    <row r="139">
      <c r="A139" s="109">
        <f>IFERROR(__xludf.DUMMYFUNCTION("""COMPUTED_VALUE"""),46086.64518774305)</f>
        <v>46086.64519</v>
      </c>
      <c r="B139" s="81" t="str">
        <f>IFERROR(__xludf.DUMMYFUNCTION("""COMPUTED_VALUE"""),"Kyra Turner")</f>
        <v>Kyra Turner</v>
      </c>
      <c r="C139" s="74" t="b">
        <f>IFERROR(__xludf.DUMMYFUNCTION("""COMPUTED_VALUE"""),FALSE)</f>
        <v>0</v>
      </c>
      <c r="D139" s="137">
        <f>IFERROR(__xludf.DUMMYFUNCTION("""COMPUTED_VALUE"""),0.5006944444467081)</f>
        <v>0.5006944444</v>
      </c>
      <c r="E139" s="82">
        <f>IFERROR(__xludf.DUMMYFUNCTION("""COMPUTED_VALUE"""),0.1430555555562023)</f>
        <v>0.1430555556</v>
      </c>
      <c r="F139" s="137">
        <f>IFERROR(__xludf.DUMMYFUNCTION("""COMPUTED_VALUE"""),0.6437500000029104)</f>
        <v>0.64375</v>
      </c>
      <c r="G139" s="82">
        <f>IFERROR(__xludf.DUMMYFUNCTION("""COMPUTED_VALUE"""),0.1430555555562023)</f>
        <v>0.1430555556</v>
      </c>
      <c r="H139" s="74">
        <f>IFERROR(__xludf.DUMMYFUNCTION("""COMPUTED_VALUE"""),146.0)</f>
        <v>146</v>
      </c>
      <c r="I139" s="84">
        <f>IFERROR(__xludf.DUMMYFUNCTION("""COMPUTED_VALUE"""),42.52427184446794)</f>
        <v>42.52427184</v>
      </c>
      <c r="J139" s="74" t="str">
        <f>IFERROR(__xludf.DUMMYFUNCTION("""COMPUTED_VALUE"""),"Lunch")</f>
        <v>Lunch</v>
      </c>
      <c r="K139" s="113">
        <f>IFERROR(__xludf.DUMMYFUNCTION("""COMPUTED_VALUE"""),46086.0)</f>
        <v>46086</v>
      </c>
      <c r="L139" s="74" t="str">
        <f>IFERROR(__xludf.DUMMYFUNCTION("""COMPUTED_VALUE"""),"Thursday")</f>
        <v>Thursday</v>
      </c>
      <c r="M139" s="74" t="str">
        <f>IFERROR(__xludf.DUMMYFUNCTION("""COMPUTED_VALUE"""),"BF")</f>
        <v>BF</v>
      </c>
      <c r="N139" s="114">
        <f>IFERROR(__xludf.DUMMYFUNCTION("""COMPUTED_VALUE"""),1.4999399597306076)</f>
        <v>1.49993996</v>
      </c>
      <c r="O139" s="74" t="str">
        <f>IFERROR(__xludf.DUMMYFUNCTION("""COMPUTED_VALUE"""),"")</f>
        <v/>
      </c>
      <c r="P139" s="74" t="str">
        <f>IFERROR(__xludf.DUMMYFUNCTION("""COMPUTED_VALUE"""),"")</f>
        <v/>
      </c>
      <c r="Q139" s="82" t="str">
        <f>IFERROR(__xludf.DUMMYFUNCTION("""COMPUTED_VALUE"""),"")</f>
        <v/>
      </c>
      <c r="R139" s="82" t="str">
        <f>IFERROR(__xludf.DUMMYFUNCTION("""COMPUTED_VALUE"""),"")</f>
        <v/>
      </c>
      <c r="S139" s="84" t="str">
        <f>IFERROR(__xludf.DUMMYFUNCTION("""COMPUTED_VALUE"""),"")</f>
        <v/>
      </c>
      <c r="T139" s="84" t="str">
        <f>IFERROR(__xludf.DUMMYFUNCTION("""COMPUTED_VALUE"""),"")</f>
        <v/>
      </c>
      <c r="U139" s="74" t="str">
        <f>IFERROR(__xludf.DUMMYFUNCTION("""COMPUTED_VALUE"""),"")</f>
        <v/>
      </c>
      <c r="V139" s="82" t="str">
        <f>IFERROR(__xludf.DUMMYFUNCTION("""COMPUTED_VALUE"""),"")</f>
        <v/>
      </c>
      <c r="W139" s="64" t="str">
        <f>IFERROR(__xludf.DUMMYFUNCTION("""COMPUTED_VALUE"""),"")</f>
        <v/>
      </c>
      <c r="X139" s="84" t="str">
        <f>IFERROR(__xludf.DUMMYFUNCTION("""COMPUTED_VALUE"""),"")</f>
        <v/>
      </c>
      <c r="Y139" s="114" t="str">
        <f>IFERROR(__xludf.DUMMYFUNCTION("""COMPUTED_VALUE"""),"")</f>
        <v/>
      </c>
    </row>
    <row r="140">
      <c r="A140" s="109">
        <f>IFERROR(__xludf.DUMMYFUNCTION("""COMPUTED_VALUE"""),46086.77599821759)</f>
        <v>46086.776</v>
      </c>
      <c r="B140" s="81" t="str">
        <f>IFERROR(__xludf.DUMMYFUNCTION("""COMPUTED_VALUE"""),"Emmett Khan")</f>
        <v>Emmett Khan</v>
      </c>
      <c r="C140" s="74" t="b">
        <f>IFERROR(__xludf.DUMMYFUNCTION("""COMPUTED_VALUE"""),FALSE)</f>
        <v>0</v>
      </c>
      <c r="D140" s="137">
        <f>IFERROR(__xludf.DUMMYFUNCTION("""COMPUTED_VALUE"""),0.7083333333357587)</f>
        <v>0.7083333333</v>
      </c>
      <c r="E140" s="82">
        <f>IFERROR(__xludf.DUMMYFUNCTION("""COMPUTED_VALUE"""),0.07291666666424135)</f>
        <v>0.07291666666</v>
      </c>
      <c r="F140" s="137">
        <f>IFERROR(__xludf.DUMMYFUNCTION("""COMPUTED_VALUE"""),0.78125)</f>
        <v>0.78125</v>
      </c>
      <c r="G140" s="82">
        <f>IFERROR(__xludf.DUMMYFUNCTION("""COMPUTED_VALUE"""),0.07291666666424135)</f>
        <v>0.07291666666</v>
      </c>
      <c r="H140" s="74">
        <f>IFERROR(__xludf.DUMMYFUNCTION("""COMPUTED_VALUE"""),111.0)</f>
        <v>111</v>
      </c>
      <c r="I140" s="84">
        <f>IFERROR(__xludf.DUMMYFUNCTION("""COMPUTED_VALUE"""),63.42857143068116)</f>
        <v>63.42857143</v>
      </c>
      <c r="J140" s="74" t="str">
        <f>IFERROR(__xludf.DUMMYFUNCTION("""COMPUTED_VALUE"""),"Dinner")</f>
        <v>Dinner</v>
      </c>
      <c r="K140" s="113">
        <f>IFERROR(__xludf.DUMMYFUNCTION("""COMPUTED_VALUE"""),46086.0)</f>
        <v>46086</v>
      </c>
      <c r="L140" s="74" t="str">
        <f>IFERROR(__xludf.DUMMYFUNCTION("""COMPUTED_VALUE"""),"Thursday")</f>
        <v>Thursday</v>
      </c>
      <c r="M140" s="74" t="str">
        <f>IFERROR(__xludf.DUMMYFUNCTION("""COMPUTED_VALUE"""),"MF")</f>
        <v>MF</v>
      </c>
      <c r="N140" s="114">
        <f>IFERROR(__xludf.DUMMYFUNCTION("""COMPUTED_VALUE"""),1.3675939886761077)</f>
        <v>1.367593989</v>
      </c>
      <c r="O140" s="74" t="str">
        <f>IFERROR(__xludf.DUMMYFUNCTION("""COMPUTED_VALUE"""),"")</f>
        <v/>
      </c>
      <c r="P140" s="74" t="str">
        <f>IFERROR(__xludf.DUMMYFUNCTION("""COMPUTED_VALUE"""),"")</f>
        <v/>
      </c>
      <c r="Q140" s="82" t="str">
        <f>IFERROR(__xludf.DUMMYFUNCTION("""COMPUTED_VALUE"""),"")</f>
        <v/>
      </c>
      <c r="R140" s="82" t="str">
        <f>IFERROR(__xludf.DUMMYFUNCTION("""COMPUTED_VALUE"""),"")</f>
        <v/>
      </c>
      <c r="S140" s="84" t="str">
        <f>IFERROR(__xludf.DUMMYFUNCTION("""COMPUTED_VALUE"""),"")</f>
        <v/>
      </c>
      <c r="T140" s="84" t="str">
        <f>IFERROR(__xludf.DUMMYFUNCTION("""COMPUTED_VALUE"""),"")</f>
        <v/>
      </c>
      <c r="U140" s="74" t="str">
        <f>IFERROR(__xludf.DUMMYFUNCTION("""COMPUTED_VALUE"""),"")</f>
        <v/>
      </c>
      <c r="V140" s="82" t="str">
        <f>IFERROR(__xludf.DUMMYFUNCTION("""COMPUTED_VALUE"""),"")</f>
        <v/>
      </c>
      <c r="W140" s="64" t="str">
        <f>IFERROR(__xludf.DUMMYFUNCTION("""COMPUTED_VALUE"""),"")</f>
        <v/>
      </c>
      <c r="X140" s="84" t="str">
        <f>IFERROR(__xludf.DUMMYFUNCTION("""COMPUTED_VALUE"""),"")</f>
        <v/>
      </c>
      <c r="Y140" s="114" t="str">
        <f>IFERROR(__xludf.DUMMYFUNCTION("""COMPUTED_VALUE"""),"")</f>
        <v/>
      </c>
    </row>
    <row r="141">
      <c r="A141" s="109">
        <f>IFERROR(__xludf.DUMMYFUNCTION("""COMPUTED_VALUE"""),46086.77661519676)</f>
        <v>46086.77662</v>
      </c>
      <c r="B141" s="81" t="str">
        <f>IFERROR(__xludf.DUMMYFUNCTION("""COMPUTED_VALUE"""),"Leah Bucci")</f>
        <v>Leah Bucci</v>
      </c>
      <c r="C141" s="74" t="b">
        <f>IFERROR(__xludf.DUMMYFUNCTION("""COMPUTED_VALUE"""),FALSE)</f>
        <v>0</v>
      </c>
      <c r="D141" s="137">
        <f>IFERROR(__xludf.DUMMYFUNCTION("""COMPUTED_VALUE"""),0.6875)</f>
        <v>0.6875</v>
      </c>
      <c r="E141" s="82">
        <f>IFERROR(__xludf.DUMMYFUNCTION("""COMPUTED_VALUE"""),0.07638888889050577)</f>
        <v>0.07638888889</v>
      </c>
      <c r="F141" s="137">
        <f>IFERROR(__xludf.DUMMYFUNCTION("""COMPUTED_VALUE"""),0.7638888888905058)</f>
        <v>0.7638888889</v>
      </c>
      <c r="G141" s="82">
        <f>IFERROR(__xludf.DUMMYFUNCTION("""COMPUTED_VALUE"""),0.07638888889050577)</f>
        <v>0.07638888889</v>
      </c>
      <c r="H141" s="74">
        <f>IFERROR(__xludf.DUMMYFUNCTION("""COMPUTED_VALUE"""),92.0)</f>
        <v>92</v>
      </c>
      <c r="I141" s="84">
        <f>IFERROR(__xludf.DUMMYFUNCTION("""COMPUTED_VALUE"""),50.18181818075601)</f>
        <v>50.18181818</v>
      </c>
      <c r="J141" s="74" t="str">
        <f>IFERROR(__xludf.DUMMYFUNCTION("""COMPUTED_VALUE"""),"Dinner")</f>
        <v>Dinner</v>
      </c>
      <c r="K141" s="113">
        <f>IFERROR(__xludf.DUMMYFUNCTION("""COMPUTED_VALUE"""),46086.0)</f>
        <v>46086</v>
      </c>
      <c r="L141" s="74" t="str">
        <f>IFERROR(__xludf.DUMMYFUNCTION("""COMPUTED_VALUE"""),"Thursday")</f>
        <v>Thursday</v>
      </c>
      <c r="M141" s="74" t="str">
        <f>IFERROR(__xludf.DUMMYFUNCTION("""COMPUTED_VALUE"""),"BF")</f>
        <v>BF</v>
      </c>
      <c r="N141" s="114">
        <f>IFERROR(__xludf.DUMMYFUNCTION("""COMPUTED_VALUE"""),1.1294117646655415)</f>
        <v>1.129411765</v>
      </c>
      <c r="O141" s="74" t="str">
        <f>IFERROR(__xludf.DUMMYFUNCTION("""COMPUTED_VALUE"""),"")</f>
        <v/>
      </c>
      <c r="P141" s="74" t="str">
        <f>IFERROR(__xludf.DUMMYFUNCTION("""COMPUTED_VALUE"""),"")</f>
        <v/>
      </c>
      <c r="Q141" s="82" t="str">
        <f>IFERROR(__xludf.DUMMYFUNCTION("""COMPUTED_VALUE"""),"")</f>
        <v/>
      </c>
      <c r="R141" s="82" t="str">
        <f>IFERROR(__xludf.DUMMYFUNCTION("""COMPUTED_VALUE"""),"")</f>
        <v/>
      </c>
      <c r="S141" s="84" t="str">
        <f>IFERROR(__xludf.DUMMYFUNCTION("""COMPUTED_VALUE"""),"")</f>
        <v/>
      </c>
      <c r="T141" s="84" t="str">
        <f>IFERROR(__xludf.DUMMYFUNCTION("""COMPUTED_VALUE"""),"")</f>
        <v/>
      </c>
      <c r="U141" s="74" t="str">
        <f>IFERROR(__xludf.DUMMYFUNCTION("""COMPUTED_VALUE"""),"")</f>
        <v/>
      </c>
      <c r="V141" s="82" t="str">
        <f>IFERROR(__xludf.DUMMYFUNCTION("""COMPUTED_VALUE"""),"")</f>
        <v/>
      </c>
      <c r="W141" s="64" t="str">
        <f>IFERROR(__xludf.DUMMYFUNCTION("""COMPUTED_VALUE"""),"")</f>
        <v/>
      </c>
      <c r="X141" s="84" t="str">
        <f>IFERROR(__xludf.DUMMYFUNCTION("""COMPUTED_VALUE"""),"")</f>
        <v/>
      </c>
      <c r="Y141" s="114" t="str">
        <f>IFERROR(__xludf.DUMMYFUNCTION("""COMPUTED_VALUE"""),"")</f>
        <v/>
      </c>
    </row>
    <row r="142">
      <c r="A142" s="109">
        <f>IFERROR(__xludf.DUMMYFUNCTION("""COMPUTED_VALUE"""),46087.60271386574)</f>
        <v>46087.60271</v>
      </c>
      <c r="B142" s="81" t="str">
        <f>IFERROR(__xludf.DUMMYFUNCTION("""COMPUTED_VALUE"""),"Arjya Aich")</f>
        <v>Arjya Aich</v>
      </c>
      <c r="C142" s="74" t="b">
        <f>IFERROR(__xludf.DUMMYFUNCTION("""COMPUTED_VALUE"""),FALSE)</f>
        <v>0</v>
      </c>
      <c r="D142" s="137">
        <f>IFERROR(__xludf.DUMMYFUNCTION("""COMPUTED_VALUE"""),0.7916666666642413)</f>
        <v>0.7916666667</v>
      </c>
      <c r="E142" s="82">
        <f>IFERROR(__xludf.DUMMYFUNCTION("""COMPUTED_VALUE"""),0.08333333333575865)</f>
        <v>0.08333333334</v>
      </c>
      <c r="F142" s="137">
        <f>IFERROR(__xludf.DUMMYFUNCTION("""COMPUTED_VALUE"""),0.875)</f>
        <v>0.875</v>
      </c>
      <c r="G142" s="82">
        <f>IFERROR(__xludf.DUMMYFUNCTION("""COMPUTED_VALUE"""),0.08333333333575865)</f>
        <v>0.08333333334</v>
      </c>
      <c r="H142" s="74">
        <f>IFERROR(__xludf.DUMMYFUNCTION("""COMPUTED_VALUE"""),62.0)</f>
        <v>62</v>
      </c>
      <c r="I142" s="84">
        <f>IFERROR(__xludf.DUMMYFUNCTION("""COMPUTED_VALUE"""),30.99999999909778)</f>
        <v>31</v>
      </c>
      <c r="J142" s="74" t="str">
        <f>IFERROR(__xludf.DUMMYFUNCTION("""COMPUTED_VALUE"""),"Dinner")</f>
        <v>Dinner</v>
      </c>
      <c r="K142" s="113">
        <f>IFERROR(__xludf.DUMMYFUNCTION("""COMPUTED_VALUE"""),46086.0)</f>
        <v>46086</v>
      </c>
      <c r="L142" s="74" t="str">
        <f>IFERROR(__xludf.DUMMYFUNCTION("""COMPUTED_VALUE"""),"Thursday")</f>
        <v>Thursday</v>
      </c>
      <c r="M142" s="74" t="str">
        <f>IFERROR(__xludf.DUMMYFUNCTION("""COMPUTED_VALUE"""),"MF")</f>
        <v>MF</v>
      </c>
      <c r="N142" s="114">
        <f>IFERROR(__xludf.DUMMYFUNCTION("""COMPUTED_VALUE"""),0.6683961610905571)</f>
        <v>0.6683961611</v>
      </c>
      <c r="O142" s="74">
        <f>IFERROR(__xludf.DUMMYFUNCTION("""COMPUTED_VALUE"""),263.0)</f>
        <v>263</v>
      </c>
      <c r="P142" s="74">
        <f>IFERROR(__xludf.DUMMYFUNCTION("""COMPUTED_VALUE"""),330.0)</f>
        <v>330</v>
      </c>
      <c r="Q142" s="82">
        <f>IFERROR(__xludf.DUMMYFUNCTION("""COMPUTED_VALUE"""),0.2784722222277196)</f>
        <v>0.2784722222</v>
      </c>
      <c r="R142" s="82">
        <f>IFERROR(__xludf.DUMMYFUNCTION("""COMPUTED_VALUE"""),0.3270833333299379)</f>
        <v>0.3270833333</v>
      </c>
      <c r="S142" s="84">
        <f>IFERROR(__xludf.DUMMYFUNCTION("""COMPUTED_VALUE"""),40.68041018338977)</f>
        <v>40.68041018</v>
      </c>
      <c r="T142" s="84">
        <f>IFERROR(__xludf.DUMMYFUNCTION("""COMPUTED_VALUE"""),42.77299775096758)</f>
        <v>42.77299775</v>
      </c>
      <c r="U142" s="74">
        <f>IFERROR(__xludf.DUMMYFUNCTION("""COMPUTED_VALUE"""),593.0)</f>
        <v>593</v>
      </c>
      <c r="V142" s="82">
        <f>IFERROR(__xludf.DUMMYFUNCTION("""COMPUTED_VALUE"""),0.6055555555576575)</f>
        <v>0.6055555556</v>
      </c>
      <c r="W142" s="64">
        <f>IFERROR(__xludf.DUMMYFUNCTION("""COMPUTED_VALUE"""),40.80275229343635)</f>
        <v>40.80275229</v>
      </c>
      <c r="X142" s="84">
        <f>IFERROR(__xludf.DUMMYFUNCTION("""COMPUTED_VALUE"""),41.5772334266374)</f>
        <v>41.57723343</v>
      </c>
      <c r="Y142" s="114">
        <f>IFERROR(__xludf.DUMMYFUNCTION("""COMPUTED_VALUE"""),0.7860644909790336)</f>
        <v>0.786064491</v>
      </c>
    </row>
    <row r="143">
      <c r="A143" s="109">
        <f>IFERROR(__xludf.DUMMYFUNCTION("""COMPUTED_VALUE"""),46087.43973273148)</f>
        <v>46087.43973</v>
      </c>
      <c r="B143" s="81" t="str">
        <f>IFERROR(__xludf.DUMMYFUNCTION("""COMPUTED_VALUE"""),"Kaylie Forgue")</f>
        <v>Kaylie Forgue</v>
      </c>
      <c r="C143" s="74" t="b">
        <f>IFERROR(__xludf.DUMMYFUNCTION("""COMPUTED_VALUE"""),FALSE)</f>
        <v>0</v>
      </c>
      <c r="D143" s="137">
        <f>IFERROR(__xludf.DUMMYFUNCTION("""COMPUTED_VALUE"""),0.3701388888875954)</f>
        <v>0.3701388889</v>
      </c>
      <c r="E143" s="82">
        <f>IFERROR(__xludf.DUMMYFUNCTION("""COMPUTED_VALUE"""),0.06388888889341615)</f>
        <v>0.06388888889</v>
      </c>
      <c r="F143" s="137">
        <f>IFERROR(__xludf.DUMMYFUNCTION("""COMPUTED_VALUE"""),0.43402777778101154)</f>
        <v>0.4340277778</v>
      </c>
      <c r="G143" s="82">
        <f>IFERROR(__xludf.DUMMYFUNCTION("""COMPUTED_VALUE"""),0.06388888889341615)</f>
        <v>0.06388888889</v>
      </c>
      <c r="H143" s="74">
        <f>IFERROR(__xludf.DUMMYFUNCTION("""COMPUTED_VALUE"""),52.0)</f>
        <v>52</v>
      </c>
      <c r="I143" s="84">
        <f>IFERROR(__xludf.DUMMYFUNCTION("""COMPUTED_VALUE"""),33.91304347585774)</f>
        <v>33.91304348</v>
      </c>
      <c r="J143" s="74" t="str">
        <f>IFERROR(__xludf.DUMMYFUNCTION("""COMPUTED_VALUE"""),"Breakfast")</f>
        <v>Breakfast</v>
      </c>
      <c r="K143" s="113">
        <f>IFERROR(__xludf.DUMMYFUNCTION("""COMPUTED_VALUE"""),46087.0)</f>
        <v>46087</v>
      </c>
      <c r="L143" s="74" t="str">
        <f>IFERROR(__xludf.DUMMYFUNCTION("""COMPUTED_VALUE"""),"Friday")</f>
        <v>Friday</v>
      </c>
      <c r="M143" s="74" t="str">
        <f>IFERROR(__xludf.DUMMYFUNCTION("""COMPUTED_VALUE"""),"BF")</f>
        <v>BF</v>
      </c>
      <c r="N143" s="114">
        <f>IFERROR(__xludf.DUMMYFUNCTION("""COMPUTED_VALUE"""),1.196199884422897)</f>
        <v>1.196199884</v>
      </c>
      <c r="O143" s="74" t="str">
        <f>IFERROR(__xludf.DUMMYFUNCTION("""COMPUTED_VALUE"""),"")</f>
        <v/>
      </c>
      <c r="P143" s="74" t="str">
        <f>IFERROR(__xludf.DUMMYFUNCTION("""COMPUTED_VALUE"""),"")</f>
        <v/>
      </c>
      <c r="Q143" s="82" t="str">
        <f>IFERROR(__xludf.DUMMYFUNCTION("""COMPUTED_VALUE"""),"")</f>
        <v/>
      </c>
      <c r="R143" s="82" t="str">
        <f>IFERROR(__xludf.DUMMYFUNCTION("""COMPUTED_VALUE"""),"")</f>
        <v/>
      </c>
      <c r="S143" s="84" t="str">
        <f>IFERROR(__xludf.DUMMYFUNCTION("""COMPUTED_VALUE"""),"")</f>
        <v/>
      </c>
      <c r="T143" s="84" t="str">
        <f>IFERROR(__xludf.DUMMYFUNCTION("""COMPUTED_VALUE"""),"")</f>
        <v/>
      </c>
      <c r="U143" s="74" t="str">
        <f>IFERROR(__xludf.DUMMYFUNCTION("""COMPUTED_VALUE"""),"")</f>
        <v/>
      </c>
      <c r="V143" s="82" t="str">
        <f>IFERROR(__xludf.DUMMYFUNCTION("""COMPUTED_VALUE"""),"")</f>
        <v/>
      </c>
      <c r="W143" s="64" t="str">
        <f>IFERROR(__xludf.DUMMYFUNCTION("""COMPUTED_VALUE"""),"")</f>
        <v/>
      </c>
      <c r="X143" s="84" t="str">
        <f>IFERROR(__xludf.DUMMYFUNCTION("""COMPUTED_VALUE"""),"")</f>
        <v/>
      </c>
      <c r="Y143" s="114" t="str">
        <f>IFERROR(__xludf.DUMMYFUNCTION("""COMPUTED_VALUE"""),"")</f>
        <v/>
      </c>
    </row>
    <row r="144">
      <c r="A144" s="109">
        <f>IFERROR(__xludf.DUMMYFUNCTION("""COMPUTED_VALUE"""),46087.577416608794)</f>
        <v>46087.57742</v>
      </c>
      <c r="B144" s="81" t="str">
        <f>IFERROR(__xludf.DUMMYFUNCTION("""COMPUTED_VALUE"""),"Brynn Hornig")</f>
        <v>Brynn Hornig</v>
      </c>
      <c r="C144" s="74" t="b">
        <f>IFERROR(__xludf.DUMMYFUNCTION("""COMPUTED_VALUE"""),FALSE)</f>
        <v>0</v>
      </c>
      <c r="D144" s="137">
        <f>IFERROR(__xludf.DUMMYFUNCTION("""COMPUTED_VALUE"""),0.4583333333333333)</f>
        <v>0.4583333333</v>
      </c>
      <c r="E144" s="82">
        <f>IFERROR(__xludf.DUMMYFUNCTION("""COMPUTED_VALUE"""),0.12500000000242534)</f>
        <v>0.125</v>
      </c>
      <c r="F144" s="137">
        <f>IFERROR(__xludf.DUMMYFUNCTION("""COMPUTED_VALUE"""),0.5833333333357587)</f>
        <v>0.5833333333</v>
      </c>
      <c r="G144" s="82">
        <f>IFERROR(__xludf.DUMMYFUNCTION("""COMPUTED_VALUE"""),0.12500000000242534)</f>
        <v>0.125</v>
      </c>
      <c r="H144" s="74">
        <f>IFERROR(__xludf.DUMMYFUNCTION("""COMPUTED_VALUE"""),126.0)</f>
        <v>126</v>
      </c>
      <c r="I144" s="84">
        <f>IFERROR(__xludf.DUMMYFUNCTION("""COMPUTED_VALUE"""),41.999999999185086)</f>
        <v>42</v>
      </c>
      <c r="J144" s="74" t="str">
        <f>IFERROR(__xludf.DUMMYFUNCTION("""COMPUTED_VALUE"""),"Lunch")</f>
        <v>Lunch</v>
      </c>
      <c r="K144" s="113">
        <f>IFERROR(__xludf.DUMMYFUNCTION("""COMPUTED_VALUE"""),46087.0)</f>
        <v>46087</v>
      </c>
      <c r="L144" s="74" t="str">
        <f>IFERROR(__xludf.DUMMYFUNCTION("""COMPUTED_VALUE"""),"Friday")</f>
        <v>Friday</v>
      </c>
      <c r="M144" s="74" t="str">
        <f>IFERROR(__xludf.DUMMYFUNCTION("""COMPUTED_VALUE"""),"BF")</f>
        <v>BF</v>
      </c>
      <c r="N144" s="114">
        <f>IFERROR(__xludf.DUMMYFUNCTION("""COMPUTED_VALUE"""),1.481447549246129)</f>
        <v>1.481447549</v>
      </c>
      <c r="O144" s="74" t="str">
        <f>IFERROR(__xludf.DUMMYFUNCTION("""COMPUTED_VALUE"""),"")</f>
        <v/>
      </c>
      <c r="P144" s="74" t="str">
        <f>IFERROR(__xludf.DUMMYFUNCTION("""COMPUTED_VALUE"""),"")</f>
        <v/>
      </c>
      <c r="Q144" s="82" t="str">
        <f>IFERROR(__xludf.DUMMYFUNCTION("""COMPUTED_VALUE"""),"")</f>
        <v/>
      </c>
      <c r="R144" s="82" t="str">
        <f>IFERROR(__xludf.DUMMYFUNCTION("""COMPUTED_VALUE"""),"")</f>
        <v/>
      </c>
      <c r="S144" s="84" t="str">
        <f>IFERROR(__xludf.DUMMYFUNCTION("""COMPUTED_VALUE"""),"")</f>
        <v/>
      </c>
      <c r="T144" s="84" t="str">
        <f>IFERROR(__xludf.DUMMYFUNCTION("""COMPUTED_VALUE"""),"")</f>
        <v/>
      </c>
      <c r="U144" s="74" t="str">
        <f>IFERROR(__xludf.DUMMYFUNCTION("""COMPUTED_VALUE"""),"")</f>
        <v/>
      </c>
      <c r="V144" s="82" t="str">
        <f>IFERROR(__xludf.DUMMYFUNCTION("""COMPUTED_VALUE"""),"")</f>
        <v/>
      </c>
      <c r="W144" s="64" t="str">
        <f>IFERROR(__xludf.DUMMYFUNCTION("""COMPUTED_VALUE"""),"")</f>
        <v/>
      </c>
      <c r="X144" s="84" t="str">
        <f>IFERROR(__xludf.DUMMYFUNCTION("""COMPUTED_VALUE"""),"")</f>
        <v/>
      </c>
      <c r="Y144" s="114" t="str">
        <f>IFERROR(__xludf.DUMMYFUNCTION("""COMPUTED_VALUE"""),"")</f>
        <v/>
      </c>
    </row>
    <row r="145">
      <c r="A145" s="109">
        <f>IFERROR(__xludf.DUMMYFUNCTION("""COMPUTED_VALUE"""),46087.6254491088)</f>
        <v>46087.62545</v>
      </c>
      <c r="B145" s="81" t="str">
        <f>IFERROR(__xludf.DUMMYFUNCTION("""COMPUTED_VALUE"""),"Oluwatimilehin Shodipe")</f>
        <v>Oluwatimilehin Shodipe</v>
      </c>
      <c r="C145" s="74" t="b">
        <f>IFERROR(__xludf.DUMMYFUNCTION("""COMPUTED_VALUE"""),FALSE)</f>
        <v>0</v>
      </c>
      <c r="D145" s="137">
        <f>IFERROR(__xludf.DUMMYFUNCTION("""COMPUTED_VALUE"""),0.48263888889050577)</f>
        <v>0.4826388889</v>
      </c>
      <c r="E145" s="82">
        <f>IFERROR(__xludf.DUMMYFUNCTION("""COMPUTED_VALUE"""),0.14236111110949423)</f>
        <v>0.1423611111</v>
      </c>
      <c r="F145" s="137">
        <f>IFERROR(__xludf.DUMMYFUNCTION("""COMPUTED_VALUE"""),0.625)</f>
        <v>0.625</v>
      </c>
      <c r="G145" s="82">
        <f>IFERROR(__xludf.DUMMYFUNCTION("""COMPUTED_VALUE"""),0.14236111110949423)</f>
        <v>0.1423611111</v>
      </c>
      <c r="H145" s="74">
        <f>IFERROR(__xludf.DUMMYFUNCTION("""COMPUTED_VALUE"""),199.0)</f>
        <v>199</v>
      </c>
      <c r="I145" s="84">
        <f>IFERROR(__xludf.DUMMYFUNCTION("""COMPUTED_VALUE"""),58.243902439685904)</f>
        <v>58.24390244</v>
      </c>
      <c r="J145" s="74" t="str">
        <f>IFERROR(__xludf.DUMMYFUNCTION("""COMPUTED_VALUE"""),"Lunch")</f>
        <v>Lunch</v>
      </c>
      <c r="K145" s="113">
        <f>IFERROR(__xludf.DUMMYFUNCTION("""COMPUTED_VALUE"""),46087.0)</f>
        <v>46087</v>
      </c>
      <c r="L145" s="74" t="str">
        <f>IFERROR(__xludf.DUMMYFUNCTION("""COMPUTED_VALUE"""),"Friday")</f>
        <v>Friday</v>
      </c>
      <c r="M145" s="74" t="str">
        <f>IFERROR(__xludf.DUMMYFUNCTION("""COMPUTED_VALUE"""),"MF")</f>
        <v>MF</v>
      </c>
      <c r="N145" s="114">
        <f>IFERROR(__xludf.DUMMYFUNCTION("""COMPUTED_VALUE"""),1.158448788868361)</f>
        <v>1.158448789</v>
      </c>
      <c r="O145" s="74">
        <f>IFERROR(__xludf.DUMMYFUNCTION("""COMPUTED_VALUE"""),199.0)</f>
        <v>199</v>
      </c>
      <c r="P145" s="74">
        <f>IFERROR(__xludf.DUMMYFUNCTION("""COMPUTED_VALUE"""),178.0)</f>
        <v>178</v>
      </c>
      <c r="Q145" s="82">
        <f>IFERROR(__xludf.DUMMYFUNCTION("""COMPUTED_VALUE"""),0.14236111110949423)</f>
        <v>0.1423611111</v>
      </c>
      <c r="R145" s="82">
        <f>IFERROR(__xludf.DUMMYFUNCTION("""COMPUTED_VALUE"""),0.1888888888958415)</f>
        <v>0.1888888889</v>
      </c>
      <c r="S145" s="84">
        <f>IFERROR(__xludf.DUMMYFUNCTION("""COMPUTED_VALUE"""),58.243902439685904)</f>
        <v>58.24390244</v>
      </c>
      <c r="T145" s="84">
        <f>IFERROR(__xludf.DUMMYFUNCTION("""COMPUTED_VALUE"""),37.95652173752141)</f>
        <v>37.95652174</v>
      </c>
      <c r="U145" s="74">
        <f>IFERROR(__xludf.DUMMYFUNCTION("""COMPUTED_VALUE"""),377.0)</f>
        <v>377</v>
      </c>
      <c r="V145" s="82">
        <f>IFERROR(__xludf.DUMMYFUNCTION("""COMPUTED_VALUE"""),0.3312500000053357)</f>
        <v>0.33125</v>
      </c>
      <c r="W145" s="64">
        <f>IFERROR(__xludf.DUMMYFUNCTION("""COMPUTED_VALUE"""),47.42138364703489)</f>
        <v>47.42138365</v>
      </c>
      <c r="X145" s="84">
        <f>IFERROR(__xludf.DUMMYFUNCTION("""COMPUTED_VALUE"""),44.71898197157625)</f>
        <v>44.71898197</v>
      </c>
      <c r="Y145" s="114">
        <f>IFERROR(__xludf.DUMMYFUNCTION("""COMPUTED_VALUE"""),1.0041483467282581)</f>
        <v>1.004148347</v>
      </c>
    </row>
    <row r="146">
      <c r="A146" s="109">
        <f>IFERROR(__xludf.DUMMYFUNCTION("""COMPUTED_VALUE"""),46096.38285166667)</f>
        <v>46096.38285</v>
      </c>
      <c r="B146" s="81" t="str">
        <f>IFERROR(__xludf.DUMMYFUNCTION("""COMPUTED_VALUE"""),"Denise Romanszysn")</f>
        <v>Denise Romanszysn</v>
      </c>
      <c r="C146" s="74" t="b">
        <f>IFERROR(__xludf.DUMMYFUNCTION("""COMPUTED_VALUE"""),FALSE)</f>
        <v>0</v>
      </c>
      <c r="D146" s="137">
        <f>IFERROR(__xludf.DUMMYFUNCTION("""COMPUTED_VALUE"""),0.546527777776646)</f>
        <v>0.5465277778</v>
      </c>
      <c r="E146" s="82">
        <f>IFERROR(__xludf.DUMMYFUNCTION("""COMPUTED_VALUE"""),0.07500000000436557)</f>
        <v>0.075</v>
      </c>
      <c r="F146" s="137">
        <f>IFERROR(__xludf.DUMMYFUNCTION("""COMPUTED_VALUE"""),0.6215277777810115)</f>
        <v>0.6215277778</v>
      </c>
      <c r="G146" s="82">
        <f>IFERROR(__xludf.DUMMYFUNCTION("""COMPUTED_VALUE"""),0.07500000000436557)</f>
        <v>0.075</v>
      </c>
      <c r="H146" s="74">
        <f>IFERROR(__xludf.DUMMYFUNCTION("""COMPUTED_VALUE"""),127.0)</f>
        <v>127</v>
      </c>
      <c r="I146" s="84">
        <f>IFERROR(__xludf.DUMMYFUNCTION("""COMPUTED_VALUE"""),70.55555555144868)</f>
        <v>70.55555555</v>
      </c>
      <c r="J146" s="74" t="str">
        <f>IFERROR(__xludf.DUMMYFUNCTION("""COMPUTED_VALUE"""),"Lunch")</f>
        <v>Lunch</v>
      </c>
      <c r="K146" s="113">
        <f>IFERROR(__xludf.DUMMYFUNCTION("""COMPUTED_VALUE"""),46090.0)</f>
        <v>46090</v>
      </c>
      <c r="L146" s="74" t="str">
        <f>IFERROR(__xludf.DUMMYFUNCTION("""COMPUTED_VALUE"""),"Monday")</f>
        <v>Monday</v>
      </c>
      <c r="M146" s="74" t="str">
        <f>IFERROR(__xludf.DUMMYFUNCTION("""COMPUTED_VALUE"""),"MF")</f>
        <v>MF</v>
      </c>
      <c r="N146" s="114">
        <f>IFERROR(__xludf.DUMMYFUNCTION("""COMPUTED_VALUE"""),1.4033228278470908)</f>
        <v>1.403322828</v>
      </c>
      <c r="O146" s="74" t="str">
        <f>IFERROR(__xludf.DUMMYFUNCTION("""COMPUTED_VALUE"""),"")</f>
        <v/>
      </c>
      <c r="P146" s="74" t="str">
        <f>IFERROR(__xludf.DUMMYFUNCTION("""COMPUTED_VALUE"""),"")</f>
        <v/>
      </c>
      <c r="Q146" s="82" t="str">
        <f>IFERROR(__xludf.DUMMYFUNCTION("""COMPUTED_VALUE"""),"")</f>
        <v/>
      </c>
      <c r="R146" s="82" t="str">
        <f>IFERROR(__xludf.DUMMYFUNCTION("""COMPUTED_VALUE"""),"")</f>
        <v/>
      </c>
      <c r="S146" s="84" t="str">
        <f>IFERROR(__xludf.DUMMYFUNCTION("""COMPUTED_VALUE"""),"")</f>
        <v/>
      </c>
      <c r="T146" s="84" t="str">
        <f>IFERROR(__xludf.DUMMYFUNCTION("""COMPUTED_VALUE"""),"")</f>
        <v/>
      </c>
      <c r="U146" s="74" t="str">
        <f>IFERROR(__xludf.DUMMYFUNCTION("""COMPUTED_VALUE"""),"")</f>
        <v/>
      </c>
      <c r="V146" s="82" t="str">
        <f>IFERROR(__xludf.DUMMYFUNCTION("""COMPUTED_VALUE"""),"")</f>
        <v/>
      </c>
      <c r="W146" s="64" t="str">
        <f>IFERROR(__xludf.DUMMYFUNCTION("""COMPUTED_VALUE"""),"")</f>
        <v/>
      </c>
      <c r="X146" s="84" t="str">
        <f>IFERROR(__xludf.DUMMYFUNCTION("""COMPUTED_VALUE"""),"")</f>
        <v/>
      </c>
      <c r="Y146" s="114" t="str">
        <f>IFERROR(__xludf.DUMMYFUNCTION("""COMPUTED_VALUE"""),"")</f>
        <v/>
      </c>
    </row>
    <row r="147">
      <c r="A147" s="109">
        <f>IFERROR(__xludf.DUMMYFUNCTION("""COMPUTED_VALUE"""),46090.64105922454)</f>
        <v>46090.64106</v>
      </c>
      <c r="B147" s="81" t="str">
        <f>IFERROR(__xludf.DUMMYFUNCTION("""COMPUTED_VALUE"""),"Brynn Hornig")</f>
        <v>Brynn Hornig</v>
      </c>
      <c r="C147" s="74" t="b">
        <f>IFERROR(__xludf.DUMMYFUNCTION("""COMPUTED_VALUE"""),FALSE)</f>
        <v>0</v>
      </c>
      <c r="D147" s="137">
        <f>IFERROR(__xludf.DUMMYFUNCTION("""COMPUTED_VALUE"""),0.5208333333357587)</f>
        <v>0.5208333333</v>
      </c>
      <c r="E147" s="82">
        <f>IFERROR(__xludf.DUMMYFUNCTION("""COMPUTED_VALUE"""),0.125)</f>
        <v>0.125</v>
      </c>
      <c r="F147" s="137">
        <f>IFERROR(__xludf.DUMMYFUNCTION("""COMPUTED_VALUE"""),0.6458333333357587)</f>
        <v>0.6458333333</v>
      </c>
      <c r="G147" s="82">
        <f>IFERROR(__xludf.DUMMYFUNCTION("""COMPUTED_VALUE"""),0.125)</f>
        <v>0.125</v>
      </c>
      <c r="H147" s="74">
        <f>IFERROR(__xludf.DUMMYFUNCTION("""COMPUTED_VALUE"""),113.0)</f>
        <v>113</v>
      </c>
      <c r="I147" s="84">
        <f>IFERROR(__xludf.DUMMYFUNCTION("""COMPUTED_VALUE"""),37.666666666666664)</f>
        <v>37.66666667</v>
      </c>
      <c r="J147" s="74" t="str">
        <f>IFERROR(__xludf.DUMMYFUNCTION("""COMPUTED_VALUE"""),"Lunch")</f>
        <v>Lunch</v>
      </c>
      <c r="K147" s="113">
        <f>IFERROR(__xludf.DUMMYFUNCTION("""COMPUTED_VALUE"""),46090.0)</f>
        <v>46090</v>
      </c>
      <c r="L147" s="74" t="str">
        <f>IFERROR(__xludf.DUMMYFUNCTION("""COMPUTED_VALUE"""),"Monday")</f>
        <v>Monday</v>
      </c>
      <c r="M147" s="74" t="str">
        <f>IFERROR(__xludf.DUMMYFUNCTION("""COMPUTED_VALUE"""),"BF")</f>
        <v>BF</v>
      </c>
      <c r="N147" s="114">
        <f>IFERROR(__xludf.DUMMYFUNCTION("""COMPUTED_VALUE"""),1.3285997862544496)</f>
        <v>1.328599786</v>
      </c>
      <c r="O147" s="74" t="str">
        <f>IFERROR(__xludf.DUMMYFUNCTION("""COMPUTED_VALUE"""),"")</f>
        <v/>
      </c>
      <c r="P147" s="74" t="str">
        <f>IFERROR(__xludf.DUMMYFUNCTION("""COMPUTED_VALUE"""),"")</f>
        <v/>
      </c>
      <c r="Q147" s="82" t="str">
        <f>IFERROR(__xludf.DUMMYFUNCTION("""COMPUTED_VALUE"""),"")</f>
        <v/>
      </c>
      <c r="R147" s="82" t="str">
        <f>IFERROR(__xludf.DUMMYFUNCTION("""COMPUTED_VALUE"""),"")</f>
        <v/>
      </c>
      <c r="S147" s="84" t="str">
        <f>IFERROR(__xludf.DUMMYFUNCTION("""COMPUTED_VALUE"""),"")</f>
        <v/>
      </c>
      <c r="T147" s="84" t="str">
        <f>IFERROR(__xludf.DUMMYFUNCTION("""COMPUTED_VALUE"""),"")</f>
        <v/>
      </c>
      <c r="U147" s="74" t="str">
        <f>IFERROR(__xludf.DUMMYFUNCTION("""COMPUTED_VALUE"""),"")</f>
        <v/>
      </c>
      <c r="V147" s="82" t="str">
        <f>IFERROR(__xludf.DUMMYFUNCTION("""COMPUTED_VALUE"""),"")</f>
        <v/>
      </c>
      <c r="W147" s="64" t="str">
        <f>IFERROR(__xludf.DUMMYFUNCTION("""COMPUTED_VALUE"""),"")</f>
        <v/>
      </c>
      <c r="X147" s="84" t="str">
        <f>IFERROR(__xludf.DUMMYFUNCTION("""COMPUTED_VALUE"""),"")</f>
        <v/>
      </c>
      <c r="Y147" s="114" t="str">
        <f>IFERROR(__xludf.DUMMYFUNCTION("""COMPUTED_VALUE"""),"")</f>
        <v/>
      </c>
    </row>
    <row r="148">
      <c r="A148" s="109">
        <f>IFERROR(__xludf.DUMMYFUNCTION("""COMPUTED_VALUE"""),46090.74854377315)</f>
        <v>46090.74854</v>
      </c>
      <c r="B148" s="81" t="str">
        <f>IFERROR(__xludf.DUMMYFUNCTION("""COMPUTED_VALUE"""),"Orpheus Wilson")</f>
        <v>Orpheus Wilson</v>
      </c>
      <c r="C148" s="74" t="b">
        <f>IFERROR(__xludf.DUMMYFUNCTION("""COMPUTED_VALUE"""),FALSE)</f>
        <v>0</v>
      </c>
      <c r="D148" s="137">
        <f>IFERROR(__xludf.DUMMYFUNCTION("""COMPUTED_VALUE"""),0.6708333333372138)</f>
        <v>0.6708333333</v>
      </c>
      <c r="E148" s="82">
        <f>IFERROR(__xludf.DUMMYFUNCTION("""COMPUTED_VALUE"""),0.07499999999708962)</f>
        <v>0.075</v>
      </c>
      <c r="F148" s="137">
        <f>IFERROR(__xludf.DUMMYFUNCTION("""COMPUTED_VALUE"""),0.7458333333343035)</f>
        <v>0.7458333333</v>
      </c>
      <c r="G148" s="82">
        <f>IFERROR(__xludf.DUMMYFUNCTION("""COMPUTED_VALUE"""),0.07499999999708962)</f>
        <v>0.075</v>
      </c>
      <c r="H148" s="74">
        <f>IFERROR(__xludf.DUMMYFUNCTION("""COMPUTED_VALUE"""),113.0)</f>
        <v>113</v>
      </c>
      <c r="I148" s="84">
        <f>IFERROR(__xludf.DUMMYFUNCTION("""COMPUTED_VALUE"""),62.777777780213874)</f>
        <v>62.77777778</v>
      </c>
      <c r="J148" s="74" t="str">
        <f>IFERROR(__xludf.DUMMYFUNCTION("""COMPUTED_VALUE"""),"Dinner")</f>
        <v>Dinner</v>
      </c>
      <c r="K148" s="113">
        <f>IFERROR(__xludf.DUMMYFUNCTION("""COMPUTED_VALUE"""),46090.0)</f>
        <v>46090</v>
      </c>
      <c r="L148" s="74" t="str">
        <f>IFERROR(__xludf.DUMMYFUNCTION("""COMPUTED_VALUE"""),"Monday")</f>
        <v>Monday</v>
      </c>
      <c r="M148" s="74" t="str">
        <f>IFERROR(__xludf.DUMMYFUNCTION("""COMPUTED_VALUE"""),"MF")</f>
        <v>MF</v>
      </c>
      <c r="N148" s="114">
        <f>IFERROR(__xludf.DUMMYFUNCTION("""COMPUTED_VALUE"""),1.353562118429427)</f>
        <v>1.353562118</v>
      </c>
      <c r="O148" s="74" t="str">
        <f>IFERROR(__xludf.DUMMYFUNCTION("""COMPUTED_VALUE"""),"")</f>
        <v/>
      </c>
      <c r="P148" s="74" t="str">
        <f>IFERROR(__xludf.DUMMYFUNCTION("""COMPUTED_VALUE"""),"")</f>
        <v/>
      </c>
      <c r="Q148" s="82" t="str">
        <f>IFERROR(__xludf.DUMMYFUNCTION("""COMPUTED_VALUE"""),"")</f>
        <v/>
      </c>
      <c r="R148" s="82" t="str">
        <f>IFERROR(__xludf.DUMMYFUNCTION("""COMPUTED_VALUE"""),"")</f>
        <v/>
      </c>
      <c r="S148" s="84" t="str">
        <f>IFERROR(__xludf.DUMMYFUNCTION("""COMPUTED_VALUE"""),"")</f>
        <v/>
      </c>
      <c r="T148" s="84" t="str">
        <f>IFERROR(__xludf.DUMMYFUNCTION("""COMPUTED_VALUE"""),"")</f>
        <v/>
      </c>
      <c r="U148" s="74" t="str">
        <f>IFERROR(__xludf.DUMMYFUNCTION("""COMPUTED_VALUE"""),"")</f>
        <v/>
      </c>
      <c r="V148" s="82" t="str">
        <f>IFERROR(__xludf.DUMMYFUNCTION("""COMPUTED_VALUE"""),"")</f>
        <v/>
      </c>
      <c r="W148" s="64" t="str">
        <f>IFERROR(__xludf.DUMMYFUNCTION("""COMPUTED_VALUE"""),"")</f>
        <v/>
      </c>
      <c r="X148" s="84" t="str">
        <f>IFERROR(__xludf.DUMMYFUNCTION("""COMPUTED_VALUE"""),"")</f>
        <v/>
      </c>
      <c r="Y148" s="114" t="str">
        <f>IFERROR(__xludf.DUMMYFUNCTION("""COMPUTED_VALUE"""),"")</f>
        <v/>
      </c>
    </row>
    <row r="149">
      <c r="A149" s="109">
        <f>IFERROR(__xludf.DUMMYFUNCTION("""COMPUTED_VALUE"""),46091.53825715277)</f>
        <v>46091.53826</v>
      </c>
      <c r="B149" s="81" t="str">
        <f>IFERROR(__xludf.DUMMYFUNCTION("""COMPUTED_VALUE"""),"Arjya Aich")</f>
        <v>Arjya Aich</v>
      </c>
      <c r="C149" s="74" t="b">
        <f>IFERROR(__xludf.DUMMYFUNCTION("""COMPUTED_VALUE"""),FALSE)</f>
        <v>0</v>
      </c>
      <c r="D149" s="137">
        <f>IFERROR(__xludf.DUMMYFUNCTION("""COMPUTED_VALUE"""),0.6875)</f>
        <v>0.6875</v>
      </c>
      <c r="E149" s="82">
        <f>IFERROR(__xludf.DUMMYFUNCTION("""COMPUTED_VALUE"""),0.16666666666424135)</f>
        <v>0.1666666667</v>
      </c>
      <c r="F149" s="137">
        <f>IFERROR(__xludf.DUMMYFUNCTION("""COMPUTED_VALUE"""),0.8541666666642413)</f>
        <v>0.8541666667</v>
      </c>
      <c r="G149" s="82">
        <f>IFERROR(__xludf.DUMMYFUNCTION("""COMPUTED_VALUE"""),0.16666666666424135)</f>
        <v>0.1666666667</v>
      </c>
      <c r="H149" s="74">
        <f>IFERROR(__xludf.DUMMYFUNCTION("""COMPUTED_VALUE"""),102.0)</f>
        <v>102</v>
      </c>
      <c r="I149" s="84">
        <f>IFERROR(__xludf.DUMMYFUNCTION("""COMPUTED_VALUE"""),25.500000000371074)</f>
        <v>25.5</v>
      </c>
      <c r="J149" s="74" t="str">
        <f>IFERROR(__xludf.DUMMYFUNCTION("""COMPUTED_VALUE"""),"Dinner")</f>
        <v>Dinner</v>
      </c>
      <c r="K149" s="113">
        <f>IFERROR(__xludf.DUMMYFUNCTION("""COMPUTED_VALUE"""),46090.0)</f>
        <v>46090</v>
      </c>
      <c r="L149" s="74" t="str">
        <f>IFERROR(__xludf.DUMMYFUNCTION("""COMPUTED_VALUE"""),"Monday")</f>
        <v>Monday</v>
      </c>
      <c r="M149" s="74" t="str">
        <f>IFERROR(__xludf.DUMMYFUNCTION("""COMPUTED_VALUE"""),"BF")</f>
        <v>BF</v>
      </c>
      <c r="N149" s="114">
        <f>IFERROR(__xludf.DUMMYFUNCTION("""COMPUTED_VALUE"""),0.5739130434782609)</f>
        <v>0.5739130435</v>
      </c>
      <c r="O149" s="74">
        <f>IFERROR(__xludf.DUMMYFUNCTION("""COMPUTED_VALUE"""),240.0)</f>
        <v>240</v>
      </c>
      <c r="P149" s="74">
        <f>IFERROR(__xludf.DUMMYFUNCTION("""COMPUTED_VALUE"""),215.0)</f>
        <v>215</v>
      </c>
      <c r="Q149" s="82">
        <f>IFERROR(__xludf.DUMMYFUNCTION("""COMPUTED_VALUE"""),0.1500000000014552)</f>
        <v>0.15</v>
      </c>
      <c r="R149" s="82">
        <f>IFERROR(__xludf.DUMMYFUNCTION("""COMPUTED_VALUE"""),0.29166666666424135)</f>
        <v>0.2916666667</v>
      </c>
      <c r="S149" s="84">
        <f>IFERROR(__xludf.DUMMYFUNCTION("""COMPUTED_VALUE"""),66.66666666583127)</f>
        <v>66.66666667</v>
      </c>
      <c r="T149" s="84">
        <f>IFERROR(__xludf.DUMMYFUNCTION("""COMPUTED_VALUE"""),31.58333333351887)</f>
        <v>31.58333333</v>
      </c>
      <c r="U149" s="74">
        <f>IFERROR(__xludf.DUMMYFUNCTION("""COMPUTED_VALUE"""),455.0)</f>
        <v>455</v>
      </c>
      <c r="V149" s="82">
        <f>IFERROR(__xludf.DUMMYFUNCTION("""COMPUTED_VALUE"""),0.44166666666569654)</f>
        <v>0.4416666667</v>
      </c>
      <c r="W149" s="64">
        <f>IFERROR(__xludf.DUMMYFUNCTION("""COMPUTED_VALUE"""),42.92452830198108)</f>
        <v>42.9245283</v>
      </c>
      <c r="X149" s="84">
        <f>IFERROR(__xludf.DUMMYFUNCTION("""COMPUTED_VALUE"""),49.124999999675076)</f>
        <v>49.125</v>
      </c>
      <c r="Y149" s="114">
        <f>IFERROR(__xludf.DUMMYFUNCTION("""COMPUTED_VALUE"""),0.9301787786011179)</f>
        <v>0.9301787786</v>
      </c>
    </row>
    <row r="150">
      <c r="A150" s="109">
        <f>IFERROR(__xludf.DUMMYFUNCTION("""COMPUTED_VALUE"""),46091.497951736106)</f>
        <v>46091.49795</v>
      </c>
      <c r="B150" s="81" t="str">
        <f>IFERROR(__xludf.DUMMYFUNCTION("""COMPUTED_VALUE"""),"Kaylie Forgue")</f>
        <v>Kaylie Forgue</v>
      </c>
      <c r="C150" s="74" t="b">
        <f>IFERROR(__xludf.DUMMYFUNCTION("""COMPUTED_VALUE"""),FALSE)</f>
        <v>0</v>
      </c>
      <c r="D150" s="137">
        <f>IFERROR(__xludf.DUMMYFUNCTION("""COMPUTED_VALUE"""),0.4493055555576575)</f>
        <v>0.4493055556</v>
      </c>
      <c r="E150" s="82">
        <f>IFERROR(__xludf.DUMMYFUNCTION("""COMPUTED_VALUE"""),0.04374999999708962)</f>
        <v>0.04375</v>
      </c>
      <c r="F150" s="137">
        <f>IFERROR(__xludf.DUMMYFUNCTION("""COMPUTED_VALUE"""),0.4930555555547471)</f>
        <v>0.4930555556</v>
      </c>
      <c r="G150" s="82">
        <f>IFERROR(__xludf.DUMMYFUNCTION("""COMPUTED_VALUE"""),0.04374999999708962)</f>
        <v>0.04375</v>
      </c>
      <c r="H150" s="74">
        <f>IFERROR(__xludf.DUMMYFUNCTION("""COMPUTED_VALUE"""),86.0)</f>
        <v>86</v>
      </c>
      <c r="I150" s="84">
        <f>IFERROR(__xludf.DUMMYFUNCTION("""COMPUTED_VALUE"""),81.90476191021045)</f>
        <v>81.90476191</v>
      </c>
      <c r="J150" s="74" t="str">
        <f>IFERROR(__xludf.DUMMYFUNCTION("""COMPUTED_VALUE"""),"Breakfast/Lunch")</f>
        <v>Breakfast/Lunch</v>
      </c>
      <c r="K150" s="113">
        <f>IFERROR(__xludf.DUMMYFUNCTION("""COMPUTED_VALUE"""),46091.0)</f>
        <v>46091</v>
      </c>
      <c r="L150" s="74" t="str">
        <f>IFERROR(__xludf.DUMMYFUNCTION("""COMPUTED_VALUE"""),"Tuesday")</f>
        <v>Tuesday</v>
      </c>
      <c r="M150" s="74" t="str">
        <f>IFERROR(__xludf.DUMMYFUNCTION("""COMPUTED_VALUE"""),"BF")</f>
        <v>BF</v>
      </c>
      <c r="N150" s="114">
        <f>IFERROR(__xludf.DUMMYFUNCTION("""COMPUTED_VALUE"""),2.5802375226028422)</f>
        <v>2.580237523</v>
      </c>
      <c r="O150" s="74" t="str">
        <f>IFERROR(__xludf.DUMMYFUNCTION("""COMPUTED_VALUE"""),"")</f>
        <v/>
      </c>
      <c r="P150" s="74" t="str">
        <f>IFERROR(__xludf.DUMMYFUNCTION("""COMPUTED_VALUE"""),"")</f>
        <v/>
      </c>
      <c r="Q150" s="82" t="str">
        <f>IFERROR(__xludf.DUMMYFUNCTION("""COMPUTED_VALUE"""),"")</f>
        <v/>
      </c>
      <c r="R150" s="82" t="str">
        <f>IFERROR(__xludf.DUMMYFUNCTION("""COMPUTED_VALUE"""),"")</f>
        <v/>
      </c>
      <c r="S150" s="84" t="str">
        <f>IFERROR(__xludf.DUMMYFUNCTION("""COMPUTED_VALUE"""),"")</f>
        <v/>
      </c>
      <c r="T150" s="84" t="str">
        <f>IFERROR(__xludf.DUMMYFUNCTION("""COMPUTED_VALUE"""),"")</f>
        <v/>
      </c>
      <c r="U150" s="74" t="str">
        <f>IFERROR(__xludf.DUMMYFUNCTION("""COMPUTED_VALUE"""),"")</f>
        <v/>
      </c>
      <c r="V150" s="82" t="str">
        <f>IFERROR(__xludf.DUMMYFUNCTION("""COMPUTED_VALUE"""),"")</f>
        <v/>
      </c>
      <c r="W150" s="64" t="str">
        <f>IFERROR(__xludf.DUMMYFUNCTION("""COMPUTED_VALUE"""),"")</f>
        <v/>
      </c>
      <c r="X150" s="84" t="str">
        <f>IFERROR(__xludf.DUMMYFUNCTION("""COMPUTED_VALUE"""),"")</f>
        <v/>
      </c>
      <c r="Y150" s="114" t="str">
        <f>IFERROR(__xludf.DUMMYFUNCTION("""COMPUTED_VALUE"""),"")</f>
        <v/>
      </c>
    </row>
    <row r="151">
      <c r="A151" s="109">
        <f>IFERROR(__xludf.DUMMYFUNCTION("""COMPUTED_VALUE"""),46096.38374815972)</f>
        <v>46096.38375</v>
      </c>
      <c r="B151" s="81" t="str">
        <f>IFERROR(__xludf.DUMMYFUNCTION("""COMPUTED_VALUE"""),"Denise Romanszysn")</f>
        <v>Denise Romanszysn</v>
      </c>
      <c r="C151" s="74" t="b">
        <f>IFERROR(__xludf.DUMMYFUNCTION("""COMPUTED_VALUE"""),FALSE)</f>
        <v>0</v>
      </c>
      <c r="D151" s="137">
        <f>IFERROR(__xludf.DUMMYFUNCTION("""COMPUTED_VALUE"""),0.29861111110949423)</f>
        <v>0.2986111111</v>
      </c>
      <c r="E151" s="82">
        <f>IFERROR(__xludf.DUMMYFUNCTION("""COMPUTED_VALUE"""),0.14583333333575865)</f>
        <v>0.1458333333</v>
      </c>
      <c r="F151" s="137">
        <f>IFERROR(__xludf.DUMMYFUNCTION("""COMPUTED_VALUE"""),0.4444444444452529)</f>
        <v>0.4444444444</v>
      </c>
      <c r="G151" s="82">
        <f>IFERROR(__xludf.DUMMYFUNCTION("""COMPUTED_VALUE"""),0.14583333333575865)</f>
        <v>0.1458333333</v>
      </c>
      <c r="H151" s="74">
        <f>IFERROR(__xludf.DUMMYFUNCTION("""COMPUTED_VALUE"""),149.0)</f>
        <v>149</v>
      </c>
      <c r="I151" s="84">
        <f>IFERROR(__xludf.DUMMYFUNCTION("""COMPUTED_VALUE"""),42.57142857072058)</f>
        <v>42.57142857</v>
      </c>
      <c r="J151" s="74" t="str">
        <f>IFERROR(__xludf.DUMMYFUNCTION("""COMPUTED_VALUE"""),"Breakfast")</f>
        <v>Breakfast</v>
      </c>
      <c r="K151" s="113">
        <f>IFERROR(__xludf.DUMMYFUNCTION("""COMPUTED_VALUE"""),46091.0)</f>
        <v>46091</v>
      </c>
      <c r="L151" s="74" t="str">
        <f>IFERROR(__xludf.DUMMYFUNCTION("""COMPUTED_VALUE"""),"Tuesday")</f>
        <v>Tuesday</v>
      </c>
      <c r="M151" s="74" t="str">
        <f>IFERROR(__xludf.DUMMYFUNCTION("""COMPUTED_VALUE"""),"BF")</f>
        <v>BF</v>
      </c>
      <c r="N151" s="114">
        <f>IFERROR(__xludf.DUMMYFUNCTION("""COMPUTED_VALUE"""),1.5016032982196263)</f>
        <v>1.501603298</v>
      </c>
      <c r="O151" s="74" t="str">
        <f>IFERROR(__xludf.DUMMYFUNCTION("""COMPUTED_VALUE"""),"")</f>
        <v/>
      </c>
      <c r="P151" s="74" t="str">
        <f>IFERROR(__xludf.DUMMYFUNCTION("""COMPUTED_VALUE"""),"")</f>
        <v/>
      </c>
      <c r="Q151" s="82" t="str">
        <f>IFERROR(__xludf.DUMMYFUNCTION("""COMPUTED_VALUE"""),"")</f>
        <v/>
      </c>
      <c r="R151" s="82" t="str">
        <f>IFERROR(__xludf.DUMMYFUNCTION("""COMPUTED_VALUE"""),"")</f>
        <v/>
      </c>
      <c r="S151" s="84" t="str">
        <f>IFERROR(__xludf.DUMMYFUNCTION("""COMPUTED_VALUE"""),"")</f>
        <v/>
      </c>
      <c r="T151" s="84" t="str">
        <f>IFERROR(__xludf.DUMMYFUNCTION("""COMPUTED_VALUE"""),"")</f>
        <v/>
      </c>
      <c r="U151" s="74" t="str">
        <f>IFERROR(__xludf.DUMMYFUNCTION("""COMPUTED_VALUE"""),"")</f>
        <v/>
      </c>
      <c r="V151" s="82" t="str">
        <f>IFERROR(__xludf.DUMMYFUNCTION("""COMPUTED_VALUE"""),"")</f>
        <v/>
      </c>
      <c r="W151" s="64" t="str">
        <f>IFERROR(__xludf.DUMMYFUNCTION("""COMPUTED_VALUE"""),"")</f>
        <v/>
      </c>
      <c r="X151" s="84" t="str">
        <f>IFERROR(__xludf.DUMMYFUNCTION("""COMPUTED_VALUE"""),"")</f>
        <v/>
      </c>
      <c r="Y151" s="114" t="str">
        <f>IFERROR(__xludf.DUMMYFUNCTION("""COMPUTED_VALUE"""),"")</f>
        <v/>
      </c>
    </row>
    <row r="152">
      <c r="A152" s="109">
        <f>IFERROR(__xludf.DUMMYFUNCTION("""COMPUTED_VALUE"""),46091.524804456014)</f>
        <v>46091.5248</v>
      </c>
      <c r="B152" s="81" t="str">
        <f>IFERROR(__xludf.DUMMYFUNCTION("""COMPUTED_VALUE"""),"Kaylie Forgue")</f>
        <v>Kaylie Forgue</v>
      </c>
      <c r="C152" s="74" t="b">
        <f>IFERROR(__xludf.DUMMYFUNCTION("""COMPUTED_VALUE"""),FALSE)</f>
        <v>0</v>
      </c>
      <c r="D152" s="137">
        <f>IFERROR(__xludf.DUMMYFUNCTION("""COMPUTED_VALUE"""),0.4937500000014552)</f>
        <v>0.49375</v>
      </c>
      <c r="E152" s="82">
        <f>IFERROR(__xludf.DUMMYFUNCTION("""COMPUTED_VALUE"""),0.02708333333430346)</f>
        <v>0.02708333333</v>
      </c>
      <c r="F152" s="137">
        <f>IFERROR(__xludf.DUMMYFUNCTION("""COMPUTED_VALUE"""),0.5208333333357587)</f>
        <v>0.5208333333</v>
      </c>
      <c r="G152" s="82">
        <f>IFERROR(__xludf.DUMMYFUNCTION("""COMPUTED_VALUE"""),0.02708333333430346)</f>
        <v>0.02708333333</v>
      </c>
      <c r="H152" s="74">
        <f>IFERROR(__xludf.DUMMYFUNCTION("""COMPUTED_VALUE"""),32.0)</f>
        <v>32</v>
      </c>
      <c r="I152" s="84">
        <f>IFERROR(__xludf.DUMMYFUNCTION("""COMPUTED_VALUE"""),49.23076922900578)</f>
        <v>49.23076923</v>
      </c>
      <c r="J152" s="74" t="str">
        <f>IFERROR(__xludf.DUMMYFUNCTION("""COMPUTED_VALUE"""),"Lunch")</f>
        <v>Lunch</v>
      </c>
      <c r="K152" s="113">
        <f>IFERROR(__xludf.DUMMYFUNCTION("""COMPUTED_VALUE"""),46091.0)</f>
        <v>46091</v>
      </c>
      <c r="L152" s="74" t="str">
        <f>IFERROR(__xludf.DUMMYFUNCTION("""COMPUTED_VALUE"""),"Tuesday")</f>
        <v>Tuesday</v>
      </c>
      <c r="M152" s="74" t="str">
        <f>IFERROR(__xludf.DUMMYFUNCTION("""COMPUTED_VALUE"""),"BF")</f>
        <v>BF</v>
      </c>
      <c r="N152" s="114">
        <f>IFERROR(__xludf.DUMMYFUNCTION("""COMPUTED_VALUE"""),1.7364952957911295)</f>
        <v>1.736495296</v>
      </c>
      <c r="O152" s="74" t="str">
        <f>IFERROR(__xludf.DUMMYFUNCTION("""COMPUTED_VALUE"""),"")</f>
        <v/>
      </c>
      <c r="P152" s="74" t="str">
        <f>IFERROR(__xludf.DUMMYFUNCTION("""COMPUTED_VALUE"""),"")</f>
        <v/>
      </c>
      <c r="Q152" s="82" t="str">
        <f>IFERROR(__xludf.DUMMYFUNCTION("""COMPUTED_VALUE"""),"")</f>
        <v/>
      </c>
      <c r="R152" s="82" t="str">
        <f>IFERROR(__xludf.DUMMYFUNCTION("""COMPUTED_VALUE"""),"")</f>
        <v/>
      </c>
      <c r="S152" s="84" t="str">
        <f>IFERROR(__xludf.DUMMYFUNCTION("""COMPUTED_VALUE"""),"")</f>
        <v/>
      </c>
      <c r="T152" s="84" t="str">
        <f>IFERROR(__xludf.DUMMYFUNCTION("""COMPUTED_VALUE"""),"")</f>
        <v/>
      </c>
      <c r="U152" s="74" t="str">
        <f>IFERROR(__xludf.DUMMYFUNCTION("""COMPUTED_VALUE"""),"")</f>
        <v/>
      </c>
      <c r="V152" s="82" t="str">
        <f>IFERROR(__xludf.DUMMYFUNCTION("""COMPUTED_VALUE"""),"")</f>
        <v/>
      </c>
      <c r="W152" s="64" t="str">
        <f>IFERROR(__xludf.DUMMYFUNCTION("""COMPUTED_VALUE"""),"")</f>
        <v/>
      </c>
      <c r="X152" s="84" t="str">
        <f>IFERROR(__xludf.DUMMYFUNCTION("""COMPUTED_VALUE"""),"")</f>
        <v/>
      </c>
      <c r="Y152" s="114" t="str">
        <f>IFERROR(__xludf.DUMMYFUNCTION("""COMPUTED_VALUE"""),"")</f>
        <v/>
      </c>
    </row>
    <row r="153">
      <c r="A153" s="109">
        <f>IFERROR(__xludf.DUMMYFUNCTION("""COMPUTED_VALUE"""),46091.62092269676)</f>
        <v>46091.62092</v>
      </c>
      <c r="B153" s="81" t="str">
        <f>IFERROR(__xludf.DUMMYFUNCTION("""COMPUTED_VALUE"""),"Kyra Turner")</f>
        <v>Kyra Turner</v>
      </c>
      <c r="C153" s="74" t="b">
        <f>IFERROR(__xludf.DUMMYFUNCTION("""COMPUTED_VALUE"""),FALSE)</f>
        <v>0</v>
      </c>
      <c r="D153" s="137">
        <f>IFERROR(__xludf.DUMMYFUNCTION("""COMPUTED_VALUE"""),0.577777777776646)</f>
        <v>0.5777777778</v>
      </c>
      <c r="E153" s="82">
        <f>IFERROR(__xludf.DUMMYFUNCTION("""COMPUTED_VALUE"""),0.04236111111094942)</f>
        <v>0.04236111111</v>
      </c>
      <c r="F153" s="137">
        <f>IFERROR(__xludf.DUMMYFUNCTION("""COMPUTED_VALUE"""),0.6201388888875954)</f>
        <v>0.6201388889</v>
      </c>
      <c r="G153" s="82">
        <f>IFERROR(__xludf.DUMMYFUNCTION("""COMPUTED_VALUE"""),0.04236111111094942)</f>
        <v>0.04236111111</v>
      </c>
      <c r="H153" s="74">
        <f>IFERROR(__xludf.DUMMYFUNCTION("""COMPUTED_VALUE"""),76.0)</f>
        <v>76</v>
      </c>
      <c r="I153" s="84">
        <f>IFERROR(__xludf.DUMMYFUNCTION("""COMPUTED_VALUE"""),74.75409836094107)</f>
        <v>74.75409836</v>
      </c>
      <c r="J153" s="74" t="str">
        <f>IFERROR(__xludf.DUMMYFUNCTION("""COMPUTED_VALUE"""),"Lunch")</f>
        <v>Lunch</v>
      </c>
      <c r="K153" s="113">
        <f>IFERROR(__xludf.DUMMYFUNCTION("""COMPUTED_VALUE"""),46091.0)</f>
        <v>46091</v>
      </c>
      <c r="L153" s="74" t="str">
        <f>IFERROR(__xludf.DUMMYFUNCTION("""COMPUTED_VALUE"""),"Tuesday")</f>
        <v>Tuesday</v>
      </c>
      <c r="M153" s="74" t="str">
        <f>IFERROR(__xludf.DUMMYFUNCTION("""COMPUTED_VALUE"""),"MF")</f>
        <v>MF</v>
      </c>
      <c r="N153" s="114">
        <f>IFERROR(__xludf.DUMMYFUNCTION("""COMPUTED_VALUE"""),1.4868302274020073)</f>
        <v>1.486830227</v>
      </c>
      <c r="O153" s="74" t="str">
        <f>IFERROR(__xludf.DUMMYFUNCTION("""COMPUTED_VALUE"""),"")</f>
        <v/>
      </c>
      <c r="P153" s="74" t="str">
        <f>IFERROR(__xludf.DUMMYFUNCTION("""COMPUTED_VALUE"""),"")</f>
        <v/>
      </c>
      <c r="Q153" s="82" t="str">
        <f>IFERROR(__xludf.DUMMYFUNCTION("""COMPUTED_VALUE"""),"")</f>
        <v/>
      </c>
      <c r="R153" s="82" t="str">
        <f>IFERROR(__xludf.DUMMYFUNCTION("""COMPUTED_VALUE"""),"")</f>
        <v/>
      </c>
      <c r="S153" s="84" t="str">
        <f>IFERROR(__xludf.DUMMYFUNCTION("""COMPUTED_VALUE"""),"")</f>
        <v/>
      </c>
      <c r="T153" s="84" t="str">
        <f>IFERROR(__xludf.DUMMYFUNCTION("""COMPUTED_VALUE"""),"")</f>
        <v/>
      </c>
      <c r="U153" s="74" t="str">
        <f>IFERROR(__xludf.DUMMYFUNCTION("""COMPUTED_VALUE"""),"")</f>
        <v/>
      </c>
      <c r="V153" s="82" t="str">
        <f>IFERROR(__xludf.DUMMYFUNCTION("""COMPUTED_VALUE"""),"")</f>
        <v/>
      </c>
      <c r="W153" s="64" t="str">
        <f>IFERROR(__xludf.DUMMYFUNCTION("""COMPUTED_VALUE"""),"")</f>
        <v/>
      </c>
      <c r="X153" s="84" t="str">
        <f>IFERROR(__xludf.DUMMYFUNCTION("""COMPUTED_VALUE"""),"")</f>
        <v/>
      </c>
      <c r="Y153" s="114" t="str">
        <f>IFERROR(__xludf.DUMMYFUNCTION("""COMPUTED_VALUE"""),"")</f>
        <v/>
      </c>
    </row>
    <row r="154">
      <c r="A154" s="109">
        <f>IFERROR(__xludf.DUMMYFUNCTION("""COMPUTED_VALUE"""),46091.572925127315)</f>
        <v>46091.57293</v>
      </c>
      <c r="B154" s="81" t="str">
        <f>IFERROR(__xludf.DUMMYFUNCTION("""COMPUTED_VALUE"""),"Kyra Turner")</f>
        <v>Kyra Turner</v>
      </c>
      <c r="C154" s="74" t="b">
        <f>IFERROR(__xludf.DUMMYFUNCTION("""COMPUTED_VALUE"""),FALSE)</f>
        <v>0</v>
      </c>
      <c r="D154" s="137">
        <f>IFERROR(__xludf.DUMMYFUNCTION("""COMPUTED_VALUE"""),0.48402777777664596)</f>
        <v>0.4840277778</v>
      </c>
      <c r="E154" s="82">
        <f>IFERROR(__xludf.DUMMYFUNCTION("""COMPUTED_VALUE"""),0.08541666666860692)</f>
        <v>0.08541666667</v>
      </c>
      <c r="F154" s="137">
        <f>IFERROR(__xludf.DUMMYFUNCTION("""COMPUTED_VALUE"""),0.5694444444452529)</f>
        <v>0.5694444444</v>
      </c>
      <c r="G154" s="82">
        <f>IFERROR(__xludf.DUMMYFUNCTION("""COMPUTED_VALUE"""),0.08541666666860692)</f>
        <v>0.08541666667</v>
      </c>
      <c r="H154" s="74">
        <f>IFERROR(__xludf.DUMMYFUNCTION("""COMPUTED_VALUE"""),189.0)</f>
        <v>189</v>
      </c>
      <c r="I154" s="84">
        <f>IFERROR(__xludf.DUMMYFUNCTION("""COMPUTED_VALUE"""),92.19512194912528)</f>
        <v>92.19512195</v>
      </c>
      <c r="J154" s="74" t="str">
        <f>IFERROR(__xludf.DUMMYFUNCTION("""COMPUTED_VALUE"""),"Lunch")</f>
        <v>Lunch</v>
      </c>
      <c r="K154" s="113">
        <f>IFERROR(__xludf.DUMMYFUNCTION("""COMPUTED_VALUE"""),46091.0)</f>
        <v>46091</v>
      </c>
      <c r="L154" s="74" t="str">
        <f>IFERROR(__xludf.DUMMYFUNCTION("""COMPUTED_VALUE"""),"Tuesday")</f>
        <v>Tuesday</v>
      </c>
      <c r="M154" s="74" t="str">
        <f>IFERROR(__xludf.DUMMYFUNCTION("""COMPUTED_VALUE"""),"MF")</f>
        <v>MF</v>
      </c>
      <c r="N154" s="114">
        <f>IFERROR(__xludf.DUMMYFUNCTION("""COMPUTED_VALUE"""),1.8337254697542722)</f>
        <v>1.83372547</v>
      </c>
      <c r="O154" s="74" t="str">
        <f>IFERROR(__xludf.DUMMYFUNCTION("""COMPUTED_VALUE"""),"")</f>
        <v/>
      </c>
      <c r="P154" s="74" t="str">
        <f>IFERROR(__xludf.DUMMYFUNCTION("""COMPUTED_VALUE"""),"")</f>
        <v/>
      </c>
      <c r="Q154" s="82" t="str">
        <f>IFERROR(__xludf.DUMMYFUNCTION("""COMPUTED_VALUE"""),"")</f>
        <v/>
      </c>
      <c r="R154" s="82" t="str">
        <f>IFERROR(__xludf.DUMMYFUNCTION("""COMPUTED_VALUE"""),"")</f>
        <v/>
      </c>
      <c r="S154" s="84" t="str">
        <f>IFERROR(__xludf.DUMMYFUNCTION("""COMPUTED_VALUE"""),"")</f>
        <v/>
      </c>
      <c r="T154" s="84" t="str">
        <f>IFERROR(__xludf.DUMMYFUNCTION("""COMPUTED_VALUE"""),"")</f>
        <v/>
      </c>
      <c r="U154" s="74" t="str">
        <f>IFERROR(__xludf.DUMMYFUNCTION("""COMPUTED_VALUE"""),"")</f>
        <v/>
      </c>
      <c r="V154" s="82" t="str">
        <f>IFERROR(__xludf.DUMMYFUNCTION("""COMPUTED_VALUE"""),"")</f>
        <v/>
      </c>
      <c r="W154" s="64" t="str">
        <f>IFERROR(__xludf.DUMMYFUNCTION("""COMPUTED_VALUE"""),"")</f>
        <v/>
      </c>
      <c r="X154" s="84" t="str">
        <f>IFERROR(__xludf.DUMMYFUNCTION("""COMPUTED_VALUE"""),"")</f>
        <v/>
      </c>
      <c r="Y154" s="114" t="str">
        <f>IFERROR(__xludf.DUMMYFUNCTION("""COMPUTED_VALUE"""),"")</f>
        <v/>
      </c>
    </row>
    <row r="155">
      <c r="A155" s="109">
        <f>IFERROR(__xludf.DUMMYFUNCTION("""COMPUTED_VALUE"""),46091.80620065972)</f>
        <v>46091.8062</v>
      </c>
      <c r="B155" s="81" t="str">
        <f>IFERROR(__xludf.DUMMYFUNCTION("""COMPUTED_VALUE"""),"Arjya Aich")</f>
        <v>Arjya Aich</v>
      </c>
      <c r="C155" s="74" t="b">
        <f>IFERROR(__xludf.DUMMYFUNCTION("""COMPUTED_VALUE"""),FALSE)</f>
        <v>0</v>
      </c>
      <c r="D155" s="137">
        <f>IFERROR(__xludf.DUMMYFUNCTION("""COMPUTED_VALUE"""),0.5208333333357587)</f>
        <v>0.5208333333</v>
      </c>
      <c r="E155" s="82">
        <f>IFERROR(__xludf.DUMMYFUNCTION("""COMPUTED_VALUE"""),0.125)</f>
        <v>0.125</v>
      </c>
      <c r="F155" s="137">
        <f>IFERROR(__xludf.DUMMYFUNCTION("""COMPUTED_VALUE"""),0.6458333333357587)</f>
        <v>0.6458333333</v>
      </c>
      <c r="G155" s="82">
        <f>IFERROR(__xludf.DUMMYFUNCTION("""COMPUTED_VALUE"""),0.125)</f>
        <v>0.125</v>
      </c>
      <c r="H155" s="74">
        <f>IFERROR(__xludf.DUMMYFUNCTION("""COMPUTED_VALUE"""),65.0)</f>
        <v>65</v>
      </c>
      <c r="I155" s="84">
        <f>IFERROR(__xludf.DUMMYFUNCTION("""COMPUTED_VALUE"""),21.666666666666668)</f>
        <v>21.66666667</v>
      </c>
      <c r="J155" s="74" t="str">
        <f>IFERROR(__xludf.DUMMYFUNCTION("""COMPUTED_VALUE"""),"Lunch")</f>
        <v>Lunch</v>
      </c>
      <c r="K155" s="113">
        <f>IFERROR(__xludf.DUMMYFUNCTION("""COMPUTED_VALUE"""),46091.0)</f>
        <v>46091</v>
      </c>
      <c r="L155" s="74" t="str">
        <f>IFERROR(__xludf.DUMMYFUNCTION("""COMPUTED_VALUE"""),"Tuesday")</f>
        <v>Tuesday</v>
      </c>
      <c r="M155" s="74" t="str">
        <f>IFERROR(__xludf.DUMMYFUNCTION("""COMPUTED_VALUE"""),"BF")</f>
        <v>BF</v>
      </c>
      <c r="N155" s="114">
        <f>IFERROR(__xludf.DUMMYFUNCTION("""COMPUTED_VALUE"""),0.7642388151021171)</f>
        <v>0.7642388151</v>
      </c>
      <c r="O155" s="74" t="str">
        <f>IFERROR(__xludf.DUMMYFUNCTION("""COMPUTED_VALUE"""),"")</f>
        <v/>
      </c>
      <c r="P155" s="74" t="str">
        <f>IFERROR(__xludf.DUMMYFUNCTION("""COMPUTED_VALUE"""),"")</f>
        <v/>
      </c>
      <c r="Q155" s="82" t="str">
        <f>IFERROR(__xludf.DUMMYFUNCTION("""COMPUTED_VALUE"""),"")</f>
        <v/>
      </c>
      <c r="R155" s="82" t="str">
        <f>IFERROR(__xludf.DUMMYFUNCTION("""COMPUTED_VALUE"""),"")</f>
        <v/>
      </c>
      <c r="S155" s="84" t="str">
        <f>IFERROR(__xludf.DUMMYFUNCTION("""COMPUTED_VALUE"""),"")</f>
        <v/>
      </c>
      <c r="T155" s="84" t="str">
        <f>IFERROR(__xludf.DUMMYFUNCTION("""COMPUTED_VALUE"""),"")</f>
        <v/>
      </c>
      <c r="U155" s="74" t="str">
        <f>IFERROR(__xludf.DUMMYFUNCTION("""COMPUTED_VALUE"""),"")</f>
        <v/>
      </c>
      <c r="V155" s="82" t="str">
        <f>IFERROR(__xludf.DUMMYFUNCTION("""COMPUTED_VALUE"""),"")</f>
        <v/>
      </c>
      <c r="W155" s="64" t="str">
        <f>IFERROR(__xludf.DUMMYFUNCTION("""COMPUTED_VALUE"""),"")</f>
        <v/>
      </c>
      <c r="X155" s="84" t="str">
        <f>IFERROR(__xludf.DUMMYFUNCTION("""COMPUTED_VALUE"""),"")</f>
        <v/>
      </c>
      <c r="Y155" s="114" t="str">
        <f>IFERROR(__xludf.DUMMYFUNCTION("""COMPUTED_VALUE"""),"")</f>
        <v/>
      </c>
    </row>
    <row r="156">
      <c r="A156" s="109">
        <f>IFERROR(__xludf.DUMMYFUNCTION("""COMPUTED_VALUE"""),46094.240200138884)</f>
        <v>46094.2402</v>
      </c>
      <c r="B156" s="81" t="str">
        <f>IFERROR(__xludf.DUMMYFUNCTION("""COMPUTED_VALUE"""),"Alexis Sylvestre")</f>
        <v>Alexis Sylvestre</v>
      </c>
      <c r="C156" s="74" t="b">
        <f>IFERROR(__xludf.DUMMYFUNCTION("""COMPUTED_VALUE"""),FALSE)</f>
        <v>0</v>
      </c>
      <c r="D156" s="137">
        <f>IFERROR(__xludf.DUMMYFUNCTION("""COMPUTED_VALUE"""),0.6701388888905058)</f>
        <v>0.6701388889</v>
      </c>
      <c r="E156" s="82">
        <f>IFERROR(__xludf.DUMMYFUNCTION("""COMPUTED_VALUE"""),0.07986111110949423)</f>
        <v>0.07986111111</v>
      </c>
      <c r="F156" s="137">
        <f>IFERROR(__xludf.DUMMYFUNCTION("""COMPUTED_VALUE"""),0.75)</f>
        <v>0.75</v>
      </c>
      <c r="G156" s="82">
        <f>IFERROR(__xludf.DUMMYFUNCTION("""COMPUTED_VALUE"""),0.07986111110949423)</f>
        <v>0.07986111111</v>
      </c>
      <c r="H156" s="74">
        <f>IFERROR(__xludf.DUMMYFUNCTION("""COMPUTED_VALUE"""),80.0)</f>
        <v>80</v>
      </c>
      <c r="I156" s="84">
        <f>IFERROR(__xludf.DUMMYFUNCTION("""COMPUTED_VALUE"""),41.739130435627665)</f>
        <v>41.73913044</v>
      </c>
      <c r="J156" s="74" t="str">
        <f>IFERROR(__xludf.DUMMYFUNCTION("""COMPUTED_VALUE"""),"Dinner")</f>
        <v>Dinner</v>
      </c>
      <c r="K156" s="113">
        <f>IFERROR(__xludf.DUMMYFUNCTION("""COMPUTED_VALUE"""),46091.0)</f>
        <v>46091</v>
      </c>
      <c r="L156" s="74" t="str">
        <f>IFERROR(__xludf.DUMMYFUNCTION("""COMPUTED_VALUE"""),"Tuesday")</f>
        <v>Tuesday</v>
      </c>
      <c r="M156" s="74" t="str">
        <f>IFERROR(__xludf.DUMMYFUNCTION("""COMPUTED_VALUE"""),"MF")</f>
        <v>MF</v>
      </c>
      <c r="N156" s="114">
        <f>IFERROR(__xludf.DUMMYFUNCTION("""COMPUTED_VALUE"""),0.8999443403626939)</f>
        <v>0.8999443404</v>
      </c>
      <c r="O156" s="74" t="str">
        <f>IFERROR(__xludf.DUMMYFUNCTION("""COMPUTED_VALUE"""),"")</f>
        <v/>
      </c>
      <c r="P156" s="74" t="str">
        <f>IFERROR(__xludf.DUMMYFUNCTION("""COMPUTED_VALUE"""),"")</f>
        <v/>
      </c>
      <c r="Q156" s="82" t="str">
        <f>IFERROR(__xludf.DUMMYFUNCTION("""COMPUTED_VALUE"""),"")</f>
        <v/>
      </c>
      <c r="R156" s="82" t="str">
        <f>IFERROR(__xludf.DUMMYFUNCTION("""COMPUTED_VALUE"""),"")</f>
        <v/>
      </c>
      <c r="S156" s="84" t="str">
        <f>IFERROR(__xludf.DUMMYFUNCTION("""COMPUTED_VALUE"""),"")</f>
        <v/>
      </c>
      <c r="T156" s="84" t="str">
        <f>IFERROR(__xludf.DUMMYFUNCTION("""COMPUTED_VALUE"""),"")</f>
        <v/>
      </c>
      <c r="U156" s="74" t="str">
        <f>IFERROR(__xludf.DUMMYFUNCTION("""COMPUTED_VALUE"""),"")</f>
        <v/>
      </c>
      <c r="V156" s="82" t="str">
        <f>IFERROR(__xludf.DUMMYFUNCTION("""COMPUTED_VALUE"""),"")</f>
        <v/>
      </c>
      <c r="W156" s="64" t="str">
        <f>IFERROR(__xludf.DUMMYFUNCTION("""COMPUTED_VALUE"""),"")</f>
        <v/>
      </c>
      <c r="X156" s="84" t="str">
        <f>IFERROR(__xludf.DUMMYFUNCTION("""COMPUTED_VALUE"""),"")</f>
        <v/>
      </c>
      <c r="Y156" s="114" t="str">
        <f>IFERROR(__xludf.DUMMYFUNCTION("""COMPUTED_VALUE"""),"")</f>
        <v/>
      </c>
    </row>
    <row r="157">
      <c r="A157" s="109">
        <f>IFERROR(__xludf.DUMMYFUNCTION("""COMPUTED_VALUE"""),46091.84601603009)</f>
        <v>46091.84602</v>
      </c>
      <c r="B157" s="81" t="str">
        <f>IFERROR(__xludf.DUMMYFUNCTION("""COMPUTED_VALUE"""),"Leah Bucci")</f>
        <v>Leah Bucci</v>
      </c>
      <c r="C157" s="74" t="b">
        <f>IFERROR(__xludf.DUMMYFUNCTION("""COMPUTED_VALUE"""),FALSE)</f>
        <v>0</v>
      </c>
      <c r="D157" s="137">
        <f>IFERROR(__xludf.DUMMYFUNCTION("""COMPUTED_VALUE"""),0.6875)</f>
        <v>0.6875</v>
      </c>
      <c r="E157" s="82">
        <f>IFERROR(__xludf.DUMMYFUNCTION("""COMPUTED_VALUE"""),0.10416666666424135)</f>
        <v>0.1041666667</v>
      </c>
      <c r="F157" s="137">
        <f>IFERROR(__xludf.DUMMYFUNCTION("""COMPUTED_VALUE"""),0.7916666666642413)</f>
        <v>0.7916666667</v>
      </c>
      <c r="G157" s="82">
        <f>IFERROR(__xludf.DUMMYFUNCTION("""COMPUTED_VALUE"""),0.15972222221898846)</f>
        <v>0.1597222222</v>
      </c>
      <c r="H157" s="74">
        <f>IFERROR(__xludf.DUMMYFUNCTION("""COMPUTED_VALUE"""),130.0)</f>
        <v>130</v>
      </c>
      <c r="I157" s="84">
        <f>IFERROR(__xludf.DUMMYFUNCTION("""COMPUTED_VALUE"""),54.26086956631597)</f>
        <v>54.26086957</v>
      </c>
      <c r="J157" s="74" t="str">
        <f>IFERROR(__xludf.DUMMYFUNCTION("""COMPUTED_VALUE"""),"Dinner")</f>
        <v>Dinner</v>
      </c>
      <c r="K157" s="113">
        <f>IFERROR(__xludf.DUMMYFUNCTION("""COMPUTED_VALUE"""),46091.0)</f>
        <v>46091</v>
      </c>
      <c r="L157" s="74" t="str">
        <f>IFERROR(__xludf.DUMMYFUNCTION("""COMPUTED_VALUE"""),"Tuesday")</f>
        <v>Tuesday</v>
      </c>
      <c r="M157" s="74" t="str">
        <f>IFERROR(__xludf.DUMMYFUNCTION("""COMPUTED_VALUE"""),"BF")</f>
        <v>BF</v>
      </c>
      <c r="N157" s="114">
        <f>IFERROR(__xludf.DUMMYFUNCTION("""COMPUTED_VALUE"""),1.2212165017305168)</f>
        <v>1.221216502</v>
      </c>
      <c r="O157" s="74" t="str">
        <f>IFERROR(__xludf.DUMMYFUNCTION("""COMPUTED_VALUE"""),"")</f>
        <v/>
      </c>
      <c r="P157" s="74" t="str">
        <f>IFERROR(__xludf.DUMMYFUNCTION("""COMPUTED_VALUE"""),"")</f>
        <v/>
      </c>
      <c r="Q157" s="82" t="str">
        <f>IFERROR(__xludf.DUMMYFUNCTION("""COMPUTED_VALUE"""),"")</f>
        <v/>
      </c>
      <c r="R157" s="82" t="str">
        <f>IFERROR(__xludf.DUMMYFUNCTION("""COMPUTED_VALUE"""),"")</f>
        <v/>
      </c>
      <c r="S157" s="84" t="str">
        <f>IFERROR(__xludf.DUMMYFUNCTION("""COMPUTED_VALUE"""),"")</f>
        <v/>
      </c>
      <c r="T157" s="84" t="str">
        <f>IFERROR(__xludf.DUMMYFUNCTION("""COMPUTED_VALUE"""),"")</f>
        <v/>
      </c>
      <c r="U157" s="74" t="str">
        <f>IFERROR(__xludf.DUMMYFUNCTION("""COMPUTED_VALUE"""),"")</f>
        <v/>
      </c>
      <c r="V157" s="82" t="str">
        <f>IFERROR(__xludf.DUMMYFUNCTION("""COMPUTED_VALUE"""),"")</f>
        <v/>
      </c>
      <c r="W157" s="64" t="str">
        <f>IFERROR(__xludf.DUMMYFUNCTION("""COMPUTED_VALUE"""),"")</f>
        <v/>
      </c>
      <c r="X157" s="84" t="str">
        <f>IFERROR(__xludf.DUMMYFUNCTION("""COMPUTED_VALUE"""),"")</f>
        <v/>
      </c>
      <c r="Y157" s="114" t="str">
        <f>IFERROR(__xludf.DUMMYFUNCTION("""COMPUTED_VALUE"""),"")</f>
        <v/>
      </c>
    </row>
    <row r="158">
      <c r="A158" s="109">
        <f>IFERROR(__xludf.DUMMYFUNCTION("""COMPUTED_VALUE"""),46091.84948510416)</f>
        <v>46091.84949</v>
      </c>
      <c r="B158" s="81" t="str">
        <f>IFERROR(__xludf.DUMMYFUNCTION("""COMPUTED_VALUE"""),"Leah Bucci")</f>
        <v>Leah Bucci</v>
      </c>
      <c r="C158" s="74" t="b">
        <f>IFERROR(__xludf.DUMMYFUNCTION("""COMPUTED_VALUE"""),TRUE)</f>
        <v>1</v>
      </c>
      <c r="D158" s="137">
        <f>IFERROR(__xludf.DUMMYFUNCTION("""COMPUTED_VALUE"""),0.7916666666642413)</f>
        <v>0.7916666667</v>
      </c>
      <c r="E158" s="82">
        <f>IFERROR(__xludf.DUMMYFUNCTION("""COMPUTED_VALUE"""),0.055555555554747116)</f>
        <v>0.05555555555</v>
      </c>
      <c r="F158" s="137">
        <f>IFERROR(__xludf.DUMMYFUNCTION("""COMPUTED_VALUE"""),0.8472222222189885)</f>
        <v>0.8472222222</v>
      </c>
      <c r="G158" s="82" t="str">
        <f>IFERROR(__xludf.DUMMYFUNCTION("""COMPUTED_VALUE"""),"")</f>
        <v/>
      </c>
      <c r="H158" s="74">
        <f>IFERROR(__xludf.DUMMYFUNCTION("""COMPUTED_VALUE"""),78.0)</f>
        <v>78</v>
      </c>
      <c r="I158" s="84" t="str">
        <f>IFERROR(__xludf.DUMMYFUNCTION("""COMPUTED_VALUE"""),"")</f>
        <v/>
      </c>
      <c r="J158" s="74" t="str">
        <f>IFERROR(__xludf.DUMMYFUNCTION("""COMPUTED_VALUE"""),"Dinner")</f>
        <v>Dinner</v>
      </c>
      <c r="K158" s="113">
        <f>IFERROR(__xludf.DUMMYFUNCTION("""COMPUTED_VALUE"""),46091.0)</f>
        <v>46091</v>
      </c>
      <c r="L158" s="74" t="str">
        <f>IFERROR(__xludf.DUMMYFUNCTION("""COMPUTED_VALUE"""),"Tuesday")</f>
        <v>Tuesday</v>
      </c>
      <c r="M158" s="74" t="str">
        <f>IFERROR(__xludf.DUMMYFUNCTION("""COMPUTED_VALUE"""),"BF")</f>
        <v>BF</v>
      </c>
      <c r="N158" s="114" t="str">
        <f>IFERROR(__xludf.DUMMYFUNCTION("""COMPUTED_VALUE"""),"")</f>
        <v/>
      </c>
      <c r="O158" s="74">
        <f>IFERROR(__xludf.DUMMYFUNCTION("""COMPUTED_VALUE"""),345.0)</f>
        <v>345</v>
      </c>
      <c r="P158" s="74">
        <f>IFERROR(__xludf.DUMMYFUNCTION("""COMPUTED_VALUE"""),540.0)</f>
        <v>540</v>
      </c>
      <c r="Q158" s="82">
        <f>IFERROR(__xludf.DUMMYFUNCTION("""COMPUTED_VALUE"""),0.20763888888905058)</f>
        <v>0.2076388889</v>
      </c>
      <c r="R158" s="82">
        <f>IFERROR(__xludf.DUMMYFUNCTION("""COMPUTED_VALUE"""),0.5013888888861402)</f>
        <v>0.5013888889</v>
      </c>
      <c r="S158" s="84">
        <f>IFERROR(__xludf.DUMMYFUNCTION("""COMPUTED_VALUE"""),69.562783581898)</f>
        <v>69.56278358</v>
      </c>
      <c r="T158" s="84">
        <f>IFERROR(__xludf.DUMMYFUNCTION("""COMPUTED_VALUE"""),49.92689918858388)</f>
        <v>49.92689919</v>
      </c>
      <c r="U158" s="74">
        <f>IFERROR(__xludf.DUMMYFUNCTION("""COMPUTED_VALUE"""),885.0)</f>
        <v>885</v>
      </c>
      <c r="V158" s="82">
        <f>IFERROR(__xludf.DUMMYFUNCTION("""COMPUTED_VALUE"""),0.7090277777751908)</f>
        <v>0.7090277778</v>
      </c>
      <c r="W158" s="64">
        <f>IFERROR(__xludf.DUMMYFUNCTION("""COMPUTED_VALUE"""),52.0078354556256)</f>
        <v>52.00783546</v>
      </c>
      <c r="X158" s="84">
        <f>IFERROR(__xludf.DUMMYFUNCTION("""COMPUTED_VALUE"""),57.290355836076685)</f>
        <v>57.29035584</v>
      </c>
      <c r="Y158" s="114">
        <f>IFERROR(__xludf.DUMMYFUNCTION("""COMPUTED_VALUE"""),1.0131977129918666)</f>
        <v>1.013197713</v>
      </c>
    </row>
    <row r="159">
      <c r="A159" s="109">
        <f>IFERROR(__xludf.DUMMYFUNCTION("""COMPUTED_VALUE"""),46092.41099399306)</f>
        <v>46092.41099</v>
      </c>
      <c r="B159" s="81" t="str">
        <f>IFERROR(__xludf.DUMMYFUNCTION("""COMPUTED_VALUE"""),"Kaylie Forgue")</f>
        <v>Kaylie Forgue</v>
      </c>
      <c r="C159" s="74" t="b">
        <f>IFERROR(__xludf.DUMMYFUNCTION("""COMPUTED_VALUE"""),FALSE)</f>
        <v>0</v>
      </c>
      <c r="D159" s="137">
        <f>IFERROR(__xludf.DUMMYFUNCTION("""COMPUTED_VALUE"""),0.3125)</f>
        <v>0.3125</v>
      </c>
      <c r="E159" s="82">
        <f>IFERROR(__xludf.DUMMYFUNCTION("""COMPUTED_VALUE"""),0.09305555555329192)</f>
        <v>0.09305555555</v>
      </c>
      <c r="F159" s="137">
        <f>IFERROR(__xludf.DUMMYFUNCTION("""COMPUTED_VALUE"""),0.4055555555532919)</f>
        <v>0.4055555556</v>
      </c>
      <c r="G159" s="82">
        <f>IFERROR(__xludf.DUMMYFUNCTION("""COMPUTED_VALUE"""),0.11388888888905058)</f>
        <v>0.1138888889</v>
      </c>
      <c r="H159" s="74">
        <f>IFERROR(__xludf.DUMMYFUNCTION("""COMPUTED_VALUE"""),96.0)</f>
        <v>96</v>
      </c>
      <c r="I159" s="84">
        <f>IFERROR(__xludf.DUMMYFUNCTION("""COMPUTED_VALUE"""),43.90243902432792)</f>
        <v>43.90243902</v>
      </c>
      <c r="J159" s="74" t="str">
        <f>IFERROR(__xludf.DUMMYFUNCTION("""COMPUTED_VALUE"""),"Breakfast")</f>
        <v>Breakfast</v>
      </c>
      <c r="K159" s="113">
        <f>IFERROR(__xludf.DUMMYFUNCTION("""COMPUTED_VALUE"""),46092.0)</f>
        <v>46092</v>
      </c>
      <c r="L159" s="74" t="str">
        <f>IFERROR(__xludf.DUMMYFUNCTION("""COMPUTED_VALUE"""),"Wednesday")</f>
        <v>Wednesday</v>
      </c>
      <c r="M159" s="74" t="str">
        <f>IFERROR(__xludf.DUMMYFUNCTION("""COMPUTED_VALUE"""),"BF")</f>
        <v>BF</v>
      </c>
      <c r="N159" s="114">
        <f>IFERROR(__xludf.DUMMYFUNCTION("""COMPUTED_VALUE"""),1.5485514452328606)</f>
        <v>1.548551445</v>
      </c>
      <c r="O159" s="74" t="str">
        <f>IFERROR(__xludf.DUMMYFUNCTION("""COMPUTED_VALUE"""),"")</f>
        <v/>
      </c>
      <c r="P159" s="74" t="str">
        <f>IFERROR(__xludf.DUMMYFUNCTION("""COMPUTED_VALUE"""),"")</f>
        <v/>
      </c>
      <c r="Q159" s="82" t="str">
        <f>IFERROR(__xludf.DUMMYFUNCTION("""COMPUTED_VALUE"""),"")</f>
        <v/>
      </c>
      <c r="R159" s="82" t="str">
        <f>IFERROR(__xludf.DUMMYFUNCTION("""COMPUTED_VALUE"""),"")</f>
        <v/>
      </c>
      <c r="S159" s="84" t="str">
        <f>IFERROR(__xludf.DUMMYFUNCTION("""COMPUTED_VALUE"""),"")</f>
        <v/>
      </c>
      <c r="T159" s="84" t="str">
        <f>IFERROR(__xludf.DUMMYFUNCTION("""COMPUTED_VALUE"""),"")</f>
        <v/>
      </c>
      <c r="U159" s="74" t="str">
        <f>IFERROR(__xludf.DUMMYFUNCTION("""COMPUTED_VALUE"""),"")</f>
        <v/>
      </c>
      <c r="V159" s="82" t="str">
        <f>IFERROR(__xludf.DUMMYFUNCTION("""COMPUTED_VALUE"""),"")</f>
        <v/>
      </c>
      <c r="W159" s="64" t="str">
        <f>IFERROR(__xludf.DUMMYFUNCTION("""COMPUTED_VALUE"""),"")</f>
        <v/>
      </c>
      <c r="X159" s="84" t="str">
        <f>IFERROR(__xludf.DUMMYFUNCTION("""COMPUTED_VALUE"""),"")</f>
        <v/>
      </c>
      <c r="Y159" s="114" t="str">
        <f>IFERROR(__xludf.DUMMYFUNCTION("""COMPUTED_VALUE"""),"")</f>
        <v/>
      </c>
    </row>
    <row r="160">
      <c r="A160" s="109">
        <f>IFERROR(__xludf.DUMMYFUNCTION("""COMPUTED_VALUE"""),46092.43117778935)</f>
        <v>46092.43118</v>
      </c>
      <c r="B160" s="81" t="str">
        <f>IFERROR(__xludf.DUMMYFUNCTION("""COMPUTED_VALUE"""),"Kaylie Forgue")</f>
        <v>Kaylie Forgue</v>
      </c>
      <c r="C160" s="74" t="b">
        <f>IFERROR(__xludf.DUMMYFUNCTION("""COMPUTED_VALUE"""),TRUE)</f>
        <v>1</v>
      </c>
      <c r="D160" s="137">
        <f>IFERROR(__xludf.DUMMYFUNCTION("""COMPUTED_VALUE"""),0.40625)</f>
        <v>0.40625</v>
      </c>
      <c r="E160" s="82">
        <f>IFERROR(__xludf.DUMMYFUNCTION("""COMPUTED_VALUE"""),0.020833333335758653)</f>
        <v>0.02083333334</v>
      </c>
      <c r="F160" s="137">
        <f>IFERROR(__xludf.DUMMYFUNCTION("""COMPUTED_VALUE"""),0.42708333333575865)</f>
        <v>0.4270833333</v>
      </c>
      <c r="G160" s="82" t="str">
        <f>IFERROR(__xludf.DUMMYFUNCTION("""COMPUTED_VALUE"""),"")</f>
        <v/>
      </c>
      <c r="H160" s="74">
        <f>IFERROR(__xludf.DUMMYFUNCTION("""COMPUTED_VALUE"""),24.0)</f>
        <v>24</v>
      </c>
      <c r="I160" s="84" t="str">
        <f>IFERROR(__xludf.DUMMYFUNCTION("""COMPUTED_VALUE"""),"")</f>
        <v/>
      </c>
      <c r="J160" s="74" t="str">
        <f>IFERROR(__xludf.DUMMYFUNCTION("""COMPUTED_VALUE"""),"Breakfast")</f>
        <v>Breakfast</v>
      </c>
      <c r="K160" s="113">
        <f>IFERROR(__xludf.DUMMYFUNCTION("""COMPUTED_VALUE"""),46092.0)</f>
        <v>46092</v>
      </c>
      <c r="L160" s="74" t="str">
        <f>IFERROR(__xludf.DUMMYFUNCTION("""COMPUTED_VALUE"""),"Wednesday")</f>
        <v>Wednesday</v>
      </c>
      <c r="M160" s="74" t="str">
        <f>IFERROR(__xludf.DUMMYFUNCTION("""COMPUTED_VALUE"""),"BF")</f>
        <v>BF</v>
      </c>
      <c r="N160" s="114" t="str">
        <f>IFERROR(__xludf.DUMMYFUNCTION("""COMPUTED_VALUE"""),"")</f>
        <v/>
      </c>
      <c r="O160" s="74" t="str">
        <f>IFERROR(__xludf.DUMMYFUNCTION("""COMPUTED_VALUE"""),"")</f>
        <v/>
      </c>
      <c r="P160" s="74" t="str">
        <f>IFERROR(__xludf.DUMMYFUNCTION("""COMPUTED_VALUE"""),"")</f>
        <v/>
      </c>
      <c r="Q160" s="82" t="str">
        <f>IFERROR(__xludf.DUMMYFUNCTION("""COMPUTED_VALUE"""),"")</f>
        <v/>
      </c>
      <c r="R160" s="82" t="str">
        <f>IFERROR(__xludf.DUMMYFUNCTION("""COMPUTED_VALUE"""),"")</f>
        <v/>
      </c>
      <c r="S160" s="84" t="str">
        <f>IFERROR(__xludf.DUMMYFUNCTION("""COMPUTED_VALUE"""),"")</f>
        <v/>
      </c>
      <c r="T160" s="84" t="str">
        <f>IFERROR(__xludf.DUMMYFUNCTION("""COMPUTED_VALUE"""),"")</f>
        <v/>
      </c>
      <c r="U160" s="74" t="str">
        <f>IFERROR(__xludf.DUMMYFUNCTION("""COMPUTED_VALUE"""),"")</f>
        <v/>
      </c>
      <c r="V160" s="82" t="str">
        <f>IFERROR(__xludf.DUMMYFUNCTION("""COMPUTED_VALUE"""),"")</f>
        <v/>
      </c>
      <c r="W160" s="64" t="str">
        <f>IFERROR(__xludf.DUMMYFUNCTION("""COMPUTED_VALUE"""),"")</f>
        <v/>
      </c>
      <c r="X160" s="84" t="str">
        <f>IFERROR(__xludf.DUMMYFUNCTION("""COMPUTED_VALUE"""),"")</f>
        <v/>
      </c>
      <c r="Y160" s="114" t="str">
        <f>IFERROR(__xludf.DUMMYFUNCTION("""COMPUTED_VALUE"""),"")</f>
        <v/>
      </c>
    </row>
    <row r="161">
      <c r="A161" s="109">
        <f>IFERROR(__xludf.DUMMYFUNCTION("""COMPUTED_VALUE"""),46092.84666267361)</f>
        <v>46092.84666</v>
      </c>
      <c r="B161" s="81" t="str">
        <f>IFERROR(__xludf.DUMMYFUNCTION("""COMPUTED_VALUE"""),"Maureen Surgot")</f>
        <v>Maureen Surgot</v>
      </c>
      <c r="C161" s="74" t="b">
        <f>IFERROR(__xludf.DUMMYFUNCTION("""COMPUTED_VALUE"""),FALSE)</f>
        <v>0</v>
      </c>
      <c r="D161" s="137">
        <f>IFERROR(__xludf.DUMMYFUNCTION("""COMPUTED_VALUE"""),0.6875)</f>
        <v>0.6875</v>
      </c>
      <c r="E161" s="82">
        <f>IFERROR(__xludf.DUMMYFUNCTION("""COMPUTED_VALUE"""),0.16666666666424135)</f>
        <v>0.1666666667</v>
      </c>
      <c r="F161" s="137">
        <f>IFERROR(__xludf.DUMMYFUNCTION("""COMPUTED_VALUE"""),0.8541666666642413)</f>
        <v>0.8541666667</v>
      </c>
      <c r="G161" s="82">
        <f>IFERROR(__xludf.DUMMYFUNCTION("""COMPUTED_VALUE"""),0.16666666666424135)</f>
        <v>0.1666666667</v>
      </c>
      <c r="H161" s="74">
        <f>IFERROR(__xludf.DUMMYFUNCTION("""COMPUTED_VALUE"""),137.0)</f>
        <v>137</v>
      </c>
      <c r="I161" s="84">
        <f>IFERROR(__xludf.DUMMYFUNCTION("""COMPUTED_VALUE"""),34.2500000004984)</f>
        <v>34.25</v>
      </c>
      <c r="J161" s="74" t="str">
        <f>IFERROR(__xludf.DUMMYFUNCTION("""COMPUTED_VALUE"""),"Dinner")</f>
        <v>Dinner</v>
      </c>
      <c r="K161" s="113">
        <f>IFERROR(__xludf.DUMMYFUNCTION("""COMPUTED_VALUE"""),46092.0)</f>
        <v>46092</v>
      </c>
      <c r="L161" s="74" t="str">
        <f>IFERROR(__xludf.DUMMYFUNCTION("""COMPUTED_VALUE"""),"Wednesday")</f>
        <v>Wednesday</v>
      </c>
      <c r="M161" s="74" t="str">
        <f>IFERROR(__xludf.DUMMYFUNCTION("""COMPUTED_VALUE"""),"BF")</f>
        <v>BF</v>
      </c>
      <c r="N161" s="114">
        <f>IFERROR(__xludf.DUMMYFUNCTION("""COMPUTED_VALUE"""),0.7708439897698209)</f>
        <v>0.7708439898</v>
      </c>
      <c r="O161" s="74" t="str">
        <f>IFERROR(__xludf.DUMMYFUNCTION("""COMPUTED_VALUE"""),"")</f>
        <v/>
      </c>
      <c r="P161" s="74" t="str">
        <f>IFERROR(__xludf.DUMMYFUNCTION("""COMPUTED_VALUE"""),"")</f>
        <v/>
      </c>
      <c r="Q161" s="82" t="str">
        <f>IFERROR(__xludf.DUMMYFUNCTION("""COMPUTED_VALUE"""),"")</f>
        <v/>
      </c>
      <c r="R161" s="82" t="str">
        <f>IFERROR(__xludf.DUMMYFUNCTION("""COMPUTED_VALUE"""),"")</f>
        <v/>
      </c>
      <c r="S161" s="84" t="str">
        <f>IFERROR(__xludf.DUMMYFUNCTION("""COMPUTED_VALUE"""),"")</f>
        <v/>
      </c>
      <c r="T161" s="84" t="str">
        <f>IFERROR(__xludf.DUMMYFUNCTION("""COMPUTED_VALUE"""),"")</f>
        <v/>
      </c>
      <c r="U161" s="74" t="str">
        <f>IFERROR(__xludf.DUMMYFUNCTION("""COMPUTED_VALUE"""),"")</f>
        <v/>
      </c>
      <c r="V161" s="82" t="str">
        <f>IFERROR(__xludf.DUMMYFUNCTION("""COMPUTED_VALUE"""),"")</f>
        <v/>
      </c>
      <c r="W161" s="64" t="str">
        <f>IFERROR(__xludf.DUMMYFUNCTION("""COMPUTED_VALUE"""),"")</f>
        <v/>
      </c>
      <c r="X161" s="84" t="str">
        <f>IFERROR(__xludf.DUMMYFUNCTION("""COMPUTED_VALUE"""),"")</f>
        <v/>
      </c>
      <c r="Y161" s="114" t="str">
        <f>IFERROR(__xludf.DUMMYFUNCTION("""COMPUTED_VALUE"""),"")</f>
        <v/>
      </c>
    </row>
    <row r="162">
      <c r="A162" s="109">
        <f>IFERROR(__xludf.DUMMYFUNCTION("""COMPUTED_VALUE"""),46092.869192812504)</f>
        <v>46092.86919</v>
      </c>
      <c r="B162" s="81" t="str">
        <f>IFERROR(__xludf.DUMMYFUNCTION("""COMPUTED_VALUE"""),"Brynn Hornig")</f>
        <v>Brynn Hornig</v>
      </c>
      <c r="C162" s="74" t="b">
        <f>IFERROR(__xludf.DUMMYFUNCTION("""COMPUTED_VALUE"""),FALSE)</f>
        <v>0</v>
      </c>
      <c r="D162" s="137">
        <f>IFERROR(__xludf.DUMMYFUNCTION("""COMPUTED_VALUE"""),0.75)</f>
        <v>0.75</v>
      </c>
      <c r="E162" s="82">
        <f>IFERROR(__xludf.DUMMYFUNCTION("""COMPUTED_VALUE"""),0.125)</f>
        <v>0.125</v>
      </c>
      <c r="F162" s="137">
        <f>IFERROR(__xludf.DUMMYFUNCTION("""COMPUTED_VALUE"""),0.875)</f>
        <v>0.875</v>
      </c>
      <c r="G162" s="82">
        <f>IFERROR(__xludf.DUMMYFUNCTION("""COMPUTED_VALUE"""),0.125)</f>
        <v>0.125</v>
      </c>
      <c r="H162" s="74">
        <f>IFERROR(__xludf.DUMMYFUNCTION("""COMPUTED_VALUE"""),134.0)</f>
        <v>134</v>
      </c>
      <c r="I162" s="84">
        <f>IFERROR(__xludf.DUMMYFUNCTION("""COMPUTED_VALUE"""),44.666666666666664)</f>
        <v>44.66666667</v>
      </c>
      <c r="J162" s="74" t="str">
        <f>IFERROR(__xludf.DUMMYFUNCTION("""COMPUTED_VALUE"""),"Dinner")</f>
        <v>Dinner</v>
      </c>
      <c r="K162" s="113">
        <f>IFERROR(__xludf.DUMMYFUNCTION("""COMPUTED_VALUE"""),46092.0)</f>
        <v>46092</v>
      </c>
      <c r="L162" s="74" t="str">
        <f>IFERROR(__xludf.DUMMYFUNCTION("""COMPUTED_VALUE"""),"Wednesday")</f>
        <v>Wednesday</v>
      </c>
      <c r="M162" s="74" t="str">
        <f>IFERROR(__xludf.DUMMYFUNCTION("""COMPUTED_VALUE"""),"MF")</f>
        <v>MF</v>
      </c>
      <c r="N162" s="114">
        <f>IFERROR(__xludf.DUMMYFUNCTION("""COMPUTED_VALUE"""),0.9630654364380788)</f>
        <v>0.9630654364</v>
      </c>
      <c r="O162" s="74">
        <f>IFERROR(__xludf.DUMMYFUNCTION("""COMPUTED_VALUE"""),134.0)</f>
        <v>134</v>
      </c>
      <c r="P162" s="74">
        <f>IFERROR(__xludf.DUMMYFUNCTION("""COMPUTED_VALUE"""),257.0)</f>
        <v>257</v>
      </c>
      <c r="Q162" s="82">
        <f>IFERROR(__xludf.DUMMYFUNCTION("""COMPUTED_VALUE"""),0.125)</f>
        <v>0.125</v>
      </c>
      <c r="R162" s="82">
        <f>IFERROR(__xludf.DUMMYFUNCTION("""COMPUTED_VALUE"""),0.2805555555532919)</f>
        <v>0.2805555556</v>
      </c>
      <c r="S162" s="84">
        <f>IFERROR(__xludf.DUMMYFUNCTION("""COMPUTED_VALUE"""),44.666666666666664)</f>
        <v>44.66666667</v>
      </c>
      <c r="T162" s="84">
        <f>IFERROR(__xludf.DUMMYFUNCTION("""COMPUTED_VALUE"""),39.07621951241316)</f>
        <v>39.07621951</v>
      </c>
      <c r="U162" s="74">
        <f>IFERROR(__xludf.DUMMYFUNCTION("""COMPUTED_VALUE"""),391.0)</f>
        <v>391</v>
      </c>
      <c r="V162" s="82">
        <f>IFERROR(__xludf.DUMMYFUNCTION("""COMPUTED_VALUE"""),0.4055555555532919)</f>
        <v>0.4055555556</v>
      </c>
      <c r="W162" s="64">
        <f>IFERROR(__xludf.DUMMYFUNCTION("""COMPUTED_VALUE"""),40.17123287693655)</f>
        <v>40.17123288</v>
      </c>
      <c r="X162" s="84">
        <f>IFERROR(__xludf.DUMMYFUNCTION("""COMPUTED_VALUE"""),40.939701897164326)</f>
        <v>40.9397019</v>
      </c>
      <c r="Y162" s="114">
        <f>IFERROR(__xludf.DUMMYFUNCTION("""COMPUTED_VALUE"""),0.6857021422268003)</f>
        <v>0.6857021422</v>
      </c>
    </row>
    <row r="163">
      <c r="A163" s="109">
        <f>IFERROR(__xludf.DUMMYFUNCTION("""COMPUTED_VALUE"""),46093.36201489583)</f>
        <v>46093.36201</v>
      </c>
      <c r="B163" s="81" t="str">
        <f>IFERROR(__xludf.DUMMYFUNCTION("""COMPUTED_VALUE"""),"Evan Morgan")</f>
        <v>Evan Morgan</v>
      </c>
      <c r="C163" s="74" t="b">
        <f>IFERROR(__xludf.DUMMYFUNCTION("""COMPUTED_VALUE"""),FALSE)</f>
        <v>0</v>
      </c>
      <c r="D163" s="137">
        <f>IFERROR(__xludf.DUMMYFUNCTION("""COMPUTED_VALUE"""),0.29166666666424135)</f>
        <v>0.2916666667</v>
      </c>
      <c r="E163" s="82">
        <f>IFERROR(__xludf.DUMMYFUNCTION("""COMPUTED_VALUE"""),0.06944444444525288)</f>
        <v>0.06944444445</v>
      </c>
      <c r="F163" s="137">
        <f>IFERROR(__xludf.DUMMYFUNCTION("""COMPUTED_VALUE"""),0.36111111110949423)</f>
        <v>0.3611111111</v>
      </c>
      <c r="G163" s="82">
        <f>IFERROR(__xludf.DUMMYFUNCTION("""COMPUTED_VALUE"""),0.06944444444525288)</f>
        <v>0.06944444445</v>
      </c>
      <c r="H163" s="74">
        <f>IFERROR(__xludf.DUMMYFUNCTION("""COMPUTED_VALUE"""),27.0)</f>
        <v>27</v>
      </c>
      <c r="I163" s="84">
        <f>IFERROR(__xludf.DUMMYFUNCTION("""COMPUTED_VALUE"""),16.199999999811407)</f>
        <v>16.2</v>
      </c>
      <c r="J163" s="74" t="str">
        <f>IFERROR(__xludf.DUMMYFUNCTION("""COMPUTED_VALUE"""),"Breakfast")</f>
        <v>Breakfast</v>
      </c>
      <c r="K163" s="113">
        <f>IFERROR(__xludf.DUMMYFUNCTION("""COMPUTED_VALUE"""),46093.0)</f>
        <v>46093</v>
      </c>
      <c r="L163" s="74" t="str">
        <f>IFERROR(__xludf.DUMMYFUNCTION("""COMPUTED_VALUE"""),"Thursday")</f>
        <v>Thursday</v>
      </c>
      <c r="M163" s="74" t="str">
        <f>IFERROR(__xludf.DUMMYFUNCTION("""COMPUTED_VALUE"""),"BF")</f>
        <v>BF</v>
      </c>
      <c r="N163" s="114">
        <f>IFERROR(__xludf.DUMMYFUNCTION("""COMPUTED_VALUE"""),0.5714154832850846)</f>
        <v>0.5714154833</v>
      </c>
      <c r="O163" s="74" t="str">
        <f>IFERROR(__xludf.DUMMYFUNCTION("""COMPUTED_VALUE"""),"")</f>
        <v/>
      </c>
      <c r="P163" s="74" t="str">
        <f>IFERROR(__xludf.DUMMYFUNCTION("""COMPUTED_VALUE"""),"")</f>
        <v/>
      </c>
      <c r="Q163" s="82" t="str">
        <f>IFERROR(__xludf.DUMMYFUNCTION("""COMPUTED_VALUE"""),"")</f>
        <v/>
      </c>
      <c r="R163" s="82" t="str">
        <f>IFERROR(__xludf.DUMMYFUNCTION("""COMPUTED_VALUE"""),"")</f>
        <v/>
      </c>
      <c r="S163" s="84" t="str">
        <f>IFERROR(__xludf.DUMMYFUNCTION("""COMPUTED_VALUE"""),"")</f>
        <v/>
      </c>
      <c r="T163" s="84" t="str">
        <f>IFERROR(__xludf.DUMMYFUNCTION("""COMPUTED_VALUE"""),"")</f>
        <v/>
      </c>
      <c r="U163" s="74" t="str">
        <f>IFERROR(__xludf.DUMMYFUNCTION("""COMPUTED_VALUE"""),"")</f>
        <v/>
      </c>
      <c r="V163" s="82" t="str">
        <f>IFERROR(__xludf.DUMMYFUNCTION("""COMPUTED_VALUE"""),"")</f>
        <v/>
      </c>
      <c r="W163" s="64" t="str">
        <f>IFERROR(__xludf.DUMMYFUNCTION("""COMPUTED_VALUE"""),"")</f>
        <v/>
      </c>
      <c r="X163" s="84" t="str">
        <f>IFERROR(__xludf.DUMMYFUNCTION("""COMPUTED_VALUE"""),"")</f>
        <v/>
      </c>
      <c r="Y163" s="114" t="str">
        <f>IFERROR(__xludf.DUMMYFUNCTION("""COMPUTED_VALUE"""),"")</f>
        <v/>
      </c>
    </row>
    <row r="164">
      <c r="A164" s="109">
        <f>IFERROR(__xludf.DUMMYFUNCTION("""COMPUTED_VALUE"""),46093.45978293981)</f>
        <v>46093.45978</v>
      </c>
      <c r="B164" s="81" t="str">
        <f>IFERROR(__xludf.DUMMYFUNCTION("""COMPUTED_VALUE"""),"Sophia Kluck")</f>
        <v>Sophia Kluck</v>
      </c>
      <c r="C164" s="74" t="b">
        <f>IFERROR(__xludf.DUMMYFUNCTION("""COMPUTED_VALUE"""),FALSE)</f>
        <v>0</v>
      </c>
      <c r="D164" s="137">
        <f>IFERROR(__xludf.DUMMYFUNCTION("""COMPUTED_VALUE"""),0.3694444444408873)</f>
        <v>0.3694444444</v>
      </c>
      <c r="E164" s="82">
        <f>IFERROR(__xludf.DUMMYFUNCTION("""COMPUTED_VALUE"""),0.08402777778246673)</f>
        <v>0.08402777778</v>
      </c>
      <c r="F164" s="137">
        <f>IFERROR(__xludf.DUMMYFUNCTION("""COMPUTED_VALUE"""),0.45347222222335404)</f>
        <v>0.4534722222</v>
      </c>
      <c r="G164" s="82">
        <f>IFERROR(__xludf.DUMMYFUNCTION("""COMPUTED_VALUE"""),0.10347222222480923)</f>
        <v>0.1034722222</v>
      </c>
      <c r="H164" s="74">
        <f>IFERROR(__xludf.DUMMYFUNCTION("""COMPUTED_VALUE"""),71.0)</f>
        <v>71</v>
      </c>
      <c r="I164" s="84">
        <f>IFERROR(__xludf.DUMMYFUNCTION("""COMPUTED_VALUE"""),35.43624160985228)</f>
        <v>35.43624161</v>
      </c>
      <c r="J164" s="74" t="str">
        <f>IFERROR(__xludf.DUMMYFUNCTION("""COMPUTED_VALUE"""),"Breakfast")</f>
        <v>Breakfast</v>
      </c>
      <c r="K164" s="113">
        <f>IFERROR(__xludf.DUMMYFUNCTION("""COMPUTED_VALUE"""),46093.0)</f>
        <v>46093</v>
      </c>
      <c r="L164" s="74" t="str">
        <f>IFERROR(__xludf.DUMMYFUNCTION("""COMPUTED_VALUE"""),"Thursday")</f>
        <v>Thursday</v>
      </c>
      <c r="M164" s="74" t="str">
        <f>IFERROR(__xludf.DUMMYFUNCTION("""COMPUTED_VALUE"""),"BF")</f>
        <v>BF</v>
      </c>
      <c r="N164" s="114">
        <f>IFERROR(__xludf.DUMMYFUNCTION("""COMPUTED_VALUE"""),1.2499269830578081)</f>
        <v>1.249926983</v>
      </c>
      <c r="O164" s="74" t="str">
        <f>IFERROR(__xludf.DUMMYFUNCTION("""COMPUTED_VALUE"""),"")</f>
        <v/>
      </c>
      <c r="P164" s="74" t="str">
        <f>IFERROR(__xludf.DUMMYFUNCTION("""COMPUTED_VALUE"""),"")</f>
        <v/>
      </c>
      <c r="Q164" s="82" t="str">
        <f>IFERROR(__xludf.DUMMYFUNCTION("""COMPUTED_VALUE"""),"")</f>
        <v/>
      </c>
      <c r="R164" s="82" t="str">
        <f>IFERROR(__xludf.DUMMYFUNCTION("""COMPUTED_VALUE"""),"")</f>
        <v/>
      </c>
      <c r="S164" s="84" t="str">
        <f>IFERROR(__xludf.DUMMYFUNCTION("""COMPUTED_VALUE"""),"")</f>
        <v/>
      </c>
      <c r="T164" s="84" t="str">
        <f>IFERROR(__xludf.DUMMYFUNCTION("""COMPUTED_VALUE"""),"")</f>
        <v/>
      </c>
      <c r="U164" s="74" t="str">
        <f>IFERROR(__xludf.DUMMYFUNCTION("""COMPUTED_VALUE"""),"")</f>
        <v/>
      </c>
      <c r="V164" s="82" t="str">
        <f>IFERROR(__xludf.DUMMYFUNCTION("""COMPUTED_VALUE"""),"")</f>
        <v/>
      </c>
      <c r="W164" s="64" t="str">
        <f>IFERROR(__xludf.DUMMYFUNCTION("""COMPUTED_VALUE"""),"")</f>
        <v/>
      </c>
      <c r="X164" s="84" t="str">
        <f>IFERROR(__xludf.DUMMYFUNCTION("""COMPUTED_VALUE"""),"")</f>
        <v/>
      </c>
      <c r="Y164" s="114" t="str">
        <f>IFERROR(__xludf.DUMMYFUNCTION("""COMPUTED_VALUE"""),"")</f>
        <v/>
      </c>
    </row>
    <row r="165">
      <c r="A165" s="109">
        <f>IFERROR(__xludf.DUMMYFUNCTION("""COMPUTED_VALUE"""),46093.4793055787)</f>
        <v>46093.47931</v>
      </c>
      <c r="B165" s="81" t="str">
        <f>IFERROR(__xludf.DUMMYFUNCTION("""COMPUTED_VALUE"""),"Sophia Kluck")</f>
        <v>Sophia Kluck</v>
      </c>
      <c r="C165" s="74" t="b">
        <f>IFERROR(__xludf.DUMMYFUNCTION("""COMPUTED_VALUE"""),TRUE)</f>
        <v>1</v>
      </c>
      <c r="D165" s="137">
        <f>IFERROR(__xludf.DUMMYFUNCTION("""COMPUTED_VALUE"""),0.4562500000029104)</f>
        <v>0.45625</v>
      </c>
      <c r="E165" s="82">
        <f>IFERROR(__xludf.DUMMYFUNCTION("""COMPUTED_VALUE"""),0.0194444444423425)</f>
        <v>0.01944444444</v>
      </c>
      <c r="F165" s="137">
        <f>IFERROR(__xludf.DUMMYFUNCTION("""COMPUTED_VALUE"""),0.4756944444452529)</f>
        <v>0.4756944444</v>
      </c>
      <c r="G165" s="82" t="str">
        <f>IFERROR(__xludf.DUMMYFUNCTION("""COMPUTED_VALUE"""),"")</f>
        <v/>
      </c>
      <c r="H165" s="74">
        <f>IFERROR(__xludf.DUMMYFUNCTION("""COMPUTED_VALUE"""),17.0)</f>
        <v>17</v>
      </c>
      <c r="I165" s="84" t="str">
        <f>IFERROR(__xludf.DUMMYFUNCTION("""COMPUTED_VALUE"""),"")</f>
        <v/>
      </c>
      <c r="J165" s="74" t="str">
        <f>IFERROR(__xludf.DUMMYFUNCTION("""COMPUTED_VALUE"""),"Breakfast/Lunch")</f>
        <v>Breakfast/Lunch</v>
      </c>
      <c r="K165" s="113">
        <f>IFERROR(__xludf.DUMMYFUNCTION("""COMPUTED_VALUE"""),46093.0)</f>
        <v>46093</v>
      </c>
      <c r="L165" s="74" t="str">
        <f>IFERROR(__xludf.DUMMYFUNCTION("""COMPUTED_VALUE"""),"Thursday")</f>
        <v>Thursday</v>
      </c>
      <c r="M165" s="74" t="str">
        <f>IFERROR(__xludf.DUMMYFUNCTION("""COMPUTED_VALUE"""),"BF")</f>
        <v>BF</v>
      </c>
      <c r="N165" s="114" t="str">
        <f>IFERROR(__xludf.DUMMYFUNCTION("""COMPUTED_VALUE"""),"")</f>
        <v/>
      </c>
      <c r="O165" s="74" t="str">
        <f>IFERROR(__xludf.DUMMYFUNCTION("""COMPUTED_VALUE"""),"")</f>
        <v/>
      </c>
      <c r="P165" s="74" t="str">
        <f>IFERROR(__xludf.DUMMYFUNCTION("""COMPUTED_VALUE"""),"")</f>
        <v/>
      </c>
      <c r="Q165" s="82" t="str">
        <f>IFERROR(__xludf.DUMMYFUNCTION("""COMPUTED_VALUE"""),"")</f>
        <v/>
      </c>
      <c r="R165" s="82" t="str">
        <f>IFERROR(__xludf.DUMMYFUNCTION("""COMPUTED_VALUE"""),"")</f>
        <v/>
      </c>
      <c r="S165" s="84" t="str">
        <f>IFERROR(__xludf.DUMMYFUNCTION("""COMPUTED_VALUE"""),"")</f>
        <v/>
      </c>
      <c r="T165" s="84" t="str">
        <f>IFERROR(__xludf.DUMMYFUNCTION("""COMPUTED_VALUE"""),"")</f>
        <v/>
      </c>
      <c r="U165" s="74" t="str">
        <f>IFERROR(__xludf.DUMMYFUNCTION("""COMPUTED_VALUE"""),"")</f>
        <v/>
      </c>
      <c r="V165" s="82" t="str">
        <f>IFERROR(__xludf.DUMMYFUNCTION("""COMPUTED_VALUE"""),"")</f>
        <v/>
      </c>
      <c r="W165" s="64" t="str">
        <f>IFERROR(__xludf.DUMMYFUNCTION("""COMPUTED_VALUE"""),"")</f>
        <v/>
      </c>
      <c r="X165" s="84" t="str">
        <f>IFERROR(__xludf.DUMMYFUNCTION("""COMPUTED_VALUE"""),"")</f>
        <v/>
      </c>
      <c r="Y165" s="114" t="str">
        <f>IFERROR(__xludf.DUMMYFUNCTION("""COMPUTED_VALUE"""),"")</f>
        <v/>
      </c>
    </row>
    <row r="166">
      <c r="A166" s="109">
        <f>IFERROR(__xludf.DUMMYFUNCTION("""COMPUTED_VALUE"""),46093.52927782407)</f>
        <v>46093.52928</v>
      </c>
      <c r="B166" s="81" t="str">
        <f>IFERROR(__xludf.DUMMYFUNCTION("""COMPUTED_VALUE"""),"Emmett Khan")</f>
        <v>Emmett Khan</v>
      </c>
      <c r="C166" s="74" t="b">
        <f>IFERROR(__xludf.DUMMYFUNCTION("""COMPUTED_VALUE"""),FALSE)</f>
        <v>0</v>
      </c>
      <c r="D166" s="137">
        <f>IFERROR(__xludf.DUMMYFUNCTION("""COMPUTED_VALUE"""),0.47916666666424135)</f>
        <v>0.4791666667</v>
      </c>
      <c r="E166" s="82">
        <f>IFERROR(__xludf.DUMMYFUNCTION("""COMPUTED_VALUE"""),0.05208333333575865)</f>
        <v>0.05208333334</v>
      </c>
      <c r="F166" s="137">
        <f>IFERROR(__xludf.DUMMYFUNCTION("""COMPUTED_VALUE"""),0.53125)</f>
        <v>0.53125</v>
      </c>
      <c r="G166" s="82">
        <f>IFERROR(__xludf.DUMMYFUNCTION("""COMPUTED_VALUE"""),0.05208333333575865)</f>
        <v>0.05208333334</v>
      </c>
      <c r="H166" s="74">
        <f>IFERROR(__xludf.DUMMYFUNCTION("""COMPUTED_VALUE"""),64.0)</f>
        <v>64</v>
      </c>
      <c r="I166" s="84">
        <f>IFERROR(__xludf.DUMMYFUNCTION("""COMPUTED_VALUE"""),51.19999999761581)</f>
        <v>51.2</v>
      </c>
      <c r="J166" s="74" t="str">
        <f>IFERROR(__xludf.DUMMYFUNCTION("""COMPUTED_VALUE"""),"Lunch")</f>
        <v>Lunch</v>
      </c>
      <c r="K166" s="113">
        <f>IFERROR(__xludf.DUMMYFUNCTION("""COMPUTED_VALUE"""),46093.0)</f>
        <v>46093</v>
      </c>
      <c r="L166" s="74" t="str">
        <f>IFERROR(__xludf.DUMMYFUNCTION("""COMPUTED_VALUE"""),"Thursday")</f>
        <v>Thursday</v>
      </c>
      <c r="M166" s="74" t="str">
        <f>IFERROR(__xludf.DUMMYFUNCTION("""COMPUTED_VALUE"""),"MF")</f>
        <v>MF</v>
      </c>
      <c r="N166" s="114">
        <f>IFERROR(__xludf.DUMMYFUNCTION("""COMPUTED_VALUE"""),1.0183482820149095)</f>
        <v>1.018348282</v>
      </c>
      <c r="O166" s="74" t="str">
        <f>IFERROR(__xludf.DUMMYFUNCTION("""COMPUTED_VALUE"""),"")</f>
        <v/>
      </c>
      <c r="P166" s="74" t="str">
        <f>IFERROR(__xludf.DUMMYFUNCTION("""COMPUTED_VALUE"""),"")</f>
        <v/>
      </c>
      <c r="Q166" s="82" t="str">
        <f>IFERROR(__xludf.DUMMYFUNCTION("""COMPUTED_VALUE"""),"")</f>
        <v/>
      </c>
      <c r="R166" s="82" t="str">
        <f>IFERROR(__xludf.DUMMYFUNCTION("""COMPUTED_VALUE"""),"")</f>
        <v/>
      </c>
      <c r="S166" s="84" t="str">
        <f>IFERROR(__xludf.DUMMYFUNCTION("""COMPUTED_VALUE"""),"")</f>
        <v/>
      </c>
      <c r="T166" s="84" t="str">
        <f>IFERROR(__xludf.DUMMYFUNCTION("""COMPUTED_VALUE"""),"")</f>
        <v/>
      </c>
      <c r="U166" s="74" t="str">
        <f>IFERROR(__xludf.DUMMYFUNCTION("""COMPUTED_VALUE"""),"")</f>
        <v/>
      </c>
      <c r="V166" s="82" t="str">
        <f>IFERROR(__xludf.DUMMYFUNCTION("""COMPUTED_VALUE"""),"")</f>
        <v/>
      </c>
      <c r="W166" s="64" t="str">
        <f>IFERROR(__xludf.DUMMYFUNCTION("""COMPUTED_VALUE"""),"")</f>
        <v/>
      </c>
      <c r="X166" s="84" t="str">
        <f>IFERROR(__xludf.DUMMYFUNCTION("""COMPUTED_VALUE"""),"")</f>
        <v/>
      </c>
      <c r="Y166" s="114" t="str">
        <f>IFERROR(__xludf.DUMMYFUNCTION("""COMPUTED_VALUE"""),"")</f>
        <v/>
      </c>
    </row>
    <row r="167">
      <c r="A167" s="109">
        <f>IFERROR(__xludf.DUMMYFUNCTION("""COMPUTED_VALUE"""),46093.57959949074)</f>
        <v>46093.5796</v>
      </c>
      <c r="B167" s="81" t="str">
        <f>IFERROR(__xludf.DUMMYFUNCTION("""COMPUTED_VALUE"""),"Kyra Turner")</f>
        <v>Kyra Turner</v>
      </c>
      <c r="C167" s="74" t="b">
        <f>IFERROR(__xludf.DUMMYFUNCTION("""COMPUTED_VALUE"""),FALSE)</f>
        <v>0</v>
      </c>
      <c r="D167" s="137">
        <f>IFERROR(__xludf.DUMMYFUNCTION("""COMPUTED_VALUE"""),0.5006944444467081)</f>
        <v>0.5006944444</v>
      </c>
      <c r="E167" s="82">
        <f>IFERROR(__xludf.DUMMYFUNCTION("""COMPUTED_VALUE"""),0.07708333332993789)</f>
        <v>0.07708333333</v>
      </c>
      <c r="F167" s="137">
        <f>IFERROR(__xludf.DUMMYFUNCTION("""COMPUTED_VALUE"""),0.577777777776646)</f>
        <v>0.5777777778</v>
      </c>
      <c r="G167" s="82">
        <f>IFERROR(__xludf.DUMMYFUNCTION("""COMPUTED_VALUE"""),0.1388888888832298)</f>
        <v>0.1388888889</v>
      </c>
      <c r="H167" s="74">
        <f>IFERROR(__xludf.DUMMYFUNCTION("""COMPUTED_VALUE"""),111.0)</f>
        <v>111</v>
      </c>
      <c r="I167" s="84">
        <f>IFERROR(__xludf.DUMMYFUNCTION("""COMPUTED_VALUE"""),57.30000000233471)</f>
        <v>57.3</v>
      </c>
      <c r="J167" s="74" t="str">
        <f>IFERROR(__xludf.DUMMYFUNCTION("""COMPUTED_VALUE"""),"Lunch")</f>
        <v>Lunch</v>
      </c>
      <c r="K167" s="113">
        <f>IFERROR(__xludf.DUMMYFUNCTION("""COMPUTED_VALUE"""),46093.0)</f>
        <v>46093</v>
      </c>
      <c r="L167" s="74" t="str">
        <f>IFERROR(__xludf.DUMMYFUNCTION("""COMPUTED_VALUE"""),"Thursday")</f>
        <v>Thursday</v>
      </c>
      <c r="M167" s="74" t="str">
        <f>IFERROR(__xludf.DUMMYFUNCTION("""COMPUTED_VALUE"""),"BF")</f>
        <v>BF</v>
      </c>
      <c r="N167" s="114">
        <f>IFERROR(__xludf.DUMMYFUNCTION("""COMPUTED_VALUE"""),2.0211177280216424)</f>
        <v>2.021117728</v>
      </c>
      <c r="O167" s="74" t="str">
        <f>IFERROR(__xludf.DUMMYFUNCTION("""COMPUTED_VALUE"""),"")</f>
        <v/>
      </c>
      <c r="P167" s="74" t="str">
        <f>IFERROR(__xludf.DUMMYFUNCTION("""COMPUTED_VALUE"""),"")</f>
        <v/>
      </c>
      <c r="Q167" s="82" t="str">
        <f>IFERROR(__xludf.DUMMYFUNCTION("""COMPUTED_VALUE"""),"")</f>
        <v/>
      </c>
      <c r="R167" s="82" t="str">
        <f>IFERROR(__xludf.DUMMYFUNCTION("""COMPUTED_VALUE"""),"")</f>
        <v/>
      </c>
      <c r="S167" s="84" t="str">
        <f>IFERROR(__xludf.DUMMYFUNCTION("""COMPUTED_VALUE"""),"")</f>
        <v/>
      </c>
      <c r="T167" s="84" t="str">
        <f>IFERROR(__xludf.DUMMYFUNCTION("""COMPUTED_VALUE"""),"")</f>
        <v/>
      </c>
      <c r="U167" s="74" t="str">
        <f>IFERROR(__xludf.DUMMYFUNCTION("""COMPUTED_VALUE"""),"")</f>
        <v/>
      </c>
      <c r="V167" s="82" t="str">
        <f>IFERROR(__xludf.DUMMYFUNCTION("""COMPUTED_VALUE"""),"")</f>
        <v/>
      </c>
      <c r="W167" s="64" t="str">
        <f>IFERROR(__xludf.DUMMYFUNCTION("""COMPUTED_VALUE"""),"")</f>
        <v/>
      </c>
      <c r="X167" s="84" t="str">
        <f>IFERROR(__xludf.DUMMYFUNCTION("""COMPUTED_VALUE"""),"")</f>
        <v/>
      </c>
      <c r="Y167" s="114" t="str">
        <f>IFERROR(__xludf.DUMMYFUNCTION("""COMPUTED_VALUE"""),"")</f>
        <v/>
      </c>
    </row>
    <row r="168">
      <c r="A168" s="109">
        <f>IFERROR(__xludf.DUMMYFUNCTION("""COMPUTED_VALUE"""),46093.64554915509)</f>
        <v>46093.64555</v>
      </c>
      <c r="B168" s="81" t="str">
        <f>IFERROR(__xludf.DUMMYFUNCTION("""COMPUTED_VALUE"""),"Kyra Turner")</f>
        <v>Kyra Turner</v>
      </c>
      <c r="C168" s="74" t="b">
        <f>IFERROR(__xludf.DUMMYFUNCTION("""COMPUTED_VALUE"""),TRUE)</f>
        <v>1</v>
      </c>
      <c r="D168" s="137">
        <f>IFERROR(__xludf.DUMMYFUNCTION("""COMPUTED_VALUE"""),0.5798611111094942)</f>
        <v>0.5798611111</v>
      </c>
      <c r="E168" s="82">
        <f>IFERROR(__xludf.DUMMYFUNCTION("""COMPUTED_VALUE"""),0.061805555553291924)</f>
        <v>0.06180555555</v>
      </c>
      <c r="F168" s="137">
        <f>IFERROR(__xludf.DUMMYFUNCTION("""COMPUTED_VALUE"""),0.6416666666627862)</f>
        <v>0.6416666667</v>
      </c>
      <c r="G168" s="82" t="str">
        <f>IFERROR(__xludf.DUMMYFUNCTION("""COMPUTED_VALUE"""),"")</f>
        <v/>
      </c>
      <c r="H168" s="74">
        <f>IFERROR(__xludf.DUMMYFUNCTION("""COMPUTED_VALUE"""),80.0)</f>
        <v>80</v>
      </c>
      <c r="I168" s="84" t="str">
        <f>IFERROR(__xludf.DUMMYFUNCTION("""COMPUTED_VALUE"""),"")</f>
        <v/>
      </c>
      <c r="J168" s="74" t="str">
        <f>IFERROR(__xludf.DUMMYFUNCTION("""COMPUTED_VALUE"""),"Lunch")</f>
        <v>Lunch</v>
      </c>
      <c r="K168" s="113">
        <f>IFERROR(__xludf.DUMMYFUNCTION("""COMPUTED_VALUE"""),46093.0)</f>
        <v>46093</v>
      </c>
      <c r="L168" s="74" t="str">
        <f>IFERROR(__xludf.DUMMYFUNCTION("""COMPUTED_VALUE"""),"Thursday")</f>
        <v>Thursday</v>
      </c>
      <c r="M168" s="74" t="str">
        <f>IFERROR(__xludf.DUMMYFUNCTION("""COMPUTED_VALUE"""),"BF")</f>
        <v>BF</v>
      </c>
      <c r="N168" s="114" t="str">
        <f>IFERROR(__xludf.DUMMYFUNCTION("""COMPUTED_VALUE"""),"")</f>
        <v/>
      </c>
      <c r="O168" s="74" t="str">
        <f>IFERROR(__xludf.DUMMYFUNCTION("""COMPUTED_VALUE"""),"")</f>
        <v/>
      </c>
      <c r="P168" s="74" t="str">
        <f>IFERROR(__xludf.DUMMYFUNCTION("""COMPUTED_VALUE"""),"")</f>
        <v/>
      </c>
      <c r="Q168" s="82" t="str">
        <f>IFERROR(__xludf.DUMMYFUNCTION("""COMPUTED_VALUE"""),"")</f>
        <v/>
      </c>
      <c r="R168" s="82" t="str">
        <f>IFERROR(__xludf.DUMMYFUNCTION("""COMPUTED_VALUE"""),"")</f>
        <v/>
      </c>
      <c r="S168" s="84" t="str">
        <f>IFERROR(__xludf.DUMMYFUNCTION("""COMPUTED_VALUE"""),"")</f>
        <v/>
      </c>
      <c r="T168" s="84" t="str">
        <f>IFERROR(__xludf.DUMMYFUNCTION("""COMPUTED_VALUE"""),"")</f>
        <v/>
      </c>
      <c r="U168" s="74" t="str">
        <f>IFERROR(__xludf.DUMMYFUNCTION("""COMPUTED_VALUE"""),"")</f>
        <v/>
      </c>
      <c r="V168" s="82" t="str">
        <f>IFERROR(__xludf.DUMMYFUNCTION("""COMPUTED_VALUE"""),"")</f>
        <v/>
      </c>
      <c r="W168" s="64" t="str">
        <f>IFERROR(__xludf.DUMMYFUNCTION("""COMPUTED_VALUE"""),"")</f>
        <v/>
      </c>
      <c r="X168" s="84" t="str">
        <f>IFERROR(__xludf.DUMMYFUNCTION("""COMPUTED_VALUE"""),"")</f>
        <v/>
      </c>
      <c r="Y168" s="114" t="str">
        <f>IFERROR(__xludf.DUMMYFUNCTION("""COMPUTED_VALUE"""),"")</f>
        <v/>
      </c>
    </row>
    <row r="169">
      <c r="A169" s="109">
        <f>IFERROR(__xludf.DUMMYFUNCTION("""COMPUTED_VALUE"""),46093.7770591088)</f>
        <v>46093.77706</v>
      </c>
      <c r="B169" s="81" t="str">
        <f>IFERROR(__xludf.DUMMYFUNCTION("""COMPUTED_VALUE"""),"Emmett Khan")</f>
        <v>Emmett Khan</v>
      </c>
      <c r="C169" s="74" t="b">
        <f>IFERROR(__xludf.DUMMYFUNCTION("""COMPUTED_VALUE"""),FALSE)</f>
        <v>0</v>
      </c>
      <c r="D169" s="137">
        <f>IFERROR(__xludf.DUMMYFUNCTION("""COMPUTED_VALUE"""),0.7083333333357587)</f>
        <v>0.7083333333</v>
      </c>
      <c r="E169" s="82">
        <f>IFERROR(__xludf.DUMMYFUNCTION("""COMPUTED_VALUE"""),0.07291666666424135)</f>
        <v>0.07291666666</v>
      </c>
      <c r="F169" s="137">
        <f>IFERROR(__xludf.DUMMYFUNCTION("""COMPUTED_VALUE"""),0.78125)</f>
        <v>0.78125</v>
      </c>
      <c r="G169" s="82">
        <f>IFERROR(__xludf.DUMMYFUNCTION("""COMPUTED_VALUE"""),0.07291666666424135)</f>
        <v>0.07291666666</v>
      </c>
      <c r="H169" s="74">
        <f>IFERROR(__xludf.DUMMYFUNCTION("""COMPUTED_VALUE"""),90.0)</f>
        <v>90</v>
      </c>
      <c r="I169" s="84">
        <f>IFERROR(__xludf.DUMMYFUNCTION("""COMPUTED_VALUE"""),51.42857143028202)</f>
        <v>51.42857143</v>
      </c>
      <c r="J169" s="74" t="str">
        <f>IFERROR(__xludf.DUMMYFUNCTION("""COMPUTED_VALUE"""),"Dinner")</f>
        <v>Dinner</v>
      </c>
      <c r="K169" s="113">
        <f>IFERROR(__xludf.DUMMYFUNCTION("""COMPUTED_VALUE"""),46093.0)</f>
        <v>46093</v>
      </c>
      <c r="L169" s="74" t="str">
        <f>IFERROR(__xludf.DUMMYFUNCTION("""COMPUTED_VALUE"""),"Thursday")</f>
        <v>Thursday</v>
      </c>
      <c r="M169" s="74" t="str">
        <f>IFERROR(__xludf.DUMMYFUNCTION("""COMPUTED_VALUE"""),"MF")</f>
        <v>MF</v>
      </c>
      <c r="N169" s="114">
        <f>IFERROR(__xludf.DUMMYFUNCTION("""COMPUTED_VALUE"""),1.1088599908184658)</f>
        <v>1.108859991</v>
      </c>
      <c r="O169" s="74" t="str">
        <f>IFERROR(__xludf.DUMMYFUNCTION("""COMPUTED_VALUE"""),"")</f>
        <v/>
      </c>
      <c r="P169" s="74" t="str">
        <f>IFERROR(__xludf.DUMMYFUNCTION("""COMPUTED_VALUE"""),"")</f>
        <v/>
      </c>
      <c r="Q169" s="82" t="str">
        <f>IFERROR(__xludf.DUMMYFUNCTION("""COMPUTED_VALUE"""),"")</f>
        <v/>
      </c>
      <c r="R169" s="82" t="str">
        <f>IFERROR(__xludf.DUMMYFUNCTION("""COMPUTED_VALUE"""),"")</f>
        <v/>
      </c>
      <c r="S169" s="84" t="str">
        <f>IFERROR(__xludf.DUMMYFUNCTION("""COMPUTED_VALUE"""),"")</f>
        <v/>
      </c>
      <c r="T169" s="84" t="str">
        <f>IFERROR(__xludf.DUMMYFUNCTION("""COMPUTED_VALUE"""),"")</f>
        <v/>
      </c>
      <c r="U169" s="74" t="str">
        <f>IFERROR(__xludf.DUMMYFUNCTION("""COMPUTED_VALUE"""),"")</f>
        <v/>
      </c>
      <c r="V169" s="82" t="str">
        <f>IFERROR(__xludf.DUMMYFUNCTION("""COMPUTED_VALUE"""),"")</f>
        <v/>
      </c>
      <c r="W169" s="64" t="str">
        <f>IFERROR(__xludf.DUMMYFUNCTION("""COMPUTED_VALUE"""),"")</f>
        <v/>
      </c>
      <c r="X169" s="84" t="str">
        <f>IFERROR(__xludf.DUMMYFUNCTION("""COMPUTED_VALUE"""),"")</f>
        <v/>
      </c>
      <c r="Y169" s="114" t="str">
        <f>IFERROR(__xludf.DUMMYFUNCTION("""COMPUTED_VALUE"""),"")</f>
        <v/>
      </c>
    </row>
    <row r="170">
      <c r="A170" s="109">
        <f>IFERROR(__xludf.DUMMYFUNCTION("""COMPUTED_VALUE"""),46093.84711077546)</f>
        <v>46093.84711</v>
      </c>
      <c r="B170" s="81" t="str">
        <f>IFERROR(__xludf.DUMMYFUNCTION("""COMPUTED_VALUE"""),"Leah Bucci")</f>
        <v>Leah Bucci</v>
      </c>
      <c r="C170" s="74" t="b">
        <f>IFERROR(__xludf.DUMMYFUNCTION("""COMPUTED_VALUE"""),FALSE)</f>
        <v>0</v>
      </c>
      <c r="D170" s="137">
        <f>IFERROR(__xludf.DUMMYFUNCTION("""COMPUTED_VALUE"""),0.6875)</f>
        <v>0.6875</v>
      </c>
      <c r="E170" s="82">
        <f>IFERROR(__xludf.DUMMYFUNCTION("""COMPUTED_VALUE"""),0.09722222221898846)</f>
        <v>0.09722222222</v>
      </c>
      <c r="F170" s="137">
        <f>IFERROR(__xludf.DUMMYFUNCTION("""COMPUTED_VALUE"""),0.7847222222189885)</f>
        <v>0.7847222222</v>
      </c>
      <c r="G170" s="82">
        <f>IFERROR(__xludf.DUMMYFUNCTION("""COMPUTED_VALUE"""),0.15972222221898846)</f>
        <v>0.1597222222</v>
      </c>
      <c r="H170" s="74">
        <f>IFERROR(__xludf.DUMMYFUNCTION("""COMPUTED_VALUE"""),215.0)</f>
        <v>215</v>
      </c>
      <c r="I170" s="84">
        <f>IFERROR(__xludf.DUMMYFUNCTION("""COMPUTED_VALUE"""),105.39130434995985)</f>
        <v>105.3913043</v>
      </c>
      <c r="J170" s="74" t="str">
        <f>IFERROR(__xludf.DUMMYFUNCTION("""COMPUTED_VALUE"""),"Dinner")</f>
        <v>Dinner</v>
      </c>
      <c r="K170" s="113">
        <f>IFERROR(__xludf.DUMMYFUNCTION("""COMPUTED_VALUE"""),46093.0)</f>
        <v>46093</v>
      </c>
      <c r="L170" s="74" t="str">
        <f>IFERROR(__xludf.DUMMYFUNCTION("""COMPUTED_VALUE"""),"Thursday")</f>
        <v>Thursday</v>
      </c>
      <c r="M170" s="74" t="str">
        <f>IFERROR(__xludf.DUMMYFUNCTION("""COMPUTED_VALUE"""),"BF")</f>
        <v>BF</v>
      </c>
      <c r="N170" s="114">
        <f>IFERROR(__xludf.DUMMYFUNCTION("""COMPUTED_VALUE"""),2.3719782052842726)</f>
        <v>2.371978205</v>
      </c>
      <c r="O170" s="74" t="str">
        <f>IFERROR(__xludf.DUMMYFUNCTION("""COMPUTED_VALUE"""),"")</f>
        <v/>
      </c>
      <c r="P170" s="74" t="str">
        <f>IFERROR(__xludf.DUMMYFUNCTION("""COMPUTED_VALUE"""),"")</f>
        <v/>
      </c>
      <c r="Q170" s="82" t="str">
        <f>IFERROR(__xludf.DUMMYFUNCTION("""COMPUTED_VALUE"""),"")</f>
        <v/>
      </c>
      <c r="R170" s="82" t="str">
        <f>IFERROR(__xludf.DUMMYFUNCTION("""COMPUTED_VALUE"""),"")</f>
        <v/>
      </c>
      <c r="S170" s="84" t="str">
        <f>IFERROR(__xludf.DUMMYFUNCTION("""COMPUTED_VALUE"""),"")</f>
        <v/>
      </c>
      <c r="T170" s="84" t="str">
        <f>IFERROR(__xludf.DUMMYFUNCTION("""COMPUTED_VALUE"""),"")</f>
        <v/>
      </c>
      <c r="U170" s="74" t="str">
        <f>IFERROR(__xludf.DUMMYFUNCTION("""COMPUTED_VALUE"""),"")</f>
        <v/>
      </c>
      <c r="V170" s="82" t="str">
        <f>IFERROR(__xludf.DUMMYFUNCTION("""COMPUTED_VALUE"""),"")</f>
        <v/>
      </c>
      <c r="W170" s="64" t="str">
        <f>IFERROR(__xludf.DUMMYFUNCTION("""COMPUTED_VALUE"""),"")</f>
        <v/>
      </c>
      <c r="X170" s="84" t="str">
        <f>IFERROR(__xludf.DUMMYFUNCTION("""COMPUTED_VALUE"""),"")</f>
        <v/>
      </c>
      <c r="Y170" s="114" t="str">
        <f>IFERROR(__xludf.DUMMYFUNCTION("""COMPUTED_VALUE"""),"")</f>
        <v/>
      </c>
    </row>
    <row r="171">
      <c r="A171" s="109">
        <f>IFERROR(__xludf.DUMMYFUNCTION("""COMPUTED_VALUE"""),46093.85554021991)</f>
        <v>46093.85554</v>
      </c>
      <c r="B171" s="81" t="str">
        <f>IFERROR(__xludf.DUMMYFUNCTION("""COMPUTED_VALUE"""),"Leah Bucci")</f>
        <v>Leah Bucci</v>
      </c>
      <c r="C171" s="74" t="b">
        <f>IFERROR(__xludf.DUMMYFUNCTION("""COMPUTED_VALUE"""),TRUE)</f>
        <v>1</v>
      </c>
      <c r="D171" s="137">
        <f>IFERROR(__xludf.DUMMYFUNCTION("""COMPUTED_VALUE"""),0.7881944444452529)</f>
        <v>0.7881944444</v>
      </c>
      <c r="E171" s="82">
        <f>IFERROR(__xludf.DUMMYFUNCTION("""COMPUTED_VALUE"""),0.0625)</f>
        <v>0.0625</v>
      </c>
      <c r="F171" s="137">
        <f>IFERROR(__xludf.DUMMYFUNCTION("""COMPUTED_VALUE"""),0.8506944444452529)</f>
        <v>0.8506944444</v>
      </c>
      <c r="G171" s="82" t="str">
        <f>IFERROR(__xludf.DUMMYFUNCTION("""COMPUTED_VALUE"""),"")</f>
        <v/>
      </c>
      <c r="H171" s="74">
        <f>IFERROR(__xludf.DUMMYFUNCTION("""COMPUTED_VALUE"""),189.0)</f>
        <v>189</v>
      </c>
      <c r="I171" s="84" t="str">
        <f>IFERROR(__xludf.DUMMYFUNCTION("""COMPUTED_VALUE"""),"")</f>
        <v/>
      </c>
      <c r="J171" s="74" t="str">
        <f>IFERROR(__xludf.DUMMYFUNCTION("""COMPUTED_VALUE"""),"Dinner")</f>
        <v>Dinner</v>
      </c>
      <c r="K171" s="113">
        <f>IFERROR(__xludf.DUMMYFUNCTION("""COMPUTED_VALUE"""),46093.0)</f>
        <v>46093</v>
      </c>
      <c r="L171" s="74" t="str">
        <f>IFERROR(__xludf.DUMMYFUNCTION("""COMPUTED_VALUE"""),"Thursday")</f>
        <v>Thursday</v>
      </c>
      <c r="M171" s="74" t="str">
        <f>IFERROR(__xludf.DUMMYFUNCTION("""COMPUTED_VALUE"""),"BF")</f>
        <v>BF</v>
      </c>
      <c r="N171" s="114" t="str">
        <f>IFERROR(__xludf.DUMMYFUNCTION("""COMPUTED_VALUE"""),"")</f>
        <v/>
      </c>
      <c r="O171" s="74">
        <f>IFERROR(__xludf.DUMMYFUNCTION("""COMPUTED_VALUE"""),154.0)</f>
        <v>154</v>
      </c>
      <c r="P171" s="74">
        <f>IFERROR(__xludf.DUMMYFUNCTION("""COMPUTED_VALUE"""),710.0)</f>
        <v>710</v>
      </c>
      <c r="Q171" s="82">
        <f>IFERROR(__xludf.DUMMYFUNCTION("""COMPUTED_VALUE"""),0.125)</f>
        <v>0.125</v>
      </c>
      <c r="R171" s="82">
        <f>IFERROR(__xludf.DUMMYFUNCTION("""COMPUTED_VALUE"""),0.4715277777722804)</f>
        <v>0.4715277778</v>
      </c>
      <c r="S171" s="84">
        <f>IFERROR(__xludf.DUMMYFUNCTION("""COMPUTED_VALUE"""),51.31428571394892)</f>
        <v>51.31428571</v>
      </c>
      <c r="T171" s="84">
        <f>IFERROR(__xludf.DUMMYFUNCTION("""COMPUTED_VALUE"""),53.581886490489566)</f>
        <v>53.58188649</v>
      </c>
      <c r="U171" s="74">
        <f>IFERROR(__xludf.DUMMYFUNCTION("""COMPUTED_VALUE"""),864.0)</f>
        <v>864</v>
      </c>
      <c r="V171" s="82">
        <f>IFERROR(__xludf.DUMMYFUNCTION("""COMPUTED_VALUE"""),0.5965277777722804)</f>
        <v>0.5965277778</v>
      </c>
      <c r="W171" s="64">
        <f>IFERROR(__xludf.DUMMYFUNCTION("""COMPUTED_VALUE"""),60.34924330672612)</f>
        <v>60.34924331</v>
      </c>
      <c r="X171" s="84">
        <f>IFERROR(__xludf.DUMMYFUNCTION("""COMPUTED_VALUE"""),52.826019564976015)</f>
        <v>52.82601956</v>
      </c>
      <c r="Y171" s="114">
        <f>IFERROR(__xludf.DUMMYFUNCTION("""COMPUTED_VALUE"""),0.7242236696470262)</f>
        <v>0.7242236696</v>
      </c>
    </row>
    <row r="172">
      <c r="A172" s="109">
        <f>IFERROR(__xludf.DUMMYFUNCTION("""COMPUTED_VALUE"""),46094.37842328704)</f>
        <v>46094.37842</v>
      </c>
      <c r="B172" s="81" t="str">
        <f>IFERROR(__xludf.DUMMYFUNCTION("""COMPUTED_VALUE"""),"Alexis Sylvestre")</f>
        <v>Alexis Sylvestre</v>
      </c>
      <c r="C172" s="74" t="b">
        <f>IFERROR(__xludf.DUMMYFUNCTION("""COMPUTED_VALUE"""),FALSE)</f>
        <v>0</v>
      </c>
      <c r="D172" s="137">
        <f>IFERROR(__xludf.DUMMYFUNCTION("""COMPUTED_VALUE"""),0.34027777778101154)</f>
        <v>0.3402777778</v>
      </c>
      <c r="E172" s="82">
        <f>IFERROR(__xludf.DUMMYFUNCTION("""COMPUTED_VALUE"""),0.03680555555183673)</f>
        <v>0.03680555555</v>
      </c>
      <c r="F172" s="137">
        <f>IFERROR(__xludf.DUMMYFUNCTION("""COMPUTED_VALUE"""),0.37708333333284827)</f>
        <v>0.3770833333</v>
      </c>
      <c r="G172" s="82">
        <f>IFERROR(__xludf.DUMMYFUNCTION("""COMPUTED_VALUE"""),0.03680555555183673)</f>
        <v>0.03680555555</v>
      </c>
      <c r="H172" s="74">
        <f>IFERROR(__xludf.DUMMYFUNCTION("""COMPUTED_VALUE"""),14.0)</f>
        <v>14</v>
      </c>
      <c r="I172" s="84">
        <f>IFERROR(__xludf.DUMMYFUNCTION("""COMPUTED_VALUE"""),15.849056605374969)</f>
        <v>15.84905661</v>
      </c>
      <c r="J172" s="74" t="str">
        <f>IFERROR(__xludf.DUMMYFUNCTION("""COMPUTED_VALUE"""),"Breakfast")</f>
        <v>Breakfast</v>
      </c>
      <c r="K172" s="113">
        <f>IFERROR(__xludf.DUMMYFUNCTION("""COMPUTED_VALUE"""),46094.0)</f>
        <v>46094</v>
      </c>
      <c r="L172" s="74" t="str">
        <f>IFERROR(__xludf.DUMMYFUNCTION("""COMPUTED_VALUE"""),"Friday")</f>
        <v>Friday</v>
      </c>
      <c r="M172" s="74" t="str">
        <f>IFERROR(__xludf.DUMMYFUNCTION("""COMPUTED_VALUE"""),"BF")</f>
        <v>BF</v>
      </c>
      <c r="N172" s="114">
        <f>IFERROR(__xludf.DUMMYFUNCTION("""COMPUTED_VALUE"""),0.5590368111036068)</f>
        <v>0.5590368111</v>
      </c>
      <c r="O172" s="74" t="str">
        <f>IFERROR(__xludf.DUMMYFUNCTION("""COMPUTED_VALUE"""),"")</f>
        <v/>
      </c>
      <c r="P172" s="74" t="str">
        <f>IFERROR(__xludf.DUMMYFUNCTION("""COMPUTED_VALUE"""),"")</f>
        <v/>
      </c>
      <c r="Q172" s="82" t="str">
        <f>IFERROR(__xludf.DUMMYFUNCTION("""COMPUTED_VALUE"""),"")</f>
        <v/>
      </c>
      <c r="R172" s="82" t="str">
        <f>IFERROR(__xludf.DUMMYFUNCTION("""COMPUTED_VALUE"""),"")</f>
        <v/>
      </c>
      <c r="S172" s="84" t="str">
        <f>IFERROR(__xludf.DUMMYFUNCTION("""COMPUTED_VALUE"""),"")</f>
        <v/>
      </c>
      <c r="T172" s="84" t="str">
        <f>IFERROR(__xludf.DUMMYFUNCTION("""COMPUTED_VALUE"""),"")</f>
        <v/>
      </c>
      <c r="U172" s="74" t="str">
        <f>IFERROR(__xludf.DUMMYFUNCTION("""COMPUTED_VALUE"""),"")</f>
        <v/>
      </c>
      <c r="V172" s="82" t="str">
        <f>IFERROR(__xludf.DUMMYFUNCTION("""COMPUTED_VALUE"""),"")</f>
        <v/>
      </c>
      <c r="W172" s="64" t="str">
        <f>IFERROR(__xludf.DUMMYFUNCTION("""COMPUTED_VALUE"""),"")</f>
        <v/>
      </c>
      <c r="X172" s="84" t="str">
        <f>IFERROR(__xludf.DUMMYFUNCTION("""COMPUTED_VALUE"""),"")</f>
        <v/>
      </c>
      <c r="Y172" s="114" t="str">
        <f>IFERROR(__xludf.DUMMYFUNCTION("""COMPUTED_VALUE"""),"")</f>
        <v/>
      </c>
    </row>
    <row r="173">
      <c r="A173" s="109">
        <f>IFERROR(__xludf.DUMMYFUNCTION("""COMPUTED_VALUE"""),46094.43871113426)</f>
        <v>46094.43871</v>
      </c>
      <c r="B173" s="81" t="str">
        <f>IFERROR(__xludf.DUMMYFUNCTION("""COMPUTED_VALUE"""),"Kaylie Forgue")</f>
        <v>Kaylie Forgue</v>
      </c>
      <c r="C173" s="74" t="b">
        <f>IFERROR(__xludf.DUMMYFUNCTION("""COMPUTED_VALUE"""),FALSE)</f>
        <v>0</v>
      </c>
      <c r="D173" s="137">
        <f>IFERROR(__xludf.DUMMYFUNCTION("""COMPUTED_VALUE"""),0.3701388888875954)</f>
        <v>0.3701388889</v>
      </c>
      <c r="E173" s="82">
        <f>IFERROR(__xludf.DUMMYFUNCTION("""COMPUTED_VALUE"""),0.0625)</f>
        <v>0.0625</v>
      </c>
      <c r="F173" s="137">
        <f>IFERROR(__xludf.DUMMYFUNCTION("""COMPUTED_VALUE"""),0.4326388888875954)</f>
        <v>0.4326388889</v>
      </c>
      <c r="G173" s="82">
        <f>IFERROR(__xludf.DUMMYFUNCTION("""COMPUTED_VALUE"""),0.0625)</f>
        <v>0.0625</v>
      </c>
      <c r="H173" s="74">
        <f>IFERROR(__xludf.DUMMYFUNCTION("""COMPUTED_VALUE"""),58.0)</f>
        <v>58</v>
      </c>
      <c r="I173" s="84">
        <f>IFERROR(__xludf.DUMMYFUNCTION("""COMPUTED_VALUE"""),38.666666666666664)</f>
        <v>38.66666667</v>
      </c>
      <c r="J173" s="74" t="str">
        <f>IFERROR(__xludf.DUMMYFUNCTION("""COMPUTED_VALUE"""),"Breakfast")</f>
        <v>Breakfast</v>
      </c>
      <c r="K173" s="113">
        <f>IFERROR(__xludf.DUMMYFUNCTION("""COMPUTED_VALUE"""),46094.0)</f>
        <v>46094</v>
      </c>
      <c r="L173" s="74" t="str">
        <f>IFERROR(__xludf.DUMMYFUNCTION("""COMPUTED_VALUE"""),"Friday")</f>
        <v>Friday</v>
      </c>
      <c r="M173" s="74" t="str">
        <f>IFERROR(__xludf.DUMMYFUNCTION("""COMPUTED_VALUE"""),"BF")</f>
        <v>BF</v>
      </c>
      <c r="N173" s="114">
        <f>IFERROR(__xludf.DUMMYFUNCTION("""COMPUTED_VALUE"""),1.3638723469514704)</f>
        <v>1.363872347</v>
      </c>
      <c r="O173" s="74" t="str">
        <f>IFERROR(__xludf.DUMMYFUNCTION("""COMPUTED_VALUE"""),"")</f>
        <v/>
      </c>
      <c r="P173" s="74" t="str">
        <f>IFERROR(__xludf.DUMMYFUNCTION("""COMPUTED_VALUE"""),"")</f>
        <v/>
      </c>
      <c r="Q173" s="82" t="str">
        <f>IFERROR(__xludf.DUMMYFUNCTION("""COMPUTED_VALUE"""),"")</f>
        <v/>
      </c>
      <c r="R173" s="82" t="str">
        <f>IFERROR(__xludf.DUMMYFUNCTION("""COMPUTED_VALUE"""),"")</f>
        <v/>
      </c>
      <c r="S173" s="84" t="str">
        <f>IFERROR(__xludf.DUMMYFUNCTION("""COMPUTED_VALUE"""),"")</f>
        <v/>
      </c>
      <c r="T173" s="84" t="str">
        <f>IFERROR(__xludf.DUMMYFUNCTION("""COMPUTED_VALUE"""),"")</f>
        <v/>
      </c>
      <c r="U173" s="74" t="str">
        <f>IFERROR(__xludf.DUMMYFUNCTION("""COMPUTED_VALUE"""),"")</f>
        <v/>
      </c>
      <c r="V173" s="82" t="str">
        <f>IFERROR(__xludf.DUMMYFUNCTION("""COMPUTED_VALUE"""),"")</f>
        <v/>
      </c>
      <c r="W173" s="64" t="str">
        <f>IFERROR(__xludf.DUMMYFUNCTION("""COMPUTED_VALUE"""),"")</f>
        <v/>
      </c>
      <c r="X173" s="84" t="str">
        <f>IFERROR(__xludf.DUMMYFUNCTION("""COMPUTED_VALUE"""),"")</f>
        <v/>
      </c>
      <c r="Y173" s="114" t="str">
        <f>IFERROR(__xludf.DUMMYFUNCTION("""COMPUTED_VALUE"""),"")</f>
        <v/>
      </c>
    </row>
    <row r="174">
      <c r="A174" s="109">
        <f>IFERROR(__xludf.DUMMYFUNCTION("""COMPUTED_VALUE"""),46094.750007546296)</f>
        <v>46094.75001</v>
      </c>
      <c r="B174" s="81" t="str">
        <f>IFERROR(__xludf.DUMMYFUNCTION("""COMPUTED_VALUE"""),"Leah Bucci")</f>
        <v>Leah Bucci</v>
      </c>
      <c r="C174" s="74" t="b">
        <f>IFERROR(__xludf.DUMMYFUNCTION("""COMPUTED_VALUE"""),FALSE)</f>
        <v>0</v>
      </c>
      <c r="D174" s="137">
        <f>IFERROR(__xludf.DUMMYFUNCTION("""COMPUTED_VALUE"""),0.6666666666642413)</f>
        <v>0.6666666667</v>
      </c>
      <c r="E174" s="82">
        <f>IFERROR(__xludf.DUMMYFUNCTION("""COMPUTED_VALUE"""),0.08333333333575865)</f>
        <v>0.08333333334</v>
      </c>
      <c r="F174" s="137">
        <f>IFERROR(__xludf.DUMMYFUNCTION("""COMPUTED_VALUE"""),0.75)</f>
        <v>0.75</v>
      </c>
      <c r="G174" s="82">
        <f>IFERROR(__xludf.DUMMYFUNCTION("""COMPUTED_VALUE"""),0.08333333333575865)</f>
        <v>0.08333333334</v>
      </c>
      <c r="H174" s="74">
        <f>IFERROR(__xludf.DUMMYFUNCTION("""COMPUTED_VALUE"""),63.0)</f>
        <v>63</v>
      </c>
      <c r="I174" s="84">
        <f>IFERROR(__xludf.DUMMYFUNCTION("""COMPUTED_VALUE"""),31.49999999908323)</f>
        <v>31.5</v>
      </c>
      <c r="J174" s="74" t="str">
        <f>IFERROR(__xludf.DUMMYFUNCTION("""COMPUTED_VALUE"""),"Dinner")</f>
        <v>Dinner</v>
      </c>
      <c r="K174" s="113">
        <f>IFERROR(__xludf.DUMMYFUNCTION("""COMPUTED_VALUE"""),46094.0)</f>
        <v>46094</v>
      </c>
      <c r="L174" s="74" t="str">
        <f>IFERROR(__xludf.DUMMYFUNCTION("""COMPUTED_VALUE"""),"Friday")</f>
        <v>Friday</v>
      </c>
      <c r="M174" s="74" t="str">
        <f>IFERROR(__xludf.DUMMYFUNCTION("""COMPUTED_VALUE"""),"MF")</f>
        <v>MF</v>
      </c>
      <c r="N174" s="114">
        <f>IFERROR(__xludf.DUMMYFUNCTION("""COMPUTED_VALUE"""),0.6791767443339531)</f>
        <v>0.6791767443</v>
      </c>
      <c r="O174" s="74">
        <f>IFERROR(__xludf.DUMMYFUNCTION("""COMPUTED_VALUE"""),63.0)</f>
        <v>63</v>
      </c>
      <c r="P174" s="74">
        <f>IFERROR(__xludf.DUMMYFUNCTION("""COMPUTED_VALUE"""),72.0)</f>
        <v>72</v>
      </c>
      <c r="Q174" s="82">
        <f>IFERROR(__xludf.DUMMYFUNCTION("""COMPUTED_VALUE"""),0.08333333333575865)</f>
        <v>0.08333333334</v>
      </c>
      <c r="R174" s="82">
        <f>IFERROR(__xludf.DUMMYFUNCTION("""COMPUTED_VALUE"""),0.09930555555183673)</f>
        <v>0.09930555555</v>
      </c>
      <c r="S174" s="84">
        <f>IFERROR(__xludf.DUMMYFUNCTION("""COMPUTED_VALUE"""),31.49999999908323)</f>
        <v>31.5</v>
      </c>
      <c r="T174" s="84">
        <f>IFERROR(__xludf.DUMMYFUNCTION("""COMPUTED_VALUE"""),27.257861636020817)</f>
        <v>27.25786164</v>
      </c>
      <c r="U174" s="74">
        <f>IFERROR(__xludf.DUMMYFUNCTION("""COMPUTED_VALUE"""),135.0)</f>
        <v>135</v>
      </c>
      <c r="V174" s="82">
        <f>IFERROR(__xludf.DUMMYFUNCTION("""COMPUTED_VALUE"""),0.18263888888759539)</f>
        <v>0.1826388889</v>
      </c>
      <c r="W174" s="64">
        <f>IFERROR(__xludf.DUMMYFUNCTION("""COMPUTED_VALUE"""),30.798479087670596)</f>
        <v>30.79847909</v>
      </c>
      <c r="X174" s="84">
        <f>IFERROR(__xludf.DUMMYFUNCTION("""COMPUTED_VALUE"""),28.671907757041623)</f>
        <v>28.67190776</v>
      </c>
      <c r="Y174" s="114">
        <f>IFERROR(__xludf.DUMMYFUNCTION("""COMPUTED_VALUE"""),0.7388784902145602)</f>
        <v>0.7388784902</v>
      </c>
    </row>
    <row r="175">
      <c r="A175" s="109">
        <f>IFERROR(__xludf.DUMMYFUNCTION("""COMPUTED_VALUE"""),46104.435831689814)</f>
        <v>46104.43583</v>
      </c>
      <c r="B175" s="81" t="str">
        <f>IFERROR(__xludf.DUMMYFUNCTION("""COMPUTED_VALUE"""),"Sophia Kluck")</f>
        <v>Sophia Kluck</v>
      </c>
      <c r="C175" s="74" t="b">
        <f>IFERROR(__xludf.DUMMYFUNCTION("""COMPUTED_VALUE"""),FALSE)</f>
        <v>0</v>
      </c>
      <c r="D175" s="137">
        <f>IFERROR(__xludf.DUMMYFUNCTION("""COMPUTED_VALUE"""),0.3680555555547471)</f>
        <v>0.3680555556</v>
      </c>
      <c r="E175" s="82">
        <f>IFERROR(__xludf.DUMMYFUNCTION("""COMPUTED_VALUE"""),0.06458333333284827)</f>
        <v>0.06458333333</v>
      </c>
      <c r="F175" s="137">
        <f>IFERROR(__xludf.DUMMYFUNCTION("""COMPUTED_VALUE"""),0.4326388888875954)</f>
        <v>0.4326388889</v>
      </c>
      <c r="G175" s="82">
        <f>IFERROR(__xludf.DUMMYFUNCTION("""COMPUTED_VALUE"""),0.06458333333284827)</f>
        <v>0.06458333333</v>
      </c>
      <c r="H175" s="74">
        <f>IFERROR(__xludf.DUMMYFUNCTION("""COMPUTED_VALUE"""),43.0)</f>
        <v>43</v>
      </c>
      <c r="I175" s="84">
        <f>IFERROR(__xludf.DUMMYFUNCTION("""COMPUTED_VALUE"""),27.741935484079328)</f>
        <v>27.74193548</v>
      </c>
      <c r="J175" s="74" t="str">
        <f>IFERROR(__xludf.DUMMYFUNCTION("""COMPUTED_VALUE"""),"Breakfast")</f>
        <v>Breakfast</v>
      </c>
      <c r="K175" s="113">
        <f>IFERROR(__xludf.DUMMYFUNCTION("""COMPUTED_VALUE"""),46104.0)</f>
        <v>46104</v>
      </c>
      <c r="L175" s="74" t="str">
        <f>IFERROR(__xludf.DUMMYFUNCTION("""COMPUTED_VALUE"""),"Monday")</f>
        <v>Monday</v>
      </c>
      <c r="M175" s="74" t="str">
        <f>IFERROR(__xludf.DUMMYFUNCTION("""COMPUTED_VALUE"""),"BF")</f>
        <v>BF</v>
      </c>
      <c r="N175" s="114">
        <f>IFERROR(__xludf.DUMMYFUNCTION("""COMPUTED_VALUE"""),0.9785291032150228)</f>
        <v>0.9785291032</v>
      </c>
      <c r="O175" s="74" t="str">
        <f>IFERROR(__xludf.DUMMYFUNCTION("""COMPUTED_VALUE"""),"")</f>
        <v/>
      </c>
      <c r="P175" s="74" t="str">
        <f>IFERROR(__xludf.DUMMYFUNCTION("""COMPUTED_VALUE"""),"")</f>
        <v/>
      </c>
      <c r="Q175" s="82" t="str">
        <f>IFERROR(__xludf.DUMMYFUNCTION("""COMPUTED_VALUE"""),"")</f>
        <v/>
      </c>
      <c r="R175" s="82" t="str">
        <f>IFERROR(__xludf.DUMMYFUNCTION("""COMPUTED_VALUE"""),"")</f>
        <v/>
      </c>
      <c r="S175" s="84" t="str">
        <f>IFERROR(__xludf.DUMMYFUNCTION("""COMPUTED_VALUE"""),"")</f>
        <v/>
      </c>
      <c r="T175" s="84" t="str">
        <f>IFERROR(__xludf.DUMMYFUNCTION("""COMPUTED_VALUE"""),"")</f>
        <v/>
      </c>
      <c r="U175" s="74" t="str">
        <f>IFERROR(__xludf.DUMMYFUNCTION("""COMPUTED_VALUE"""),"")</f>
        <v/>
      </c>
      <c r="V175" s="82" t="str">
        <f>IFERROR(__xludf.DUMMYFUNCTION("""COMPUTED_VALUE"""),"")</f>
        <v/>
      </c>
      <c r="W175" s="64" t="str">
        <f>IFERROR(__xludf.DUMMYFUNCTION("""COMPUTED_VALUE"""),"")</f>
        <v/>
      </c>
      <c r="X175" s="84" t="str">
        <f>IFERROR(__xludf.DUMMYFUNCTION("""COMPUTED_VALUE"""),"")</f>
        <v/>
      </c>
      <c r="Y175" s="114" t="str">
        <f>IFERROR(__xludf.DUMMYFUNCTION("""COMPUTED_VALUE"""),"")</f>
        <v/>
      </c>
    </row>
    <row r="176">
      <c r="A176" s="109">
        <f>IFERROR(__xludf.DUMMYFUNCTION("""COMPUTED_VALUE"""),46104.64171866898)</f>
        <v>46104.64172</v>
      </c>
      <c r="B176" s="81" t="str">
        <f>IFERROR(__xludf.DUMMYFUNCTION("""COMPUTED_VALUE"""),"Brynn Hornig")</f>
        <v>Brynn Hornig</v>
      </c>
      <c r="C176" s="74" t="b">
        <f>IFERROR(__xludf.DUMMYFUNCTION("""COMPUTED_VALUE"""),FALSE)</f>
        <v>0</v>
      </c>
      <c r="D176" s="137">
        <f>IFERROR(__xludf.DUMMYFUNCTION("""COMPUTED_VALUE"""),0.5208333333357587)</f>
        <v>0.5208333333</v>
      </c>
      <c r="E176" s="82">
        <f>IFERROR(__xludf.DUMMYFUNCTION("""COMPUTED_VALUE"""),0.125)</f>
        <v>0.125</v>
      </c>
      <c r="F176" s="137">
        <f>IFERROR(__xludf.DUMMYFUNCTION("""COMPUTED_VALUE"""),0.6458333333357587)</f>
        <v>0.6458333333</v>
      </c>
      <c r="G176" s="82">
        <f>IFERROR(__xludf.DUMMYFUNCTION("""COMPUTED_VALUE"""),0.125)</f>
        <v>0.125</v>
      </c>
      <c r="H176" s="74">
        <f>IFERROR(__xludf.DUMMYFUNCTION("""COMPUTED_VALUE"""),135.0)</f>
        <v>135</v>
      </c>
      <c r="I176" s="84">
        <f>IFERROR(__xludf.DUMMYFUNCTION("""COMPUTED_VALUE"""),45.0)</f>
        <v>45</v>
      </c>
      <c r="J176" s="74" t="str">
        <f>IFERROR(__xludf.DUMMYFUNCTION("""COMPUTED_VALUE"""),"Lunch")</f>
        <v>Lunch</v>
      </c>
      <c r="K176" s="113">
        <f>IFERROR(__xludf.DUMMYFUNCTION("""COMPUTED_VALUE"""),46104.0)</f>
        <v>46104</v>
      </c>
      <c r="L176" s="74" t="str">
        <f>IFERROR(__xludf.DUMMYFUNCTION("""COMPUTED_VALUE"""),"Monday")</f>
        <v>Monday</v>
      </c>
      <c r="M176" s="74" t="str">
        <f>IFERROR(__xludf.DUMMYFUNCTION("""COMPUTED_VALUE"""),"BF")</f>
        <v>BF</v>
      </c>
      <c r="N176" s="114">
        <f>IFERROR(__xludf.DUMMYFUNCTION("""COMPUTED_VALUE"""),1.5872652313659354)</f>
        <v>1.587265231</v>
      </c>
      <c r="O176" s="74" t="str">
        <f>IFERROR(__xludf.DUMMYFUNCTION("""COMPUTED_VALUE"""),"")</f>
        <v/>
      </c>
      <c r="P176" s="74" t="str">
        <f>IFERROR(__xludf.DUMMYFUNCTION("""COMPUTED_VALUE"""),"")</f>
        <v/>
      </c>
      <c r="Q176" s="82" t="str">
        <f>IFERROR(__xludf.DUMMYFUNCTION("""COMPUTED_VALUE"""),"")</f>
        <v/>
      </c>
      <c r="R176" s="82" t="str">
        <f>IFERROR(__xludf.DUMMYFUNCTION("""COMPUTED_VALUE"""),"")</f>
        <v/>
      </c>
      <c r="S176" s="84" t="str">
        <f>IFERROR(__xludf.DUMMYFUNCTION("""COMPUTED_VALUE"""),"")</f>
        <v/>
      </c>
      <c r="T176" s="84" t="str">
        <f>IFERROR(__xludf.DUMMYFUNCTION("""COMPUTED_VALUE"""),"")</f>
        <v/>
      </c>
      <c r="U176" s="74" t="str">
        <f>IFERROR(__xludf.DUMMYFUNCTION("""COMPUTED_VALUE"""),"")</f>
        <v/>
      </c>
      <c r="V176" s="82" t="str">
        <f>IFERROR(__xludf.DUMMYFUNCTION("""COMPUTED_VALUE"""),"")</f>
        <v/>
      </c>
      <c r="W176" s="64" t="str">
        <f>IFERROR(__xludf.DUMMYFUNCTION("""COMPUTED_VALUE"""),"")</f>
        <v/>
      </c>
      <c r="X176" s="84" t="str">
        <f>IFERROR(__xludf.DUMMYFUNCTION("""COMPUTED_VALUE"""),"")</f>
        <v/>
      </c>
      <c r="Y176" s="114" t="str">
        <f>IFERROR(__xludf.DUMMYFUNCTION("""COMPUTED_VALUE"""),"")</f>
        <v/>
      </c>
    </row>
    <row r="177">
      <c r="A177" s="109">
        <f>IFERROR(__xludf.DUMMYFUNCTION("""COMPUTED_VALUE"""),46104.746832696765)</f>
        <v>46104.74683</v>
      </c>
      <c r="B177" s="81" t="str">
        <f>IFERROR(__xludf.DUMMYFUNCTION("""COMPUTED_VALUE"""),"Orpheus Wilson")</f>
        <v>Orpheus Wilson</v>
      </c>
      <c r="C177" s="74" t="b">
        <f>IFERROR(__xludf.DUMMYFUNCTION("""COMPUTED_VALUE"""),FALSE)</f>
        <v>0</v>
      </c>
      <c r="D177" s="137">
        <f>IFERROR(__xludf.DUMMYFUNCTION("""COMPUTED_VALUE"""),0.6687499999970896)</f>
        <v>0.66875</v>
      </c>
      <c r="E177" s="82">
        <f>IFERROR(__xludf.DUMMYFUNCTION("""COMPUTED_VALUE"""),0.07777777778392192)</f>
        <v>0.07777777778</v>
      </c>
      <c r="F177" s="137">
        <f>IFERROR(__xludf.DUMMYFUNCTION("""COMPUTED_VALUE"""),0.7465277777810115)</f>
        <v>0.7465277778</v>
      </c>
      <c r="G177" s="82">
        <f>IFERROR(__xludf.DUMMYFUNCTION("""COMPUTED_VALUE"""),0.07777777778392192)</f>
        <v>0.07777777778</v>
      </c>
      <c r="H177" s="74">
        <f>IFERROR(__xludf.DUMMYFUNCTION("""COMPUTED_VALUE"""),98.0)</f>
        <v>98</v>
      </c>
      <c r="I177" s="84">
        <f>IFERROR(__xludf.DUMMYFUNCTION("""COMPUTED_VALUE"""),52.499999995852704)</f>
        <v>52.5</v>
      </c>
      <c r="J177" s="74" t="str">
        <f>IFERROR(__xludf.DUMMYFUNCTION("""COMPUTED_VALUE"""),"Dinner")</f>
        <v>Dinner</v>
      </c>
      <c r="K177" s="113">
        <f>IFERROR(__xludf.DUMMYFUNCTION("""COMPUTED_VALUE"""),46104.0)</f>
        <v>46104</v>
      </c>
      <c r="L177" s="74" t="str">
        <f>IFERROR(__xludf.DUMMYFUNCTION("""COMPUTED_VALUE"""),"Monday")</f>
        <v>Monday</v>
      </c>
      <c r="M177" s="74" t="str">
        <f>IFERROR(__xludf.DUMMYFUNCTION("""COMPUTED_VALUE"""),"MF")</f>
        <v>MF</v>
      </c>
      <c r="N177" s="114">
        <f>IFERROR(__xludf.DUMMYFUNCTION("""COMPUTED_VALUE"""),1.1319612405001125)</f>
        <v>1.131961241</v>
      </c>
      <c r="O177" s="74" t="str">
        <f>IFERROR(__xludf.DUMMYFUNCTION("""COMPUTED_VALUE"""),"")</f>
        <v/>
      </c>
      <c r="P177" s="74" t="str">
        <f>IFERROR(__xludf.DUMMYFUNCTION("""COMPUTED_VALUE"""),"")</f>
        <v/>
      </c>
      <c r="Q177" s="82" t="str">
        <f>IFERROR(__xludf.DUMMYFUNCTION("""COMPUTED_VALUE"""),"")</f>
        <v/>
      </c>
      <c r="R177" s="82" t="str">
        <f>IFERROR(__xludf.DUMMYFUNCTION("""COMPUTED_VALUE"""),"")</f>
        <v/>
      </c>
      <c r="S177" s="84" t="str">
        <f>IFERROR(__xludf.DUMMYFUNCTION("""COMPUTED_VALUE"""),"")</f>
        <v/>
      </c>
      <c r="T177" s="84" t="str">
        <f>IFERROR(__xludf.DUMMYFUNCTION("""COMPUTED_VALUE"""),"")</f>
        <v/>
      </c>
      <c r="U177" s="74" t="str">
        <f>IFERROR(__xludf.DUMMYFUNCTION("""COMPUTED_VALUE"""),"")</f>
        <v/>
      </c>
      <c r="V177" s="82" t="str">
        <f>IFERROR(__xludf.DUMMYFUNCTION("""COMPUTED_VALUE"""),"")</f>
        <v/>
      </c>
      <c r="W177" s="64" t="str">
        <f>IFERROR(__xludf.DUMMYFUNCTION("""COMPUTED_VALUE"""),"")</f>
        <v/>
      </c>
      <c r="X177" s="84" t="str">
        <f>IFERROR(__xludf.DUMMYFUNCTION("""COMPUTED_VALUE"""),"")</f>
        <v/>
      </c>
      <c r="Y177" s="114" t="str">
        <f>IFERROR(__xludf.DUMMYFUNCTION("""COMPUTED_VALUE"""),"")</f>
        <v/>
      </c>
    </row>
    <row r="178">
      <c r="A178" s="109">
        <f>IFERROR(__xludf.DUMMYFUNCTION("""COMPUTED_VALUE"""),46104.866352060184)</f>
        <v>46104.86635</v>
      </c>
      <c r="B178" s="81" t="str">
        <f>IFERROR(__xludf.DUMMYFUNCTION("""COMPUTED_VALUE"""),"Maureen Surgot")</f>
        <v>Maureen Surgot</v>
      </c>
      <c r="C178" s="74" t="b">
        <f>IFERROR(__xludf.DUMMYFUNCTION("""COMPUTED_VALUE"""),FALSE)</f>
        <v>0</v>
      </c>
      <c r="D178" s="137">
        <f>IFERROR(__xludf.DUMMYFUNCTION("""COMPUTED_VALUE"""),0.75)</f>
        <v>0.75</v>
      </c>
      <c r="E178" s="82">
        <f>IFERROR(__xludf.DUMMYFUNCTION("""COMPUTED_VALUE"""),0.125)</f>
        <v>0.125</v>
      </c>
      <c r="F178" s="137">
        <f>IFERROR(__xludf.DUMMYFUNCTION("""COMPUTED_VALUE"""),0.875)</f>
        <v>0.875</v>
      </c>
      <c r="G178" s="82">
        <f>IFERROR(__xludf.DUMMYFUNCTION("""COMPUTED_VALUE"""),0.125)</f>
        <v>0.125</v>
      </c>
      <c r="H178" s="74">
        <f>IFERROR(__xludf.DUMMYFUNCTION("""COMPUTED_VALUE"""),201.0)</f>
        <v>201</v>
      </c>
      <c r="I178" s="84">
        <f>IFERROR(__xludf.DUMMYFUNCTION("""COMPUTED_VALUE"""),67.0)</f>
        <v>67</v>
      </c>
      <c r="J178" s="74" t="str">
        <f>IFERROR(__xludf.DUMMYFUNCTION("""COMPUTED_VALUE"""),"Dinner")</f>
        <v>Dinner</v>
      </c>
      <c r="K178" s="113">
        <f>IFERROR(__xludf.DUMMYFUNCTION("""COMPUTED_VALUE"""),46104.0)</f>
        <v>46104</v>
      </c>
      <c r="L178" s="74" t="str">
        <f>IFERROR(__xludf.DUMMYFUNCTION("""COMPUTED_VALUE"""),"Monday")</f>
        <v>Monday</v>
      </c>
      <c r="M178" s="74" t="str">
        <f>IFERROR(__xludf.DUMMYFUNCTION("""COMPUTED_VALUE"""),"MF")</f>
        <v>MF</v>
      </c>
      <c r="N178" s="114">
        <f>IFERROR(__xludf.DUMMYFUNCTION("""COMPUTED_VALUE"""),1.4445981546571183)</f>
        <v>1.444598155</v>
      </c>
      <c r="O178" s="74">
        <f>IFERROR(__xludf.DUMMYFUNCTION("""COMPUTED_VALUE"""),299.0)</f>
        <v>299</v>
      </c>
      <c r="P178" s="74">
        <f>IFERROR(__xludf.DUMMYFUNCTION("""COMPUTED_VALUE"""),178.0)</f>
        <v>178</v>
      </c>
      <c r="Q178" s="82">
        <f>IFERROR(__xludf.DUMMYFUNCTION("""COMPUTED_VALUE"""),0.20277777778392192)</f>
        <v>0.2027777778</v>
      </c>
      <c r="R178" s="82">
        <f>IFERROR(__xludf.DUMMYFUNCTION("""COMPUTED_VALUE"""),0.18958333333284827)</f>
        <v>0.1895833333</v>
      </c>
      <c r="S178" s="84">
        <f>IFERROR(__xludf.DUMMYFUNCTION("""COMPUTED_VALUE"""),59.74999999792635)</f>
        <v>59.75</v>
      </c>
      <c r="T178" s="84">
        <f>IFERROR(__xludf.DUMMYFUNCTION("""COMPUTED_VALUE"""),36.37096774203967)</f>
        <v>36.37096774</v>
      </c>
      <c r="U178" s="74">
        <f>IFERROR(__xludf.DUMMYFUNCTION("""COMPUTED_VALUE"""),477.0)</f>
        <v>477</v>
      </c>
      <c r="V178" s="82">
        <f>IFERROR(__xludf.DUMMYFUNCTION("""COMPUTED_VALUE"""),0.3923611111167702)</f>
        <v>0.3923611111</v>
      </c>
      <c r="W178" s="64">
        <f>IFERROR(__xludf.DUMMYFUNCTION("""COMPUTED_VALUE"""),50.65486725590657)</f>
        <v>50.65486726</v>
      </c>
      <c r="X178" s="84">
        <f>IFERROR(__xludf.DUMMYFUNCTION("""COMPUTED_VALUE"""),48.06048386998301)</f>
        <v>48.06048387</v>
      </c>
      <c r="Y178" s="114">
        <f>IFERROR(__xludf.DUMMYFUNCTION("""COMPUTED_VALUE"""),0.9672906955779489)</f>
        <v>0.9672906956</v>
      </c>
    </row>
    <row r="179">
      <c r="A179" s="109">
        <f>IFERROR(__xludf.DUMMYFUNCTION("""COMPUTED_VALUE"""),46105.55902210648)</f>
        <v>46105.55902</v>
      </c>
      <c r="B179" s="81" t="str">
        <f>IFERROR(__xludf.DUMMYFUNCTION("""COMPUTED_VALUE"""),"Kyra Turner")</f>
        <v>Kyra Turner</v>
      </c>
      <c r="C179" s="74" t="b">
        <f>IFERROR(__xludf.DUMMYFUNCTION("""COMPUTED_VALUE"""),FALSE)</f>
        <v>0</v>
      </c>
      <c r="D179" s="137">
        <f>IFERROR(__xludf.DUMMYFUNCTION("""COMPUTED_VALUE"""),0.4868055555562023)</f>
        <v>0.4868055556</v>
      </c>
      <c r="E179" s="82">
        <f>IFERROR(__xludf.DUMMYFUNCTION("""COMPUTED_VALUE"""),0.070138888884685)</f>
        <v>0.07013888888</v>
      </c>
      <c r="F179" s="137">
        <f>IFERROR(__xludf.DUMMYFUNCTION("""COMPUTED_VALUE"""),0.5569444444408873)</f>
        <v>0.5569444444</v>
      </c>
      <c r="G179" s="82">
        <f>IFERROR(__xludf.DUMMYFUNCTION("""COMPUTED_VALUE"""),0.070138888884685)</f>
        <v>0.07013888888</v>
      </c>
      <c r="H179" s="74">
        <f>IFERROR(__xludf.DUMMYFUNCTION("""COMPUTED_VALUE"""),203.0)</f>
        <v>203</v>
      </c>
      <c r="I179" s="84">
        <f>IFERROR(__xludf.DUMMYFUNCTION("""COMPUTED_VALUE"""),120.5940594131686)</f>
        <v>120.5940594</v>
      </c>
      <c r="J179" s="74" t="str">
        <f>IFERROR(__xludf.DUMMYFUNCTION("""COMPUTED_VALUE"""),"Lunch")</f>
        <v>Lunch</v>
      </c>
      <c r="K179" s="113">
        <f>IFERROR(__xludf.DUMMYFUNCTION("""COMPUTED_VALUE"""),46105.0)</f>
        <v>46105</v>
      </c>
      <c r="L179" s="74" t="str">
        <f>IFERROR(__xludf.DUMMYFUNCTION("""COMPUTED_VALUE"""),"Tuesday")</f>
        <v>Tuesday</v>
      </c>
      <c r="M179" s="74" t="str">
        <f>IFERROR(__xludf.DUMMYFUNCTION("""COMPUTED_VALUE"""),"MF")</f>
        <v>MF</v>
      </c>
      <c r="N179" s="114">
        <f>IFERROR(__xludf.DUMMYFUNCTION("""COMPUTED_VALUE"""),2.398569399029742)</f>
        <v>2.398569399</v>
      </c>
      <c r="O179" s="74" t="str">
        <f>IFERROR(__xludf.DUMMYFUNCTION("""COMPUTED_VALUE"""),"")</f>
        <v/>
      </c>
      <c r="P179" s="74" t="str">
        <f>IFERROR(__xludf.DUMMYFUNCTION("""COMPUTED_VALUE"""),"")</f>
        <v/>
      </c>
      <c r="Q179" s="82" t="str">
        <f>IFERROR(__xludf.DUMMYFUNCTION("""COMPUTED_VALUE"""),"")</f>
        <v/>
      </c>
      <c r="R179" s="82" t="str">
        <f>IFERROR(__xludf.DUMMYFUNCTION("""COMPUTED_VALUE"""),"")</f>
        <v/>
      </c>
      <c r="S179" s="84" t="str">
        <f>IFERROR(__xludf.DUMMYFUNCTION("""COMPUTED_VALUE"""),"")</f>
        <v/>
      </c>
      <c r="T179" s="84" t="str">
        <f>IFERROR(__xludf.DUMMYFUNCTION("""COMPUTED_VALUE"""),"")</f>
        <v/>
      </c>
      <c r="U179" s="74" t="str">
        <f>IFERROR(__xludf.DUMMYFUNCTION("""COMPUTED_VALUE"""),"")</f>
        <v/>
      </c>
      <c r="V179" s="82" t="str">
        <f>IFERROR(__xludf.DUMMYFUNCTION("""COMPUTED_VALUE"""),"")</f>
        <v/>
      </c>
      <c r="W179" s="64" t="str">
        <f>IFERROR(__xludf.DUMMYFUNCTION("""COMPUTED_VALUE"""),"")</f>
        <v/>
      </c>
      <c r="X179" s="84" t="str">
        <f>IFERROR(__xludf.DUMMYFUNCTION("""COMPUTED_VALUE"""),"")</f>
        <v/>
      </c>
      <c r="Y179" s="114" t="str">
        <f>IFERROR(__xludf.DUMMYFUNCTION("""COMPUTED_VALUE"""),"")</f>
        <v/>
      </c>
    </row>
    <row r="180">
      <c r="A180" s="109">
        <f>IFERROR(__xludf.DUMMYFUNCTION("""COMPUTED_VALUE"""),46105.57778489584)</f>
        <v>46105.57778</v>
      </c>
      <c r="B180" s="81" t="str">
        <f>IFERROR(__xludf.DUMMYFUNCTION("""COMPUTED_VALUE"""),"Kaylie Forgue")</f>
        <v>Kaylie Forgue</v>
      </c>
      <c r="C180" s="74" t="b">
        <f>IFERROR(__xludf.DUMMYFUNCTION("""COMPUTED_VALUE"""),FALSE)</f>
        <v>0</v>
      </c>
      <c r="D180" s="137">
        <f>IFERROR(__xludf.DUMMYFUNCTION("""COMPUTED_VALUE"""),0.4458333333313931)</f>
        <v>0.4458333333</v>
      </c>
      <c r="E180" s="82">
        <f>IFERROR(__xludf.DUMMYFUNCTION("""COMPUTED_VALUE"""),0.07152777777810115)</f>
        <v>0.07152777778</v>
      </c>
      <c r="F180" s="137">
        <f>IFERROR(__xludf.DUMMYFUNCTION("""COMPUTED_VALUE"""),0.5173611111094942)</f>
        <v>0.5173611111</v>
      </c>
      <c r="G180" s="82">
        <f>IFERROR(__xludf.DUMMYFUNCTION("""COMPUTED_VALUE"""),0.07152777777810115)</f>
        <v>0.07152777778</v>
      </c>
      <c r="H180" s="74">
        <f>IFERROR(__xludf.DUMMYFUNCTION("""COMPUTED_VALUE"""),110.0)</f>
        <v>110</v>
      </c>
      <c r="I180" s="84">
        <f>IFERROR(__xludf.DUMMYFUNCTION("""COMPUTED_VALUE"""),64.07766990262293)</f>
        <v>64.0776699</v>
      </c>
      <c r="J180" s="74" t="str">
        <f>IFERROR(__xludf.DUMMYFUNCTION("""COMPUTED_VALUE"""),"Breakfast/Lunch")</f>
        <v>Breakfast/Lunch</v>
      </c>
      <c r="K180" s="113">
        <f>IFERROR(__xludf.DUMMYFUNCTION("""COMPUTED_VALUE"""),46105.0)</f>
        <v>46105</v>
      </c>
      <c r="L180" s="74" t="str">
        <f>IFERROR(__xludf.DUMMYFUNCTION("""COMPUTED_VALUE"""),"Tuesday")</f>
        <v>Tuesday</v>
      </c>
      <c r="M180" s="74" t="str">
        <f>IFERROR(__xludf.DUMMYFUNCTION("""COMPUTED_VALUE"""),"BF")</f>
        <v>BF</v>
      </c>
      <c r="N180" s="114">
        <f>IFERROR(__xludf.DUMMYFUNCTION("""COMPUTED_VALUE"""),2.05221086802204)</f>
        <v>2.052210868</v>
      </c>
      <c r="O180" s="74" t="str">
        <f>IFERROR(__xludf.DUMMYFUNCTION("""COMPUTED_VALUE"""),"")</f>
        <v/>
      </c>
      <c r="P180" s="74" t="str">
        <f>IFERROR(__xludf.DUMMYFUNCTION("""COMPUTED_VALUE"""),"")</f>
        <v/>
      </c>
      <c r="Q180" s="82" t="str">
        <f>IFERROR(__xludf.DUMMYFUNCTION("""COMPUTED_VALUE"""),"")</f>
        <v/>
      </c>
      <c r="R180" s="82" t="str">
        <f>IFERROR(__xludf.DUMMYFUNCTION("""COMPUTED_VALUE"""),"")</f>
        <v/>
      </c>
      <c r="S180" s="84" t="str">
        <f>IFERROR(__xludf.DUMMYFUNCTION("""COMPUTED_VALUE"""),"")</f>
        <v/>
      </c>
      <c r="T180" s="84" t="str">
        <f>IFERROR(__xludf.DUMMYFUNCTION("""COMPUTED_VALUE"""),"")</f>
        <v/>
      </c>
      <c r="U180" s="74" t="str">
        <f>IFERROR(__xludf.DUMMYFUNCTION("""COMPUTED_VALUE"""),"")</f>
        <v/>
      </c>
      <c r="V180" s="82" t="str">
        <f>IFERROR(__xludf.DUMMYFUNCTION("""COMPUTED_VALUE"""),"")</f>
        <v/>
      </c>
      <c r="W180" s="64" t="str">
        <f>IFERROR(__xludf.DUMMYFUNCTION("""COMPUTED_VALUE"""),"")</f>
        <v/>
      </c>
      <c r="X180" s="84" t="str">
        <f>IFERROR(__xludf.DUMMYFUNCTION("""COMPUTED_VALUE"""),"")</f>
        <v/>
      </c>
      <c r="Y180" s="114" t="str">
        <f>IFERROR(__xludf.DUMMYFUNCTION("""COMPUTED_VALUE"""),"")</f>
        <v/>
      </c>
    </row>
    <row r="181">
      <c r="A181" s="109">
        <f>IFERROR(__xludf.DUMMYFUNCTION("""COMPUTED_VALUE"""),46105.610018946754)</f>
        <v>46105.61002</v>
      </c>
      <c r="B181" s="81" t="str">
        <f>IFERROR(__xludf.DUMMYFUNCTION("""COMPUTED_VALUE"""),"Kyra Turner")</f>
        <v>Kyra Turner</v>
      </c>
      <c r="C181" s="74" t="b">
        <f>IFERROR(__xludf.DUMMYFUNCTION("""COMPUTED_VALUE"""),FALSE)</f>
        <v>0</v>
      </c>
      <c r="D181" s="137">
        <f>IFERROR(__xludf.DUMMYFUNCTION("""COMPUTED_VALUE"""),0.5625)</f>
        <v>0.5625</v>
      </c>
      <c r="E181" s="82">
        <f>IFERROR(__xludf.DUMMYFUNCTION("""COMPUTED_VALUE"""),0.04513888889050577)</f>
        <v>0.04513888889</v>
      </c>
      <c r="F181" s="137">
        <f>IFERROR(__xludf.DUMMYFUNCTION("""COMPUTED_VALUE"""),0.6076388888905058)</f>
        <v>0.6076388889</v>
      </c>
      <c r="G181" s="82">
        <f>IFERROR(__xludf.DUMMYFUNCTION("""COMPUTED_VALUE"""),0.04930555555620231)</f>
        <v>0.04930555556</v>
      </c>
      <c r="H181" s="74">
        <f>IFERROR(__xludf.DUMMYFUNCTION("""COMPUTED_VALUE"""),120.0)</f>
        <v>120</v>
      </c>
      <c r="I181" s="84">
        <f>IFERROR(__xludf.DUMMYFUNCTION("""COMPUTED_VALUE"""),105.63380281551579)</f>
        <v>105.6338028</v>
      </c>
      <c r="J181" s="74" t="str">
        <f>IFERROR(__xludf.DUMMYFUNCTION("""COMPUTED_VALUE"""),"Lunch")</f>
        <v>Lunch</v>
      </c>
      <c r="K181" s="113">
        <f>IFERROR(__xludf.DUMMYFUNCTION("""COMPUTED_VALUE"""),46105.0)</f>
        <v>46105</v>
      </c>
      <c r="L181" s="74" t="str">
        <f>IFERROR(__xludf.DUMMYFUNCTION("""COMPUTED_VALUE"""),"Tuesday")</f>
        <v>Tuesday</v>
      </c>
      <c r="M181" s="74" t="str">
        <f>IFERROR(__xludf.DUMMYFUNCTION("""COMPUTED_VALUE"""),"MF")</f>
        <v>MF</v>
      </c>
      <c r="N181" s="114">
        <f>IFERROR(__xludf.DUMMYFUNCTION("""COMPUTED_VALUE"""),2.1010156567361604)</f>
        <v>2.101015657</v>
      </c>
      <c r="O181" s="74" t="str">
        <f>IFERROR(__xludf.DUMMYFUNCTION("""COMPUTED_VALUE"""),"")</f>
        <v/>
      </c>
      <c r="P181" s="74" t="str">
        <f>IFERROR(__xludf.DUMMYFUNCTION("""COMPUTED_VALUE"""),"")</f>
        <v/>
      </c>
      <c r="Q181" s="82" t="str">
        <f>IFERROR(__xludf.DUMMYFUNCTION("""COMPUTED_VALUE"""),"")</f>
        <v/>
      </c>
      <c r="R181" s="82" t="str">
        <f>IFERROR(__xludf.DUMMYFUNCTION("""COMPUTED_VALUE"""),"")</f>
        <v/>
      </c>
      <c r="S181" s="84" t="str">
        <f>IFERROR(__xludf.DUMMYFUNCTION("""COMPUTED_VALUE"""),"")</f>
        <v/>
      </c>
      <c r="T181" s="84" t="str">
        <f>IFERROR(__xludf.DUMMYFUNCTION("""COMPUTED_VALUE"""),"")</f>
        <v/>
      </c>
      <c r="U181" s="74" t="str">
        <f>IFERROR(__xludf.DUMMYFUNCTION("""COMPUTED_VALUE"""),"")</f>
        <v/>
      </c>
      <c r="V181" s="82" t="str">
        <f>IFERROR(__xludf.DUMMYFUNCTION("""COMPUTED_VALUE"""),"")</f>
        <v/>
      </c>
      <c r="W181" s="64" t="str">
        <f>IFERROR(__xludf.DUMMYFUNCTION("""COMPUTED_VALUE"""),"")</f>
        <v/>
      </c>
      <c r="X181" s="84" t="str">
        <f>IFERROR(__xludf.DUMMYFUNCTION("""COMPUTED_VALUE"""),"")</f>
        <v/>
      </c>
      <c r="Y181" s="114" t="str">
        <f>IFERROR(__xludf.DUMMYFUNCTION("""COMPUTED_VALUE"""),"")</f>
        <v/>
      </c>
    </row>
    <row r="182">
      <c r="A182" s="109">
        <f>IFERROR(__xludf.DUMMYFUNCTION("""COMPUTED_VALUE"""),46105.620956238425)</f>
        <v>46105.62096</v>
      </c>
      <c r="B182" s="81" t="str">
        <f>IFERROR(__xludf.DUMMYFUNCTION("""COMPUTED_VALUE"""),"Kyra Turner")</f>
        <v>Kyra Turner</v>
      </c>
      <c r="C182" s="74" t="b">
        <f>IFERROR(__xludf.DUMMYFUNCTION("""COMPUTED_VALUE"""),TRUE)</f>
        <v>1</v>
      </c>
      <c r="D182" s="137">
        <f>IFERROR(__xludf.DUMMYFUNCTION("""COMPUTED_VALUE"""),0.6159722222218988)</f>
        <v>0.6159722222</v>
      </c>
      <c r="E182" s="82">
        <f>IFERROR(__xludf.DUMMYFUNCTION("""COMPUTED_VALUE"""),0.004166666665696539)</f>
        <v>0.004166666666</v>
      </c>
      <c r="F182" s="137">
        <f>IFERROR(__xludf.DUMMYFUNCTION("""COMPUTED_VALUE"""),0.6201388888875954)</f>
        <v>0.6201388889</v>
      </c>
      <c r="G182" s="82" t="str">
        <f>IFERROR(__xludf.DUMMYFUNCTION("""COMPUTED_VALUE"""),"")</f>
        <v/>
      </c>
      <c r="H182" s="74">
        <f>IFERROR(__xludf.DUMMYFUNCTION("""COMPUTED_VALUE"""),5.0)</f>
        <v>5</v>
      </c>
      <c r="I182" s="84" t="str">
        <f>IFERROR(__xludf.DUMMYFUNCTION("""COMPUTED_VALUE"""),"")</f>
        <v/>
      </c>
      <c r="J182" s="74" t="str">
        <f>IFERROR(__xludf.DUMMYFUNCTION("""COMPUTED_VALUE"""),"Lunch")</f>
        <v>Lunch</v>
      </c>
      <c r="K182" s="113">
        <f>IFERROR(__xludf.DUMMYFUNCTION("""COMPUTED_VALUE"""),46105.0)</f>
        <v>46105</v>
      </c>
      <c r="L182" s="74" t="str">
        <f>IFERROR(__xludf.DUMMYFUNCTION("""COMPUTED_VALUE"""),"Tuesday")</f>
        <v>Tuesday</v>
      </c>
      <c r="M182" s="74" t="str">
        <f>IFERROR(__xludf.DUMMYFUNCTION("""COMPUTED_VALUE"""),"MF")</f>
        <v>MF</v>
      </c>
      <c r="N182" s="114" t="str">
        <f>IFERROR(__xludf.DUMMYFUNCTION("""COMPUTED_VALUE"""),"")</f>
        <v/>
      </c>
      <c r="O182" s="74" t="str">
        <f>IFERROR(__xludf.DUMMYFUNCTION("""COMPUTED_VALUE"""),"")</f>
        <v/>
      </c>
      <c r="P182" s="74" t="str">
        <f>IFERROR(__xludf.DUMMYFUNCTION("""COMPUTED_VALUE"""),"")</f>
        <v/>
      </c>
      <c r="Q182" s="82" t="str">
        <f>IFERROR(__xludf.DUMMYFUNCTION("""COMPUTED_VALUE"""),"")</f>
        <v/>
      </c>
      <c r="R182" s="82" t="str">
        <f>IFERROR(__xludf.DUMMYFUNCTION("""COMPUTED_VALUE"""),"")</f>
        <v/>
      </c>
      <c r="S182" s="84" t="str">
        <f>IFERROR(__xludf.DUMMYFUNCTION("""COMPUTED_VALUE"""),"")</f>
        <v/>
      </c>
      <c r="T182" s="84" t="str">
        <f>IFERROR(__xludf.DUMMYFUNCTION("""COMPUTED_VALUE"""),"")</f>
        <v/>
      </c>
      <c r="U182" s="74" t="str">
        <f>IFERROR(__xludf.DUMMYFUNCTION("""COMPUTED_VALUE"""),"")</f>
        <v/>
      </c>
      <c r="V182" s="82" t="str">
        <f>IFERROR(__xludf.DUMMYFUNCTION("""COMPUTED_VALUE"""),"")</f>
        <v/>
      </c>
      <c r="W182" s="64" t="str">
        <f>IFERROR(__xludf.DUMMYFUNCTION("""COMPUTED_VALUE"""),"")</f>
        <v/>
      </c>
      <c r="X182" s="84" t="str">
        <f>IFERROR(__xludf.DUMMYFUNCTION("""COMPUTED_VALUE"""),"")</f>
        <v/>
      </c>
      <c r="Y182" s="114" t="str">
        <f>IFERROR(__xludf.DUMMYFUNCTION("""COMPUTED_VALUE"""),"")</f>
        <v/>
      </c>
    </row>
    <row r="183">
      <c r="A183" s="109">
        <f>IFERROR(__xludf.DUMMYFUNCTION("""COMPUTED_VALUE"""),46105.85172893519)</f>
        <v>46105.85173</v>
      </c>
      <c r="B183" s="81" t="str">
        <f>IFERROR(__xludf.DUMMYFUNCTION("""COMPUTED_VALUE"""),"Leah Bucci")</f>
        <v>Leah Bucci</v>
      </c>
      <c r="C183" s="74" t="b">
        <f>IFERROR(__xludf.DUMMYFUNCTION("""COMPUTED_VALUE"""),FALSE)</f>
        <v>0</v>
      </c>
      <c r="D183" s="137">
        <f>IFERROR(__xludf.DUMMYFUNCTION("""COMPUTED_VALUE"""),0.7916666666642413)</f>
        <v>0.7916666667</v>
      </c>
      <c r="E183" s="82">
        <f>IFERROR(__xludf.DUMMYFUNCTION("""COMPUTED_VALUE"""),0.05833333333430346)</f>
        <v>0.05833333333</v>
      </c>
      <c r="F183" s="137">
        <f>IFERROR(__xludf.DUMMYFUNCTION("""COMPUTED_VALUE"""),0.8499999999985448)</f>
        <v>0.85</v>
      </c>
      <c r="G183" s="82">
        <f>IFERROR(__xludf.DUMMYFUNCTION("""COMPUTED_VALUE"""),0.05833333333430346)</f>
        <v>0.05833333333</v>
      </c>
      <c r="H183" s="74">
        <f>IFERROR(__xludf.DUMMYFUNCTION("""COMPUTED_VALUE"""),57.0)</f>
        <v>57</v>
      </c>
      <c r="I183" s="84">
        <f>IFERROR(__xludf.DUMMYFUNCTION("""COMPUTED_VALUE"""),40.714285713608604)</f>
        <v>40.71428571</v>
      </c>
      <c r="J183" s="74" t="str">
        <f>IFERROR(__xludf.DUMMYFUNCTION("""COMPUTED_VALUE"""),"Dinner")</f>
        <v>Dinner</v>
      </c>
      <c r="K183" s="113">
        <f>IFERROR(__xludf.DUMMYFUNCTION("""COMPUTED_VALUE"""),46105.0)</f>
        <v>46105</v>
      </c>
      <c r="L183" s="74" t="str">
        <f>IFERROR(__xludf.DUMMYFUNCTION("""COMPUTED_VALUE"""),"Tuesday")</f>
        <v>Tuesday</v>
      </c>
      <c r="M183" s="74" t="str">
        <f>IFERROR(__xludf.DUMMYFUNCTION("""COMPUTED_VALUE"""),"BF")</f>
        <v>BF</v>
      </c>
      <c r="N183" s="114">
        <f>IFERROR(__xludf.DUMMYFUNCTION("""COMPUTED_VALUE"""),0.9163317500627671)</f>
        <v>0.9163317501</v>
      </c>
      <c r="O183" s="74">
        <f>IFERROR(__xludf.DUMMYFUNCTION("""COMPUTED_VALUE"""),328.0)</f>
        <v>328</v>
      </c>
      <c r="P183" s="74">
        <f>IFERROR(__xludf.DUMMYFUNCTION("""COMPUTED_VALUE"""),167.0)</f>
        <v>167</v>
      </c>
      <c r="Q183" s="82">
        <f>IFERROR(__xludf.DUMMYFUNCTION("""COMPUTED_VALUE"""),0.11944444444088731)</f>
        <v>0.1194444444</v>
      </c>
      <c r="R183" s="82">
        <f>IFERROR(__xludf.DUMMYFUNCTION("""COMPUTED_VALUE"""),0.12986111111240461)</f>
        <v>0.1298611111</v>
      </c>
      <c r="S183" s="84">
        <f>IFERROR(__xludf.DUMMYFUNCTION("""COMPUTED_VALUE"""),113.1139311143422)</f>
        <v>113.1139311</v>
      </c>
      <c r="T183" s="84">
        <f>IFERROR(__xludf.DUMMYFUNCTION("""COMPUTED_VALUE"""),52.39597780811577)</f>
        <v>52.39597781</v>
      </c>
      <c r="U183" s="74">
        <f>IFERROR(__xludf.DUMMYFUNCTION("""COMPUTED_VALUE"""),495.0)</f>
        <v>495</v>
      </c>
      <c r="V183" s="82">
        <f>IFERROR(__xludf.DUMMYFUNCTION("""COMPUTED_VALUE"""),0.24930555555329192)</f>
        <v>0.2493055556</v>
      </c>
      <c r="W183" s="64">
        <f>IFERROR(__xludf.DUMMYFUNCTION("""COMPUTED_VALUE"""),82.72980501467875)</f>
        <v>82.72980501</v>
      </c>
      <c r="X183" s="84">
        <f>IFERROR(__xludf.DUMMYFUNCTION("""COMPUTED_VALUE"""),82.75495446122899)</f>
        <v>82.75495446</v>
      </c>
      <c r="Y183" s="114">
        <f>IFERROR(__xludf.DUMMYFUNCTION("""COMPUTED_VALUE"""),1.2607093390797532)</f>
        <v>1.260709339</v>
      </c>
    </row>
    <row r="184">
      <c r="A184" s="109">
        <f>IFERROR(__xludf.DUMMYFUNCTION("""COMPUTED_VALUE"""),46106.42815921296)</f>
        <v>46106.42816</v>
      </c>
      <c r="B184" s="81" t="str">
        <f>IFERROR(__xludf.DUMMYFUNCTION("""COMPUTED_VALUE"""),"Kaylie Forgue")</f>
        <v>Kaylie Forgue</v>
      </c>
      <c r="C184" s="74" t="b">
        <f>IFERROR(__xludf.DUMMYFUNCTION("""COMPUTED_VALUE"""),FALSE)</f>
        <v>0</v>
      </c>
      <c r="D184" s="137">
        <f>IFERROR(__xludf.DUMMYFUNCTION("""COMPUTED_VALUE"""),0.3069444444408873)</f>
        <v>0.3069444444</v>
      </c>
      <c r="E184" s="82">
        <f>IFERROR(__xludf.DUMMYFUNCTION("""COMPUTED_VALUE"""),0.11666666666860692)</f>
        <v>0.1166666667</v>
      </c>
      <c r="F184" s="137">
        <f>IFERROR(__xludf.DUMMYFUNCTION("""COMPUTED_VALUE"""),0.42361111110949423)</f>
        <v>0.4236111111</v>
      </c>
      <c r="G184" s="82">
        <f>IFERROR(__xludf.DUMMYFUNCTION("""COMPUTED_VALUE"""),0.11666666666860692)</f>
        <v>0.1166666667</v>
      </c>
      <c r="H184" s="74">
        <f>IFERROR(__xludf.DUMMYFUNCTION("""COMPUTED_VALUE"""),128.0)</f>
        <v>128</v>
      </c>
      <c r="I184" s="84">
        <f>IFERROR(__xludf.DUMMYFUNCTION("""COMPUTED_VALUE"""),45.71428571352545)</f>
        <v>45.71428571</v>
      </c>
      <c r="J184" s="74" t="str">
        <f>IFERROR(__xludf.DUMMYFUNCTION("""COMPUTED_VALUE"""),"Breakfast")</f>
        <v>Breakfast</v>
      </c>
      <c r="K184" s="113">
        <f>IFERROR(__xludf.DUMMYFUNCTION("""COMPUTED_VALUE"""),46106.0)</f>
        <v>46106</v>
      </c>
      <c r="L184" s="74" t="str">
        <f>IFERROR(__xludf.DUMMYFUNCTION("""COMPUTED_VALUE"""),"Wednesday")</f>
        <v>Wednesday</v>
      </c>
      <c r="M184" s="74" t="str">
        <f>IFERROR(__xludf.DUMMYFUNCTION("""COMPUTED_VALUE"""),"BF")</f>
        <v>BF</v>
      </c>
      <c r="N184" s="114">
        <f>IFERROR(__xludf.DUMMYFUNCTION("""COMPUTED_VALUE"""),1.6124599175512766)</f>
        <v>1.612459918</v>
      </c>
      <c r="O184" s="74" t="str">
        <f>IFERROR(__xludf.DUMMYFUNCTION("""COMPUTED_VALUE"""),"")</f>
        <v/>
      </c>
      <c r="P184" s="74" t="str">
        <f>IFERROR(__xludf.DUMMYFUNCTION("""COMPUTED_VALUE"""),"")</f>
        <v/>
      </c>
      <c r="Q184" s="82" t="str">
        <f>IFERROR(__xludf.DUMMYFUNCTION("""COMPUTED_VALUE"""),"")</f>
        <v/>
      </c>
      <c r="R184" s="82" t="str">
        <f>IFERROR(__xludf.DUMMYFUNCTION("""COMPUTED_VALUE"""),"")</f>
        <v/>
      </c>
      <c r="S184" s="84" t="str">
        <f>IFERROR(__xludf.DUMMYFUNCTION("""COMPUTED_VALUE"""),"")</f>
        <v/>
      </c>
      <c r="T184" s="84" t="str">
        <f>IFERROR(__xludf.DUMMYFUNCTION("""COMPUTED_VALUE"""),"")</f>
        <v/>
      </c>
      <c r="U184" s="74" t="str">
        <f>IFERROR(__xludf.DUMMYFUNCTION("""COMPUTED_VALUE"""),"")</f>
        <v/>
      </c>
      <c r="V184" s="82" t="str">
        <f>IFERROR(__xludf.DUMMYFUNCTION("""COMPUTED_VALUE"""),"")</f>
        <v/>
      </c>
      <c r="W184" s="64" t="str">
        <f>IFERROR(__xludf.DUMMYFUNCTION("""COMPUTED_VALUE"""),"")</f>
        <v/>
      </c>
      <c r="X184" s="84" t="str">
        <f>IFERROR(__xludf.DUMMYFUNCTION("""COMPUTED_VALUE"""),"")</f>
        <v/>
      </c>
      <c r="Y184" s="114" t="str">
        <f>IFERROR(__xludf.DUMMYFUNCTION("""COMPUTED_VALUE"""),"")</f>
        <v/>
      </c>
    </row>
    <row r="185">
      <c r="A185" s="109">
        <f>IFERROR(__xludf.DUMMYFUNCTION("""COMPUTED_VALUE"""),46106.49942357639)</f>
        <v>46106.49942</v>
      </c>
      <c r="B185" s="81" t="str">
        <f>IFERROR(__xludf.DUMMYFUNCTION("""COMPUTED_VALUE"""),"Oluwatimilehin Shodipe")</f>
        <v>Oluwatimilehin Shodipe</v>
      </c>
      <c r="C185" s="74" t="b">
        <f>IFERROR(__xludf.DUMMYFUNCTION("""COMPUTED_VALUE"""),FALSE)</f>
        <v>0</v>
      </c>
      <c r="D185" s="137">
        <f>IFERROR(__xludf.DUMMYFUNCTION("""COMPUTED_VALUE"""),0.4305555555547471)</f>
        <v>0.4305555556</v>
      </c>
      <c r="E185" s="82">
        <f>IFERROR(__xludf.DUMMYFUNCTION("""COMPUTED_VALUE"""),0.05555555555636399)</f>
        <v>0.05555555556</v>
      </c>
      <c r="F185" s="137">
        <f>IFERROR(__xludf.DUMMYFUNCTION("""COMPUTED_VALUE"""),0.4861111111111111)</f>
        <v>0.4861111111</v>
      </c>
      <c r="G185" s="82">
        <f>IFERROR(__xludf.DUMMYFUNCTION("""COMPUTED_VALUE"""),0.05555555555636399)</f>
        <v>0.05555555556</v>
      </c>
      <c r="H185" s="74">
        <f>IFERROR(__xludf.DUMMYFUNCTION("""COMPUTED_VALUE"""),65.0)</f>
        <v>65</v>
      </c>
      <c r="I185" s="84">
        <f>IFERROR(__xludf.DUMMYFUNCTION("""COMPUTED_VALUE"""),48.7499999992906)</f>
        <v>48.75</v>
      </c>
      <c r="J185" s="74" t="str">
        <f>IFERROR(__xludf.DUMMYFUNCTION("""COMPUTED_VALUE"""),"Breakfast/Lunch")</f>
        <v>Breakfast/Lunch</v>
      </c>
      <c r="K185" s="113">
        <f>IFERROR(__xludf.DUMMYFUNCTION("""COMPUTED_VALUE"""),46106.0)</f>
        <v>46106</v>
      </c>
      <c r="L185" s="74" t="str">
        <f>IFERROR(__xludf.DUMMYFUNCTION("""COMPUTED_VALUE"""),"Wednesday")</f>
        <v>Wednesday</v>
      </c>
      <c r="M185" s="74" t="str">
        <f>IFERROR(__xludf.DUMMYFUNCTION("""COMPUTED_VALUE"""),"BF")</f>
        <v>BF</v>
      </c>
      <c r="N185" s="114">
        <f>IFERROR(__xludf.DUMMYFUNCTION("""COMPUTED_VALUE"""),1.333029230702989)</f>
        <v>1.333029231</v>
      </c>
      <c r="O185" s="74" t="str">
        <f>IFERROR(__xludf.DUMMYFUNCTION("""COMPUTED_VALUE"""),"")</f>
        <v/>
      </c>
      <c r="P185" s="74" t="str">
        <f>IFERROR(__xludf.DUMMYFUNCTION("""COMPUTED_VALUE"""),"")</f>
        <v/>
      </c>
      <c r="Q185" s="82" t="str">
        <f>IFERROR(__xludf.DUMMYFUNCTION("""COMPUTED_VALUE"""),"")</f>
        <v/>
      </c>
      <c r="R185" s="82" t="str">
        <f>IFERROR(__xludf.DUMMYFUNCTION("""COMPUTED_VALUE"""),"")</f>
        <v/>
      </c>
      <c r="S185" s="84" t="str">
        <f>IFERROR(__xludf.DUMMYFUNCTION("""COMPUTED_VALUE"""),"")</f>
        <v/>
      </c>
      <c r="T185" s="84" t="str">
        <f>IFERROR(__xludf.DUMMYFUNCTION("""COMPUTED_VALUE"""),"")</f>
        <v/>
      </c>
      <c r="U185" s="74" t="str">
        <f>IFERROR(__xludf.DUMMYFUNCTION("""COMPUTED_VALUE"""),"")</f>
        <v/>
      </c>
      <c r="V185" s="82" t="str">
        <f>IFERROR(__xludf.DUMMYFUNCTION("""COMPUTED_VALUE"""),"")</f>
        <v/>
      </c>
      <c r="W185" s="64" t="str">
        <f>IFERROR(__xludf.DUMMYFUNCTION("""COMPUTED_VALUE"""),"")</f>
        <v/>
      </c>
      <c r="X185" s="84" t="str">
        <f>IFERROR(__xludf.DUMMYFUNCTION("""COMPUTED_VALUE"""),"")</f>
        <v/>
      </c>
      <c r="Y185" s="114" t="str">
        <f>IFERROR(__xludf.DUMMYFUNCTION("""COMPUTED_VALUE"""),"")</f>
        <v/>
      </c>
    </row>
    <row r="186">
      <c r="A186" s="109">
        <f>IFERROR(__xludf.DUMMYFUNCTION("""COMPUTED_VALUE"""),46106.84354508102)</f>
        <v>46106.84355</v>
      </c>
      <c r="B186" s="81" t="str">
        <f>IFERROR(__xludf.DUMMYFUNCTION("""COMPUTED_VALUE"""),"Maureen Surgot")</f>
        <v>Maureen Surgot</v>
      </c>
      <c r="C186" s="74" t="b">
        <f>IFERROR(__xludf.DUMMYFUNCTION("""COMPUTED_VALUE"""),FALSE)</f>
        <v>0</v>
      </c>
      <c r="D186" s="137">
        <f>IFERROR(__xludf.DUMMYFUNCTION("""COMPUTED_VALUE"""),0.6875)</f>
        <v>0.6875</v>
      </c>
      <c r="E186" s="82">
        <f>IFERROR(__xludf.DUMMYFUNCTION("""COMPUTED_VALUE"""),0.16666666666424135)</f>
        <v>0.1666666667</v>
      </c>
      <c r="F186" s="137">
        <f>IFERROR(__xludf.DUMMYFUNCTION("""COMPUTED_VALUE"""),0.8541666666642413)</f>
        <v>0.8541666667</v>
      </c>
      <c r="G186" s="82">
        <f>IFERROR(__xludf.DUMMYFUNCTION("""COMPUTED_VALUE"""),0.16666666666424135)</f>
        <v>0.1666666667</v>
      </c>
      <c r="H186" s="74">
        <f>IFERROR(__xludf.DUMMYFUNCTION("""COMPUTED_VALUE"""),230.0)</f>
        <v>230</v>
      </c>
      <c r="I186" s="84">
        <f>IFERROR(__xludf.DUMMYFUNCTION("""COMPUTED_VALUE"""),57.500000000836735)</f>
        <v>57.5</v>
      </c>
      <c r="J186" s="74" t="str">
        <f>IFERROR(__xludf.DUMMYFUNCTION("""COMPUTED_VALUE"""),"Dinner")</f>
        <v>Dinner</v>
      </c>
      <c r="K186" s="113">
        <f>IFERROR(__xludf.DUMMYFUNCTION("""COMPUTED_VALUE"""),46106.0)</f>
        <v>46106</v>
      </c>
      <c r="L186" s="74" t="str">
        <f>IFERROR(__xludf.DUMMYFUNCTION("""COMPUTED_VALUE"""),"Wednesday")</f>
        <v>Wednesday</v>
      </c>
      <c r="M186" s="74" t="str">
        <f>IFERROR(__xludf.DUMMYFUNCTION("""COMPUTED_VALUE"""),"BF")</f>
        <v>BF</v>
      </c>
      <c r="N186" s="114">
        <f>IFERROR(__xludf.DUMMYFUNCTION("""COMPUTED_VALUE"""),1.2941176470588234)</f>
        <v>1.294117647</v>
      </c>
      <c r="O186" s="74" t="str">
        <f>IFERROR(__xludf.DUMMYFUNCTION("""COMPUTED_VALUE"""),"")</f>
        <v/>
      </c>
      <c r="P186" s="74" t="str">
        <f>IFERROR(__xludf.DUMMYFUNCTION("""COMPUTED_VALUE"""),"")</f>
        <v/>
      </c>
      <c r="Q186" s="82" t="str">
        <f>IFERROR(__xludf.DUMMYFUNCTION("""COMPUTED_VALUE"""),"")</f>
        <v/>
      </c>
      <c r="R186" s="82" t="str">
        <f>IFERROR(__xludf.DUMMYFUNCTION("""COMPUTED_VALUE"""),"")</f>
        <v/>
      </c>
      <c r="S186" s="84" t="str">
        <f>IFERROR(__xludf.DUMMYFUNCTION("""COMPUTED_VALUE"""),"")</f>
        <v/>
      </c>
      <c r="T186" s="84" t="str">
        <f>IFERROR(__xludf.DUMMYFUNCTION("""COMPUTED_VALUE"""),"")</f>
        <v/>
      </c>
      <c r="U186" s="74" t="str">
        <f>IFERROR(__xludf.DUMMYFUNCTION("""COMPUTED_VALUE"""),"")</f>
        <v/>
      </c>
      <c r="V186" s="82" t="str">
        <f>IFERROR(__xludf.DUMMYFUNCTION("""COMPUTED_VALUE"""),"")</f>
        <v/>
      </c>
      <c r="W186" s="64" t="str">
        <f>IFERROR(__xludf.DUMMYFUNCTION("""COMPUTED_VALUE"""),"")</f>
        <v/>
      </c>
      <c r="X186" s="84" t="str">
        <f>IFERROR(__xludf.DUMMYFUNCTION("""COMPUTED_VALUE"""),"")</f>
        <v/>
      </c>
      <c r="Y186" s="114" t="str">
        <f>IFERROR(__xludf.DUMMYFUNCTION("""COMPUTED_VALUE"""),"")</f>
        <v/>
      </c>
    </row>
    <row r="187">
      <c r="A187" s="109">
        <f>IFERROR(__xludf.DUMMYFUNCTION("""COMPUTED_VALUE"""),46106.86914738426)</f>
        <v>46106.86915</v>
      </c>
      <c r="B187" s="81" t="str">
        <f>IFERROR(__xludf.DUMMYFUNCTION("""COMPUTED_VALUE"""),"Brynn Hornig")</f>
        <v>Brynn Hornig</v>
      </c>
      <c r="C187" s="74" t="b">
        <f>IFERROR(__xludf.DUMMYFUNCTION("""COMPUTED_VALUE"""),FALSE)</f>
        <v>0</v>
      </c>
      <c r="D187" s="137">
        <f>IFERROR(__xludf.DUMMYFUNCTION("""COMPUTED_VALUE"""),0.75)</f>
        <v>0.75</v>
      </c>
      <c r="E187" s="82">
        <f>IFERROR(__xludf.DUMMYFUNCTION("""COMPUTED_VALUE"""),0.125)</f>
        <v>0.125</v>
      </c>
      <c r="F187" s="137">
        <f>IFERROR(__xludf.DUMMYFUNCTION("""COMPUTED_VALUE"""),0.875)</f>
        <v>0.875</v>
      </c>
      <c r="G187" s="82">
        <f>IFERROR(__xludf.DUMMYFUNCTION("""COMPUTED_VALUE"""),0.125)</f>
        <v>0.125</v>
      </c>
      <c r="H187" s="74">
        <f>IFERROR(__xludf.DUMMYFUNCTION("""COMPUTED_VALUE"""),129.0)</f>
        <v>129</v>
      </c>
      <c r="I187" s="84">
        <f>IFERROR(__xludf.DUMMYFUNCTION("""COMPUTED_VALUE"""),43.0)</f>
        <v>43</v>
      </c>
      <c r="J187" s="74" t="str">
        <f>IFERROR(__xludf.DUMMYFUNCTION("""COMPUTED_VALUE"""),"Dinner")</f>
        <v>Dinner</v>
      </c>
      <c r="K187" s="113">
        <f>IFERROR(__xludf.DUMMYFUNCTION("""COMPUTED_VALUE"""),46106.0)</f>
        <v>46106</v>
      </c>
      <c r="L187" s="74" t="str">
        <f>IFERROR(__xludf.DUMMYFUNCTION("""COMPUTED_VALUE"""),"Wednesday")</f>
        <v>Wednesday</v>
      </c>
      <c r="M187" s="74" t="str">
        <f>IFERROR(__xludf.DUMMYFUNCTION("""COMPUTED_VALUE"""),"MF")</f>
        <v>MF</v>
      </c>
      <c r="N187" s="114">
        <f>IFERROR(__xludf.DUMMYFUNCTION("""COMPUTED_VALUE"""),0.9271301589590462)</f>
        <v>0.927130159</v>
      </c>
      <c r="O187" s="74">
        <f>IFERROR(__xludf.DUMMYFUNCTION("""COMPUTED_VALUE"""),129.0)</f>
        <v>129</v>
      </c>
      <c r="P187" s="74">
        <f>IFERROR(__xludf.DUMMYFUNCTION("""COMPUTED_VALUE"""),423.0)</f>
        <v>423</v>
      </c>
      <c r="Q187" s="82">
        <f>IFERROR(__xludf.DUMMYFUNCTION("""COMPUTED_VALUE"""),0.125)</f>
        <v>0.125</v>
      </c>
      <c r="R187" s="82">
        <f>IFERROR(__xludf.DUMMYFUNCTION("""COMPUTED_VALUE"""),0.33888888888921226)</f>
        <v>0.3388888889</v>
      </c>
      <c r="S187" s="84">
        <f>IFERROR(__xludf.DUMMYFUNCTION("""COMPUTED_VALUE"""),43.0)</f>
        <v>43</v>
      </c>
      <c r="T187" s="84">
        <f>IFERROR(__xludf.DUMMYFUNCTION("""COMPUTED_VALUE"""),50.654761904550924)</f>
        <v>50.6547619</v>
      </c>
      <c r="U187" s="74">
        <f>IFERROR(__xludf.DUMMYFUNCTION("""COMPUTED_VALUE"""),552.0)</f>
        <v>552</v>
      </c>
      <c r="V187" s="82">
        <f>IFERROR(__xludf.DUMMYFUNCTION("""COMPUTED_VALUE"""),0.46388888888921226)</f>
        <v>0.4638888889</v>
      </c>
      <c r="W187" s="64">
        <f>IFERROR(__xludf.DUMMYFUNCTION("""COMPUTED_VALUE"""),49.58083832331873)</f>
        <v>49.58083832</v>
      </c>
      <c r="X187" s="84">
        <f>IFERROR(__xludf.DUMMYFUNCTION("""COMPUTED_VALUE"""),48.74107142841319)</f>
        <v>48.74107143</v>
      </c>
      <c r="Y187" s="114">
        <f>IFERROR(__xludf.DUMMYFUNCTION("""COMPUTED_VALUE"""),1.0047758059452498)</f>
        <v>1.004775806</v>
      </c>
    </row>
    <row r="188">
      <c r="A188" s="109">
        <f>IFERROR(__xludf.DUMMYFUNCTION("""COMPUTED_VALUE"""),46107.36238027777)</f>
        <v>46107.36238</v>
      </c>
      <c r="B188" s="81" t="str">
        <f>IFERROR(__xludf.DUMMYFUNCTION("""COMPUTED_VALUE"""),"Evan Morgan")</f>
        <v>Evan Morgan</v>
      </c>
      <c r="C188" s="74" t="b">
        <f>IFERROR(__xludf.DUMMYFUNCTION("""COMPUTED_VALUE"""),FALSE)</f>
        <v>0</v>
      </c>
      <c r="D188" s="137">
        <f>IFERROR(__xludf.DUMMYFUNCTION("""COMPUTED_VALUE"""),0.29166666666424135)</f>
        <v>0.2916666667</v>
      </c>
      <c r="E188" s="82">
        <f>IFERROR(__xludf.DUMMYFUNCTION("""COMPUTED_VALUE"""),0.07013888889196096)</f>
        <v>0.07013888889</v>
      </c>
      <c r="F188" s="137">
        <f>IFERROR(__xludf.DUMMYFUNCTION("""COMPUTED_VALUE"""),0.3618055555562023)</f>
        <v>0.3618055556</v>
      </c>
      <c r="G188" s="82">
        <f>IFERROR(__xludf.DUMMYFUNCTION("""COMPUTED_VALUE"""),0.07013888889196096)</f>
        <v>0.07013888889</v>
      </c>
      <c r="H188" s="74">
        <f>IFERROR(__xludf.DUMMYFUNCTION("""COMPUTED_VALUE"""),10.0)</f>
        <v>10</v>
      </c>
      <c r="I188" s="84">
        <f>IFERROR(__xludf.DUMMYFUNCTION("""COMPUTED_VALUE"""),5.940594059145743)</f>
        <v>5.940594059</v>
      </c>
      <c r="J188" s="74" t="str">
        <f>IFERROR(__xludf.DUMMYFUNCTION("""COMPUTED_VALUE"""),"Breakfast")</f>
        <v>Breakfast</v>
      </c>
      <c r="K188" s="113">
        <f>IFERROR(__xludf.DUMMYFUNCTION("""COMPUTED_VALUE"""),46107.0)</f>
        <v>46107</v>
      </c>
      <c r="L188" s="74" t="str">
        <f>IFERROR(__xludf.DUMMYFUNCTION("""COMPUTED_VALUE"""),"Thursday")</f>
        <v>Thursday</v>
      </c>
      <c r="M188" s="74" t="str">
        <f>IFERROR(__xludf.DUMMYFUNCTION("""COMPUTED_VALUE"""),"BF")</f>
        <v>BF</v>
      </c>
      <c r="N188" s="114">
        <f>IFERROR(__xludf.DUMMYFUNCTION("""COMPUTED_VALUE"""),0.20953996452757934)</f>
        <v>0.2095399645</v>
      </c>
      <c r="O188" s="74" t="str">
        <f>IFERROR(__xludf.DUMMYFUNCTION("""COMPUTED_VALUE"""),"")</f>
        <v/>
      </c>
      <c r="P188" s="74" t="str">
        <f>IFERROR(__xludf.DUMMYFUNCTION("""COMPUTED_VALUE"""),"")</f>
        <v/>
      </c>
      <c r="Q188" s="82" t="str">
        <f>IFERROR(__xludf.DUMMYFUNCTION("""COMPUTED_VALUE"""),"")</f>
        <v/>
      </c>
      <c r="R188" s="82" t="str">
        <f>IFERROR(__xludf.DUMMYFUNCTION("""COMPUTED_VALUE"""),"")</f>
        <v/>
      </c>
      <c r="S188" s="84" t="str">
        <f>IFERROR(__xludf.DUMMYFUNCTION("""COMPUTED_VALUE"""),"")</f>
        <v/>
      </c>
      <c r="T188" s="84" t="str">
        <f>IFERROR(__xludf.DUMMYFUNCTION("""COMPUTED_VALUE"""),"")</f>
        <v/>
      </c>
      <c r="U188" s="74" t="str">
        <f>IFERROR(__xludf.DUMMYFUNCTION("""COMPUTED_VALUE"""),"")</f>
        <v/>
      </c>
      <c r="V188" s="82" t="str">
        <f>IFERROR(__xludf.DUMMYFUNCTION("""COMPUTED_VALUE"""),"")</f>
        <v/>
      </c>
      <c r="W188" s="64" t="str">
        <f>IFERROR(__xludf.DUMMYFUNCTION("""COMPUTED_VALUE"""),"")</f>
        <v/>
      </c>
      <c r="X188" s="84" t="str">
        <f>IFERROR(__xludf.DUMMYFUNCTION("""COMPUTED_VALUE"""),"")</f>
        <v/>
      </c>
      <c r="Y188" s="114" t="str">
        <f>IFERROR(__xludf.DUMMYFUNCTION("""COMPUTED_VALUE"""),"")</f>
        <v/>
      </c>
    </row>
    <row r="189">
      <c r="A189" s="109">
        <f>IFERROR(__xludf.DUMMYFUNCTION("""COMPUTED_VALUE"""),46107.47617815972)</f>
        <v>46107.47618</v>
      </c>
      <c r="B189" s="81" t="str">
        <f>IFERROR(__xludf.DUMMYFUNCTION("""COMPUTED_VALUE"""),"Sophia Kluck")</f>
        <v>Sophia Kluck</v>
      </c>
      <c r="C189" s="74" t="b">
        <f>IFERROR(__xludf.DUMMYFUNCTION("""COMPUTED_VALUE"""),FALSE)</f>
        <v>0</v>
      </c>
      <c r="D189" s="137">
        <f>IFERROR(__xludf.DUMMYFUNCTION("""COMPUTED_VALUE"""),0.3687500000014552)</f>
        <v>0.36875</v>
      </c>
      <c r="E189" s="82">
        <f>IFERROR(__xludf.DUMMYFUNCTION("""COMPUTED_VALUE"""),0.10694444444379769)</f>
        <v>0.1069444444</v>
      </c>
      <c r="F189" s="137">
        <f>IFERROR(__xludf.DUMMYFUNCTION("""COMPUTED_VALUE"""),0.4756944444452529)</f>
        <v>0.4756944444</v>
      </c>
      <c r="G189" s="82">
        <f>IFERROR(__xludf.DUMMYFUNCTION("""COMPUTED_VALUE"""),0.10694444444379769)</f>
        <v>0.1069444444</v>
      </c>
      <c r="H189" s="74">
        <f>IFERROR(__xludf.DUMMYFUNCTION("""COMPUTED_VALUE"""),86.0)</f>
        <v>86</v>
      </c>
      <c r="I189" s="84">
        <f>IFERROR(__xludf.DUMMYFUNCTION("""COMPUTED_VALUE"""),33.50649350669614)</f>
        <v>33.50649351</v>
      </c>
      <c r="J189" s="74" t="str">
        <f>IFERROR(__xludf.DUMMYFUNCTION("""COMPUTED_VALUE"""),"Breakfast/Lunch")</f>
        <v>Breakfast/Lunch</v>
      </c>
      <c r="K189" s="113">
        <f>IFERROR(__xludf.DUMMYFUNCTION("""COMPUTED_VALUE"""),46107.0)</f>
        <v>46107</v>
      </c>
      <c r="L189" s="74" t="str">
        <f>IFERROR(__xludf.DUMMYFUNCTION("""COMPUTED_VALUE"""),"Thursday")</f>
        <v>Thursday</v>
      </c>
      <c r="M189" s="74" t="str">
        <f>IFERROR(__xludf.DUMMYFUNCTION("""COMPUTED_VALUE"""),"BF")</f>
        <v>BF</v>
      </c>
      <c r="N189" s="114">
        <f>IFERROR(__xludf.DUMMYFUNCTION("""COMPUTED_VALUE"""),0.7954603954832733)</f>
        <v>0.7954603955</v>
      </c>
      <c r="O189" s="74" t="str">
        <f>IFERROR(__xludf.DUMMYFUNCTION("""COMPUTED_VALUE"""),"")</f>
        <v/>
      </c>
      <c r="P189" s="74" t="str">
        <f>IFERROR(__xludf.DUMMYFUNCTION("""COMPUTED_VALUE"""),"")</f>
        <v/>
      </c>
      <c r="Q189" s="82" t="str">
        <f>IFERROR(__xludf.DUMMYFUNCTION("""COMPUTED_VALUE"""),"")</f>
        <v/>
      </c>
      <c r="R189" s="82" t="str">
        <f>IFERROR(__xludf.DUMMYFUNCTION("""COMPUTED_VALUE"""),"")</f>
        <v/>
      </c>
      <c r="S189" s="84" t="str">
        <f>IFERROR(__xludf.DUMMYFUNCTION("""COMPUTED_VALUE"""),"")</f>
        <v/>
      </c>
      <c r="T189" s="84" t="str">
        <f>IFERROR(__xludf.DUMMYFUNCTION("""COMPUTED_VALUE"""),"")</f>
        <v/>
      </c>
      <c r="U189" s="74" t="str">
        <f>IFERROR(__xludf.DUMMYFUNCTION("""COMPUTED_VALUE"""),"")</f>
        <v/>
      </c>
      <c r="V189" s="82" t="str">
        <f>IFERROR(__xludf.DUMMYFUNCTION("""COMPUTED_VALUE"""),"")</f>
        <v/>
      </c>
      <c r="W189" s="64" t="str">
        <f>IFERROR(__xludf.DUMMYFUNCTION("""COMPUTED_VALUE"""),"")</f>
        <v/>
      </c>
      <c r="X189" s="84" t="str">
        <f>IFERROR(__xludf.DUMMYFUNCTION("""COMPUTED_VALUE"""),"")</f>
        <v/>
      </c>
      <c r="Y189" s="114" t="str">
        <f>IFERROR(__xludf.DUMMYFUNCTION("""COMPUTED_VALUE"""),"")</f>
        <v/>
      </c>
    </row>
    <row r="190">
      <c r="A190" s="109">
        <f>IFERROR(__xludf.DUMMYFUNCTION("""COMPUTED_VALUE"""),46107.52642025463)</f>
        <v>46107.52642</v>
      </c>
      <c r="B190" s="81" t="str">
        <f>IFERROR(__xludf.DUMMYFUNCTION("""COMPUTED_VALUE"""),"Emmett Khan")</f>
        <v>Emmett Khan</v>
      </c>
      <c r="C190" s="74" t="b">
        <f>IFERROR(__xludf.DUMMYFUNCTION("""COMPUTED_VALUE"""),FALSE)</f>
        <v>0</v>
      </c>
      <c r="D190" s="137">
        <f>IFERROR(__xludf.DUMMYFUNCTION("""COMPUTED_VALUE"""),0.47916666666424135)</f>
        <v>0.4791666667</v>
      </c>
      <c r="E190" s="82">
        <f>IFERROR(__xludf.DUMMYFUNCTION("""COMPUTED_VALUE"""),0.05208333333575865)</f>
        <v>0.05208333334</v>
      </c>
      <c r="F190" s="137">
        <f>IFERROR(__xludf.DUMMYFUNCTION("""COMPUTED_VALUE"""),0.53125)</f>
        <v>0.53125</v>
      </c>
      <c r="G190" s="82">
        <f>IFERROR(__xludf.DUMMYFUNCTION("""COMPUTED_VALUE"""),0.05208333333575865)</f>
        <v>0.05208333334</v>
      </c>
      <c r="H190" s="74">
        <f>IFERROR(__xludf.DUMMYFUNCTION("""COMPUTED_VALUE"""),60.0)</f>
        <v>60</v>
      </c>
      <c r="I190" s="84">
        <f>IFERROR(__xludf.DUMMYFUNCTION("""COMPUTED_VALUE"""),47.999999997764824)</f>
        <v>48</v>
      </c>
      <c r="J190" s="74" t="str">
        <f>IFERROR(__xludf.DUMMYFUNCTION("""COMPUTED_VALUE"""),"Lunch")</f>
        <v>Lunch</v>
      </c>
      <c r="K190" s="113">
        <f>IFERROR(__xludf.DUMMYFUNCTION("""COMPUTED_VALUE"""),46107.0)</f>
        <v>46107</v>
      </c>
      <c r="L190" s="74" t="str">
        <f>IFERROR(__xludf.DUMMYFUNCTION("""COMPUTED_VALUE"""),"Thursday")</f>
        <v>Thursday</v>
      </c>
      <c r="M190" s="74" t="str">
        <f>IFERROR(__xludf.DUMMYFUNCTION("""COMPUTED_VALUE"""),"MF")</f>
        <v>MF</v>
      </c>
      <c r="N190" s="114">
        <f>IFERROR(__xludf.DUMMYFUNCTION("""COMPUTED_VALUE"""),0.9547015143889775)</f>
        <v>0.9547015144</v>
      </c>
      <c r="O190" s="74" t="str">
        <f>IFERROR(__xludf.DUMMYFUNCTION("""COMPUTED_VALUE"""),"")</f>
        <v/>
      </c>
      <c r="P190" s="74" t="str">
        <f>IFERROR(__xludf.DUMMYFUNCTION("""COMPUTED_VALUE"""),"")</f>
        <v/>
      </c>
      <c r="Q190" s="82" t="str">
        <f>IFERROR(__xludf.DUMMYFUNCTION("""COMPUTED_VALUE"""),"")</f>
        <v/>
      </c>
      <c r="R190" s="82" t="str">
        <f>IFERROR(__xludf.DUMMYFUNCTION("""COMPUTED_VALUE"""),"")</f>
        <v/>
      </c>
      <c r="S190" s="84" t="str">
        <f>IFERROR(__xludf.DUMMYFUNCTION("""COMPUTED_VALUE"""),"")</f>
        <v/>
      </c>
      <c r="T190" s="84" t="str">
        <f>IFERROR(__xludf.DUMMYFUNCTION("""COMPUTED_VALUE"""),"")</f>
        <v/>
      </c>
      <c r="U190" s="74" t="str">
        <f>IFERROR(__xludf.DUMMYFUNCTION("""COMPUTED_VALUE"""),"")</f>
        <v/>
      </c>
      <c r="V190" s="82" t="str">
        <f>IFERROR(__xludf.DUMMYFUNCTION("""COMPUTED_VALUE"""),"")</f>
        <v/>
      </c>
      <c r="W190" s="64" t="str">
        <f>IFERROR(__xludf.DUMMYFUNCTION("""COMPUTED_VALUE"""),"")</f>
        <v/>
      </c>
      <c r="X190" s="84" t="str">
        <f>IFERROR(__xludf.DUMMYFUNCTION("""COMPUTED_VALUE"""),"")</f>
        <v/>
      </c>
      <c r="Y190" s="114" t="str">
        <f>IFERROR(__xludf.DUMMYFUNCTION("""COMPUTED_VALUE"""),"")</f>
        <v/>
      </c>
    </row>
    <row r="191">
      <c r="A191" s="109">
        <f>IFERROR(__xludf.DUMMYFUNCTION("""COMPUTED_VALUE"""),46107.58079944445)</f>
        <v>46107.5808</v>
      </c>
      <c r="B191" s="81" t="str">
        <f>IFERROR(__xludf.DUMMYFUNCTION("""COMPUTED_VALUE"""),"Kyra Turner")</f>
        <v>Kyra Turner</v>
      </c>
      <c r="C191" s="74" t="b">
        <f>IFERROR(__xludf.DUMMYFUNCTION("""COMPUTED_VALUE"""),FALSE)</f>
        <v>0</v>
      </c>
      <c r="D191" s="137">
        <f>IFERROR(__xludf.DUMMYFUNCTION("""COMPUTED_VALUE"""),0.5020833333328483)</f>
        <v>0.5020833333</v>
      </c>
      <c r="E191" s="82">
        <f>IFERROR(__xludf.DUMMYFUNCTION("""COMPUTED_VALUE"""),0.07569444444379769)</f>
        <v>0.07569444444</v>
      </c>
      <c r="F191" s="137">
        <f>IFERROR(__xludf.DUMMYFUNCTION("""COMPUTED_VALUE"""),0.577777777776646)</f>
        <v>0.5777777778</v>
      </c>
      <c r="G191" s="82">
        <f>IFERROR(__xludf.DUMMYFUNCTION("""COMPUTED_VALUE"""),0.07569444444379769)</f>
        <v>0.07569444444</v>
      </c>
      <c r="H191" s="74">
        <f>IFERROR(__xludf.DUMMYFUNCTION("""COMPUTED_VALUE"""),111.0)</f>
        <v>111</v>
      </c>
      <c r="I191" s="84">
        <f>IFERROR(__xludf.DUMMYFUNCTION("""COMPUTED_VALUE"""),61.10091743171472)</f>
        <v>61.10091743</v>
      </c>
      <c r="J191" s="74" t="str">
        <f>IFERROR(__xludf.DUMMYFUNCTION("""COMPUTED_VALUE"""),"Lunch")</f>
        <v>Lunch</v>
      </c>
      <c r="K191" s="113">
        <f>IFERROR(__xludf.DUMMYFUNCTION("""COMPUTED_VALUE"""),46107.0)</f>
        <v>46107</v>
      </c>
      <c r="L191" s="74" t="str">
        <f>IFERROR(__xludf.DUMMYFUNCTION("""COMPUTED_VALUE"""),"Thursday")</f>
        <v>Thursday</v>
      </c>
      <c r="M191" s="74" t="str">
        <f>IFERROR(__xludf.DUMMYFUNCTION("""COMPUTED_VALUE"""),"BF")</f>
        <v>BF</v>
      </c>
      <c r="N191" s="114">
        <f>IFERROR(__xludf.DUMMYFUNCTION("""COMPUTED_VALUE"""),2.1551858187538127)</f>
        <v>2.155185819</v>
      </c>
      <c r="O191" s="74" t="str">
        <f>IFERROR(__xludf.DUMMYFUNCTION("""COMPUTED_VALUE"""),"")</f>
        <v/>
      </c>
      <c r="P191" s="74" t="str">
        <f>IFERROR(__xludf.DUMMYFUNCTION("""COMPUTED_VALUE"""),"")</f>
        <v/>
      </c>
      <c r="Q191" s="82" t="str">
        <f>IFERROR(__xludf.DUMMYFUNCTION("""COMPUTED_VALUE"""),"")</f>
        <v/>
      </c>
      <c r="R191" s="82" t="str">
        <f>IFERROR(__xludf.DUMMYFUNCTION("""COMPUTED_VALUE"""),"")</f>
        <v/>
      </c>
      <c r="S191" s="84" t="str">
        <f>IFERROR(__xludf.DUMMYFUNCTION("""COMPUTED_VALUE"""),"")</f>
        <v/>
      </c>
      <c r="T191" s="84" t="str">
        <f>IFERROR(__xludf.DUMMYFUNCTION("""COMPUTED_VALUE"""),"")</f>
        <v/>
      </c>
      <c r="U191" s="74" t="str">
        <f>IFERROR(__xludf.DUMMYFUNCTION("""COMPUTED_VALUE"""),"")</f>
        <v/>
      </c>
      <c r="V191" s="82" t="str">
        <f>IFERROR(__xludf.DUMMYFUNCTION("""COMPUTED_VALUE"""),"")</f>
        <v/>
      </c>
      <c r="W191" s="64" t="str">
        <f>IFERROR(__xludf.DUMMYFUNCTION("""COMPUTED_VALUE"""),"")</f>
        <v/>
      </c>
      <c r="X191" s="84" t="str">
        <f>IFERROR(__xludf.DUMMYFUNCTION("""COMPUTED_VALUE"""),"")</f>
        <v/>
      </c>
      <c r="Y191" s="114" t="str">
        <f>IFERROR(__xludf.DUMMYFUNCTION("""COMPUTED_VALUE"""),"")</f>
        <v/>
      </c>
    </row>
    <row r="192">
      <c r="A192" s="109">
        <f>IFERROR(__xludf.DUMMYFUNCTION("""COMPUTED_VALUE"""),46107.850718229165)</f>
        <v>46107.85072</v>
      </c>
      <c r="B192" s="81" t="str">
        <f>IFERROR(__xludf.DUMMYFUNCTION("""COMPUTED_VALUE"""),"Leah Bucci")</f>
        <v>Leah Bucci</v>
      </c>
      <c r="C192" s="74" t="b">
        <f>IFERROR(__xludf.DUMMYFUNCTION("""COMPUTED_VALUE"""),FALSE)</f>
        <v>0</v>
      </c>
      <c r="D192" s="137">
        <f>IFERROR(__xludf.DUMMYFUNCTION("""COMPUTED_VALUE"""),0.6875)</f>
        <v>0.6875</v>
      </c>
      <c r="E192" s="82">
        <f>IFERROR(__xludf.DUMMYFUNCTION("""COMPUTED_VALUE"""),0.15972222221898846)</f>
        <v>0.1597222222</v>
      </c>
      <c r="F192" s="137">
        <f>IFERROR(__xludf.DUMMYFUNCTION("""COMPUTED_VALUE"""),0.8472222222189885)</f>
        <v>0.8472222222</v>
      </c>
      <c r="G192" s="82">
        <f>IFERROR(__xludf.DUMMYFUNCTION("""COMPUTED_VALUE"""),0.15972222221898846)</f>
        <v>0.1597222222</v>
      </c>
      <c r="H192" s="74">
        <f>IFERROR(__xludf.DUMMYFUNCTION("""COMPUTED_VALUE"""),146.0)</f>
        <v>146</v>
      </c>
      <c r="I192" s="84">
        <f>IFERROR(__xludf.DUMMYFUNCTION("""COMPUTED_VALUE"""),38.08695652251024)</f>
        <v>38.08695652</v>
      </c>
      <c r="J192" s="74" t="str">
        <f>IFERROR(__xludf.DUMMYFUNCTION("""COMPUTED_VALUE"""),"Dinner")</f>
        <v>Dinner</v>
      </c>
      <c r="K192" s="113">
        <f>IFERROR(__xludf.DUMMYFUNCTION("""COMPUTED_VALUE"""),46107.0)</f>
        <v>46107</v>
      </c>
      <c r="L192" s="74" t="str">
        <f>IFERROR(__xludf.DUMMYFUNCTION("""COMPUTED_VALUE"""),"Thursday")</f>
        <v>Thursday</v>
      </c>
      <c r="M192" s="74" t="str">
        <f>IFERROR(__xludf.DUMMYFUNCTION("""COMPUTED_VALUE"""),"BF")</f>
        <v>BF</v>
      </c>
      <c r="N192" s="114">
        <f>IFERROR(__xludf.DUMMYFUNCTION("""COMPUTED_VALUE"""),0.8572000444839203)</f>
        <v>0.8572000445</v>
      </c>
      <c r="O192" s="74">
        <f>IFERROR(__xludf.DUMMYFUNCTION("""COMPUTED_VALUE"""),60.0)</f>
        <v>60</v>
      </c>
      <c r="P192" s="74">
        <f>IFERROR(__xludf.DUMMYFUNCTION("""COMPUTED_VALUE"""),353.0)</f>
        <v>353</v>
      </c>
      <c r="Q192" s="82">
        <f>IFERROR(__xludf.DUMMYFUNCTION("""COMPUTED_VALUE"""),0.05208333333575865)</f>
        <v>0.05208333334</v>
      </c>
      <c r="R192" s="82">
        <f>IFERROR(__xludf.DUMMYFUNCTION("""COMPUTED_VALUE"""),0.4124999999985448)</f>
        <v>0.4125</v>
      </c>
      <c r="S192" s="84">
        <f>IFERROR(__xludf.DUMMYFUNCTION("""COMPUTED_VALUE"""),47.999999997764824)</f>
        <v>48</v>
      </c>
      <c r="T192" s="84">
        <f>IFERROR(__xludf.DUMMYFUNCTION("""COMPUTED_VALUE"""),34.65874038001671)</f>
        <v>34.65874038</v>
      </c>
      <c r="U192" s="74">
        <f>IFERROR(__xludf.DUMMYFUNCTION("""COMPUTED_VALUE"""),413.0)</f>
        <v>413</v>
      </c>
      <c r="V192" s="82">
        <f>IFERROR(__xludf.DUMMYFUNCTION("""COMPUTED_VALUE"""),0.46458333333430346)</f>
        <v>0.4645833333</v>
      </c>
      <c r="W192" s="64">
        <f>IFERROR(__xludf.DUMMYFUNCTION("""COMPUTED_VALUE"""),37.040358744317274)</f>
        <v>37.04035874</v>
      </c>
      <c r="X192" s="84">
        <f>IFERROR(__xludf.DUMMYFUNCTION("""COMPUTED_VALUE"""),37.326992303566335)</f>
        <v>37.3269923</v>
      </c>
      <c r="Y192" s="114">
        <f>IFERROR(__xludf.DUMMYFUNCTION("""COMPUTED_VALUE"""),0.7189496480135725)</f>
        <v>0.718949648</v>
      </c>
    </row>
    <row r="193">
      <c r="A193" s="109">
        <f>IFERROR(__xludf.DUMMYFUNCTION("""COMPUTED_VALUE"""),46107.64389478009)</f>
        <v>46107.64389</v>
      </c>
      <c r="B193" s="81" t="str">
        <f>IFERROR(__xludf.DUMMYFUNCTION("""COMPUTED_VALUE"""),"Kyra Turner")</f>
        <v>Kyra Turner</v>
      </c>
      <c r="C193" s="74" t="b">
        <f>IFERROR(__xludf.DUMMYFUNCTION("""COMPUTED_VALUE"""),FALSE)</f>
        <v>0</v>
      </c>
      <c r="D193" s="137">
        <f>IFERROR(__xludf.DUMMYFUNCTION("""COMPUTED_VALUE"""),0.5805555555562023)</f>
        <v>0.5805555556</v>
      </c>
      <c r="E193" s="82">
        <f>IFERROR(__xludf.DUMMYFUNCTION("""COMPUTED_VALUE"""),0.061805555553291924)</f>
        <v>0.06180555555</v>
      </c>
      <c r="F193" s="137">
        <f>IFERROR(__xludf.DUMMYFUNCTION("""COMPUTED_VALUE"""),0.6423611111094942)</f>
        <v>0.6423611111</v>
      </c>
      <c r="G193" s="82">
        <f>IFERROR(__xludf.DUMMYFUNCTION("""COMPUTED_VALUE"""),0.061805555553291924)</f>
        <v>0.06180555555</v>
      </c>
      <c r="H193" s="74">
        <f>IFERROR(__xludf.DUMMYFUNCTION("""COMPUTED_VALUE"""),80.0)</f>
        <v>80</v>
      </c>
      <c r="I193" s="84">
        <f>IFERROR(__xludf.DUMMYFUNCTION("""COMPUTED_VALUE"""),53.932584271638206)</f>
        <v>53.93258427</v>
      </c>
      <c r="J193" s="74" t="str">
        <f>IFERROR(__xludf.DUMMYFUNCTION("""COMPUTED_VALUE"""),"Lunch")</f>
        <v>Lunch</v>
      </c>
      <c r="K193" s="113">
        <f>IFERROR(__xludf.DUMMYFUNCTION("""COMPUTED_VALUE"""),46108.0)</f>
        <v>46108</v>
      </c>
      <c r="L193" s="74" t="str">
        <f>IFERROR(__xludf.DUMMYFUNCTION("""COMPUTED_VALUE"""),"Friday")</f>
        <v>Friday</v>
      </c>
      <c r="M193" s="74" t="str">
        <f>IFERROR(__xludf.DUMMYFUNCTION("""COMPUTED_VALUE"""),"BF")</f>
        <v>BF</v>
      </c>
      <c r="N193" s="114">
        <f>IFERROR(__xludf.DUMMYFUNCTION("""COMPUTED_VALUE"""),1.9023403522685471)</f>
        <v>1.902340352</v>
      </c>
      <c r="O193" s="74" t="str">
        <f>IFERROR(__xludf.DUMMYFUNCTION("""COMPUTED_VALUE"""),"")</f>
        <v/>
      </c>
      <c r="P193" s="74" t="str">
        <f>IFERROR(__xludf.DUMMYFUNCTION("""COMPUTED_VALUE"""),"")</f>
        <v/>
      </c>
      <c r="Q193" s="82" t="str">
        <f>IFERROR(__xludf.DUMMYFUNCTION("""COMPUTED_VALUE"""),"")</f>
        <v/>
      </c>
      <c r="R193" s="82" t="str">
        <f>IFERROR(__xludf.DUMMYFUNCTION("""COMPUTED_VALUE"""),"")</f>
        <v/>
      </c>
      <c r="S193" s="84" t="str">
        <f>IFERROR(__xludf.DUMMYFUNCTION("""COMPUTED_VALUE"""),"")</f>
        <v/>
      </c>
      <c r="T193" s="84" t="str">
        <f>IFERROR(__xludf.DUMMYFUNCTION("""COMPUTED_VALUE"""),"")</f>
        <v/>
      </c>
      <c r="U193" s="74" t="str">
        <f>IFERROR(__xludf.DUMMYFUNCTION("""COMPUTED_VALUE"""),"")</f>
        <v/>
      </c>
      <c r="V193" s="82" t="str">
        <f>IFERROR(__xludf.DUMMYFUNCTION("""COMPUTED_VALUE"""),"")</f>
        <v/>
      </c>
      <c r="W193" s="64" t="str">
        <f>IFERROR(__xludf.DUMMYFUNCTION("""COMPUTED_VALUE"""),"")</f>
        <v/>
      </c>
      <c r="X193" s="84" t="str">
        <f>IFERROR(__xludf.DUMMYFUNCTION("""COMPUTED_VALUE"""),"")</f>
        <v/>
      </c>
      <c r="Y193" s="114" t="str">
        <f>IFERROR(__xludf.DUMMYFUNCTION("""COMPUTED_VALUE"""),"")</f>
        <v/>
      </c>
    </row>
    <row r="194">
      <c r="A194" s="109">
        <f>IFERROR(__xludf.DUMMYFUNCTION("""COMPUTED_VALUE"""),46108.43467488426)</f>
        <v>46108.43467</v>
      </c>
      <c r="B194" s="81" t="str">
        <f>IFERROR(__xludf.DUMMYFUNCTION("""COMPUTED_VALUE"""),"Kaylie Forgue")</f>
        <v>Kaylie Forgue</v>
      </c>
      <c r="C194" s="74" t="b">
        <f>IFERROR(__xludf.DUMMYFUNCTION("""COMPUTED_VALUE"""),FALSE)</f>
        <v>0</v>
      </c>
      <c r="D194" s="137">
        <f>IFERROR(__xludf.DUMMYFUNCTION("""COMPUTED_VALUE"""),0.3694444444408873)</f>
        <v>0.3694444444</v>
      </c>
      <c r="E194" s="82">
        <f>IFERROR(__xludf.DUMMYFUNCTION("""COMPUTED_VALUE"""),0.0625)</f>
        <v>0.0625</v>
      </c>
      <c r="F194" s="137">
        <f>IFERROR(__xludf.DUMMYFUNCTION("""COMPUTED_VALUE"""),0.4319444444408873)</f>
        <v>0.4319444444</v>
      </c>
      <c r="G194" s="82">
        <f>IFERROR(__xludf.DUMMYFUNCTION("""COMPUTED_VALUE"""),0.0625)</f>
        <v>0.0625</v>
      </c>
      <c r="H194" s="74">
        <f>IFERROR(__xludf.DUMMYFUNCTION("""COMPUTED_VALUE"""),56.0)</f>
        <v>56</v>
      </c>
      <c r="I194" s="84">
        <f>IFERROR(__xludf.DUMMYFUNCTION("""COMPUTED_VALUE"""),37.333333333333336)</f>
        <v>37.33333333</v>
      </c>
      <c r="J194" s="74" t="str">
        <f>IFERROR(__xludf.DUMMYFUNCTION("""COMPUTED_VALUE"""),"Breakfast")</f>
        <v>Breakfast</v>
      </c>
      <c r="K194" s="113">
        <f>IFERROR(__xludf.DUMMYFUNCTION("""COMPUTED_VALUE"""),46108.0)</f>
        <v>46108</v>
      </c>
      <c r="L194" s="74" t="str">
        <f>IFERROR(__xludf.DUMMYFUNCTION("""COMPUTED_VALUE"""),"Friday")</f>
        <v>Friday</v>
      </c>
      <c r="M194" s="74" t="str">
        <f>IFERROR(__xludf.DUMMYFUNCTION("""COMPUTED_VALUE"""),"BF")</f>
        <v>BF</v>
      </c>
      <c r="N194" s="114">
        <f>IFERROR(__xludf.DUMMYFUNCTION("""COMPUTED_VALUE"""),1.3168422660221095)</f>
        <v>1.316842266</v>
      </c>
      <c r="O194" s="74" t="str">
        <f>IFERROR(__xludf.DUMMYFUNCTION("""COMPUTED_VALUE"""),"")</f>
        <v/>
      </c>
      <c r="P194" s="74" t="str">
        <f>IFERROR(__xludf.DUMMYFUNCTION("""COMPUTED_VALUE"""),"")</f>
        <v/>
      </c>
      <c r="Q194" s="82" t="str">
        <f>IFERROR(__xludf.DUMMYFUNCTION("""COMPUTED_VALUE"""),"")</f>
        <v/>
      </c>
      <c r="R194" s="82" t="str">
        <f>IFERROR(__xludf.DUMMYFUNCTION("""COMPUTED_VALUE"""),"")</f>
        <v/>
      </c>
      <c r="S194" s="84" t="str">
        <f>IFERROR(__xludf.DUMMYFUNCTION("""COMPUTED_VALUE"""),"")</f>
        <v/>
      </c>
      <c r="T194" s="84" t="str">
        <f>IFERROR(__xludf.DUMMYFUNCTION("""COMPUTED_VALUE"""),"")</f>
        <v/>
      </c>
      <c r="U194" s="74" t="str">
        <f>IFERROR(__xludf.DUMMYFUNCTION("""COMPUTED_VALUE"""),"")</f>
        <v/>
      </c>
      <c r="V194" s="82" t="str">
        <f>IFERROR(__xludf.DUMMYFUNCTION("""COMPUTED_VALUE"""),"")</f>
        <v/>
      </c>
      <c r="W194" s="64" t="str">
        <f>IFERROR(__xludf.DUMMYFUNCTION("""COMPUTED_VALUE"""),"")</f>
        <v/>
      </c>
      <c r="X194" s="84" t="str">
        <f>IFERROR(__xludf.DUMMYFUNCTION("""COMPUTED_VALUE"""),"")</f>
        <v/>
      </c>
      <c r="Y194" s="114" t="str">
        <f>IFERROR(__xludf.DUMMYFUNCTION("""COMPUTED_VALUE"""),"")</f>
        <v/>
      </c>
    </row>
    <row r="195">
      <c r="A195" s="109">
        <f>IFERROR(__xludf.DUMMYFUNCTION("""COMPUTED_VALUE"""),46108.53129159722)</f>
        <v>46108.53129</v>
      </c>
      <c r="B195" s="81" t="str">
        <f>IFERROR(__xludf.DUMMYFUNCTION("""COMPUTED_VALUE"""),"Oluwatimilehin Shodipe")</f>
        <v>Oluwatimilehin Shodipe</v>
      </c>
      <c r="C195" s="74" t="b">
        <f>IFERROR(__xludf.DUMMYFUNCTION("""COMPUTED_VALUE"""),FALSE)</f>
        <v>0</v>
      </c>
      <c r="D195" s="137">
        <f>IFERROR(__xludf.DUMMYFUNCTION("""COMPUTED_VALUE"""),0.48263888889050577)</f>
        <v>0.4826388889</v>
      </c>
      <c r="E195" s="82">
        <f>IFERROR(__xludf.DUMMYFUNCTION("""COMPUTED_VALUE"""),0.052083333328482695)</f>
        <v>0.05208333333</v>
      </c>
      <c r="F195" s="137">
        <f>IFERROR(__xludf.DUMMYFUNCTION("""COMPUTED_VALUE"""),0.5347222222189885)</f>
        <v>0.5347222222</v>
      </c>
      <c r="G195" s="82">
        <f>IFERROR(__xludf.DUMMYFUNCTION("""COMPUTED_VALUE"""),0.052083333328482695)</f>
        <v>0.05208333333</v>
      </c>
      <c r="H195" s="74">
        <f>IFERROR(__xludf.DUMMYFUNCTION("""COMPUTED_VALUE"""),60.0)</f>
        <v>60</v>
      </c>
      <c r="I195" s="84">
        <f>IFERROR(__xludf.DUMMYFUNCTION("""COMPUTED_VALUE"""),48.00000000447035)</f>
        <v>48</v>
      </c>
      <c r="J195" s="74" t="str">
        <f>IFERROR(__xludf.DUMMYFUNCTION("""COMPUTED_VALUE"""),"Lunch")</f>
        <v>Lunch</v>
      </c>
      <c r="K195" s="113">
        <f>IFERROR(__xludf.DUMMYFUNCTION("""COMPUTED_VALUE"""),46108.0)</f>
        <v>46108</v>
      </c>
      <c r="L195" s="74" t="str">
        <f>IFERROR(__xludf.DUMMYFUNCTION("""COMPUTED_VALUE"""),"Friday")</f>
        <v>Friday</v>
      </c>
      <c r="M195" s="74" t="str">
        <f>IFERROR(__xludf.DUMMYFUNCTION("""COMPUTED_VALUE"""),"MF")</f>
        <v>MF</v>
      </c>
      <c r="N195" s="114">
        <f>IFERROR(__xludf.DUMMYFUNCTION("""COMPUTED_VALUE"""),0.9547015145223479)</f>
        <v>0.9547015145</v>
      </c>
      <c r="O195" s="74" t="str">
        <f>IFERROR(__xludf.DUMMYFUNCTION("""COMPUTED_VALUE"""),"")</f>
        <v/>
      </c>
      <c r="P195" s="74" t="str">
        <f>IFERROR(__xludf.DUMMYFUNCTION("""COMPUTED_VALUE"""),"")</f>
        <v/>
      </c>
      <c r="Q195" s="82" t="str">
        <f>IFERROR(__xludf.DUMMYFUNCTION("""COMPUTED_VALUE"""),"")</f>
        <v/>
      </c>
      <c r="R195" s="82" t="str">
        <f>IFERROR(__xludf.DUMMYFUNCTION("""COMPUTED_VALUE"""),"")</f>
        <v/>
      </c>
      <c r="S195" s="84" t="str">
        <f>IFERROR(__xludf.DUMMYFUNCTION("""COMPUTED_VALUE"""),"")</f>
        <v/>
      </c>
      <c r="T195" s="84" t="str">
        <f>IFERROR(__xludf.DUMMYFUNCTION("""COMPUTED_VALUE"""),"")</f>
        <v/>
      </c>
      <c r="U195" s="74" t="str">
        <f>IFERROR(__xludf.DUMMYFUNCTION("""COMPUTED_VALUE"""),"")</f>
        <v/>
      </c>
      <c r="V195" s="82" t="str">
        <f>IFERROR(__xludf.DUMMYFUNCTION("""COMPUTED_VALUE"""),"")</f>
        <v/>
      </c>
      <c r="W195" s="64" t="str">
        <f>IFERROR(__xludf.DUMMYFUNCTION("""COMPUTED_VALUE"""),"")</f>
        <v/>
      </c>
      <c r="X195" s="84" t="str">
        <f>IFERROR(__xludf.DUMMYFUNCTION("""COMPUTED_VALUE"""),"")</f>
        <v/>
      </c>
      <c r="Y195" s="114" t="str">
        <f>IFERROR(__xludf.DUMMYFUNCTION("""COMPUTED_VALUE"""),"")</f>
        <v/>
      </c>
    </row>
    <row r="196">
      <c r="A196" s="109">
        <f>IFERROR(__xludf.DUMMYFUNCTION("""COMPUTED_VALUE"""),46108.57750953703)</f>
        <v>46108.57751</v>
      </c>
      <c r="B196" s="81" t="str">
        <f>IFERROR(__xludf.DUMMYFUNCTION("""COMPUTED_VALUE"""),"Brynn Hornig")</f>
        <v>Brynn Hornig</v>
      </c>
      <c r="C196" s="74" t="b">
        <f>IFERROR(__xludf.DUMMYFUNCTION("""COMPUTED_VALUE"""),FALSE)</f>
        <v>0</v>
      </c>
      <c r="D196" s="137">
        <f>IFERROR(__xludf.DUMMYFUNCTION("""COMPUTED_VALUE"""),0.45833333333575865)</f>
        <v>0.4583333333</v>
      </c>
      <c r="E196" s="82">
        <f>IFERROR(__xludf.DUMMYFUNCTION("""COMPUTED_VALUE"""),0.125)</f>
        <v>0.125</v>
      </c>
      <c r="F196" s="137">
        <f>IFERROR(__xludf.DUMMYFUNCTION("""COMPUTED_VALUE"""),0.5833333333357587)</f>
        <v>0.5833333333</v>
      </c>
      <c r="G196" s="82">
        <f>IFERROR(__xludf.DUMMYFUNCTION("""COMPUTED_VALUE"""),0.125)</f>
        <v>0.125</v>
      </c>
      <c r="H196" s="74">
        <f>IFERROR(__xludf.DUMMYFUNCTION("""COMPUTED_VALUE"""),85.0)</f>
        <v>85</v>
      </c>
      <c r="I196" s="84">
        <f>IFERROR(__xludf.DUMMYFUNCTION("""COMPUTED_VALUE"""),28.333333333333332)</f>
        <v>28.33333333</v>
      </c>
      <c r="J196" s="74" t="str">
        <f>IFERROR(__xludf.DUMMYFUNCTION("""COMPUTED_VALUE"""),"Lunch")</f>
        <v>Lunch</v>
      </c>
      <c r="K196" s="113">
        <f>IFERROR(__xludf.DUMMYFUNCTION("""COMPUTED_VALUE"""),46108.0)</f>
        <v>46108</v>
      </c>
      <c r="L196" s="74" t="str">
        <f>IFERROR(__xludf.DUMMYFUNCTION("""COMPUTED_VALUE"""),"Friday")</f>
        <v>Friday</v>
      </c>
      <c r="M196" s="74" t="str">
        <f>IFERROR(__xludf.DUMMYFUNCTION("""COMPUTED_VALUE"""),"BF")</f>
        <v>BF</v>
      </c>
      <c r="N196" s="114">
        <f>IFERROR(__xludf.DUMMYFUNCTION("""COMPUTED_VALUE"""),0.9993892197489223)</f>
        <v>0.9993892197</v>
      </c>
      <c r="O196" s="74" t="str">
        <f>IFERROR(__xludf.DUMMYFUNCTION("""COMPUTED_VALUE"""),"")</f>
        <v/>
      </c>
      <c r="P196" s="74" t="str">
        <f>IFERROR(__xludf.DUMMYFUNCTION("""COMPUTED_VALUE"""),"")</f>
        <v/>
      </c>
      <c r="Q196" s="82" t="str">
        <f>IFERROR(__xludf.DUMMYFUNCTION("""COMPUTED_VALUE"""),"")</f>
        <v/>
      </c>
      <c r="R196" s="82" t="str">
        <f>IFERROR(__xludf.DUMMYFUNCTION("""COMPUTED_VALUE"""),"")</f>
        <v/>
      </c>
      <c r="S196" s="84" t="str">
        <f>IFERROR(__xludf.DUMMYFUNCTION("""COMPUTED_VALUE"""),"")</f>
        <v/>
      </c>
      <c r="T196" s="84" t="str">
        <f>IFERROR(__xludf.DUMMYFUNCTION("""COMPUTED_VALUE"""),"")</f>
        <v/>
      </c>
      <c r="U196" s="74" t="str">
        <f>IFERROR(__xludf.DUMMYFUNCTION("""COMPUTED_VALUE"""),"")</f>
        <v/>
      </c>
      <c r="V196" s="82" t="str">
        <f>IFERROR(__xludf.DUMMYFUNCTION("""COMPUTED_VALUE"""),"")</f>
        <v/>
      </c>
      <c r="W196" s="64" t="str">
        <f>IFERROR(__xludf.DUMMYFUNCTION("""COMPUTED_VALUE"""),"")</f>
        <v/>
      </c>
      <c r="X196" s="84" t="str">
        <f>IFERROR(__xludf.DUMMYFUNCTION("""COMPUTED_VALUE"""),"")</f>
        <v/>
      </c>
      <c r="Y196" s="114" t="str">
        <f>IFERROR(__xludf.DUMMYFUNCTION("""COMPUTED_VALUE"""),"")</f>
        <v/>
      </c>
    </row>
    <row r="197">
      <c r="A197" s="109">
        <f>IFERROR(__xludf.DUMMYFUNCTION("""COMPUTED_VALUE"""),46108.80097010417)</f>
        <v>46108.80097</v>
      </c>
      <c r="B197" s="81" t="str">
        <f>IFERROR(__xludf.DUMMYFUNCTION("""COMPUTED_VALUE"""),"Orpheus Wilson")</f>
        <v>Orpheus Wilson</v>
      </c>
      <c r="C197" s="74" t="b">
        <f>IFERROR(__xludf.DUMMYFUNCTION("""COMPUTED_VALUE"""),FALSE)</f>
        <v>0</v>
      </c>
      <c r="D197" s="137">
        <f>IFERROR(__xludf.DUMMYFUNCTION("""COMPUTED_VALUE"""),0.7541666666656965)</f>
        <v>0.7541666667</v>
      </c>
      <c r="E197" s="82">
        <f>IFERROR(__xludf.DUMMYFUNCTION("""COMPUTED_VALUE"""),0.04305555555652574)</f>
        <v>0.04305555556</v>
      </c>
      <c r="F197" s="137">
        <f>IFERROR(__xludf.DUMMYFUNCTION("""COMPUTED_VALUE"""),0.7972222222222223)</f>
        <v>0.7972222222</v>
      </c>
      <c r="G197" s="82">
        <f>IFERROR(__xludf.DUMMYFUNCTION("""COMPUTED_VALUE"""),0.06805555555798093)</f>
        <v>0.06805555556</v>
      </c>
      <c r="H197" s="74">
        <f>IFERROR(__xludf.DUMMYFUNCTION("""COMPUTED_VALUE"""),160.0)</f>
        <v>160</v>
      </c>
      <c r="I197" s="84">
        <f>IFERROR(__xludf.DUMMYFUNCTION("""COMPUTED_VALUE"""),145.71428570909274)</f>
        <v>145.7142857</v>
      </c>
      <c r="J197" s="74" t="str">
        <f>IFERROR(__xludf.DUMMYFUNCTION("""COMPUTED_VALUE"""),"Dinner")</f>
        <v>Dinner</v>
      </c>
      <c r="K197" s="113">
        <f>IFERROR(__xludf.DUMMYFUNCTION("""COMPUTED_VALUE"""),46108.0)</f>
        <v>46108</v>
      </c>
      <c r="L197" s="74" t="str">
        <f>IFERROR(__xludf.DUMMYFUNCTION("""COMPUTED_VALUE"""),"Friday")</f>
        <v>Friday</v>
      </c>
      <c r="M197" s="74" t="str">
        <f>IFERROR(__xludf.DUMMYFUNCTION("""COMPUTED_VALUE"""),"MF")</f>
        <v>MF</v>
      </c>
      <c r="N197" s="114">
        <f>IFERROR(__xludf.DUMMYFUNCTION("""COMPUTED_VALUE"""),3.141769973769186)</f>
        <v>3.141769974</v>
      </c>
      <c r="O197" s="74" t="str">
        <f>IFERROR(__xludf.DUMMYFUNCTION("""COMPUTED_VALUE"""),"")</f>
        <v/>
      </c>
      <c r="P197" s="74" t="str">
        <f>IFERROR(__xludf.DUMMYFUNCTION("""COMPUTED_VALUE"""),"")</f>
        <v/>
      </c>
      <c r="Q197" s="82" t="str">
        <f>IFERROR(__xludf.DUMMYFUNCTION("""COMPUTED_VALUE"""),"")</f>
        <v/>
      </c>
      <c r="R197" s="82" t="str">
        <f>IFERROR(__xludf.DUMMYFUNCTION("""COMPUTED_VALUE"""),"")</f>
        <v/>
      </c>
      <c r="S197" s="84" t="str">
        <f>IFERROR(__xludf.DUMMYFUNCTION("""COMPUTED_VALUE"""),"")</f>
        <v/>
      </c>
      <c r="T197" s="84" t="str">
        <f>IFERROR(__xludf.DUMMYFUNCTION("""COMPUTED_VALUE"""),"")</f>
        <v/>
      </c>
      <c r="U197" s="74" t="str">
        <f>IFERROR(__xludf.DUMMYFUNCTION("""COMPUTED_VALUE"""),"")</f>
        <v/>
      </c>
      <c r="V197" s="82" t="str">
        <f>IFERROR(__xludf.DUMMYFUNCTION("""COMPUTED_VALUE"""),"")</f>
        <v/>
      </c>
      <c r="W197" s="64" t="str">
        <f>IFERROR(__xludf.DUMMYFUNCTION("""COMPUTED_VALUE"""),"")</f>
        <v/>
      </c>
      <c r="X197" s="84" t="str">
        <f>IFERROR(__xludf.DUMMYFUNCTION("""COMPUTED_VALUE"""),"")</f>
        <v/>
      </c>
      <c r="Y197" s="114" t="str">
        <f>IFERROR(__xludf.DUMMYFUNCTION("""COMPUTED_VALUE"""),"")</f>
        <v/>
      </c>
    </row>
    <row r="198">
      <c r="A198" s="109">
        <f>IFERROR(__xludf.DUMMYFUNCTION("""COMPUTED_VALUE"""),46108.82824131944)</f>
        <v>46108.82824</v>
      </c>
      <c r="B198" s="81" t="str">
        <f>IFERROR(__xludf.DUMMYFUNCTION("""COMPUTED_VALUE"""),"Orpheus Wilson")</f>
        <v>Orpheus Wilson</v>
      </c>
      <c r="C198" s="74" t="b">
        <f>IFERROR(__xludf.DUMMYFUNCTION("""COMPUTED_VALUE"""),TRUE)</f>
        <v>1</v>
      </c>
      <c r="D198" s="137">
        <f>IFERROR(__xludf.DUMMYFUNCTION("""COMPUTED_VALUE"""),0.8027777777751908)</f>
        <v>0.8027777778</v>
      </c>
      <c r="E198" s="82">
        <f>IFERROR(__xludf.DUMMYFUNCTION("""COMPUTED_VALUE"""),0.02500000000145519)</f>
        <v>0.025</v>
      </c>
      <c r="F198" s="137">
        <f>IFERROR(__xludf.DUMMYFUNCTION("""COMPUTED_VALUE"""),0.827777777776646)</f>
        <v>0.8277777778</v>
      </c>
      <c r="G198" s="82" t="str">
        <f>IFERROR(__xludf.DUMMYFUNCTION("""COMPUTED_VALUE"""),"")</f>
        <v/>
      </c>
      <c r="H198" s="74">
        <f>IFERROR(__xludf.DUMMYFUNCTION("""COMPUTED_VALUE"""),78.0)</f>
        <v>78</v>
      </c>
      <c r="I198" s="84" t="str">
        <f>IFERROR(__xludf.DUMMYFUNCTION("""COMPUTED_VALUE"""),"")</f>
        <v/>
      </c>
      <c r="J198" s="74" t="str">
        <f>IFERROR(__xludf.DUMMYFUNCTION("""COMPUTED_VALUE"""),"Dinner")</f>
        <v>Dinner</v>
      </c>
      <c r="K198" s="113">
        <f>IFERROR(__xludf.DUMMYFUNCTION("""COMPUTED_VALUE"""),46108.0)</f>
        <v>46108</v>
      </c>
      <c r="L198" s="74" t="str">
        <f>IFERROR(__xludf.DUMMYFUNCTION("""COMPUTED_VALUE"""),"Friday")</f>
        <v>Friday</v>
      </c>
      <c r="M198" s="74" t="str">
        <f>IFERROR(__xludf.DUMMYFUNCTION("""COMPUTED_VALUE"""),"MF")</f>
        <v>MF</v>
      </c>
      <c r="N198" s="114" t="str">
        <f>IFERROR(__xludf.DUMMYFUNCTION("""COMPUTED_VALUE"""),"")</f>
        <v/>
      </c>
      <c r="O198" s="74">
        <f>IFERROR(__xludf.DUMMYFUNCTION("""COMPUTED_VALUE"""),298.0)</f>
        <v>298</v>
      </c>
      <c r="P198" s="74">
        <f>IFERROR(__xludf.DUMMYFUNCTION("""COMPUTED_VALUE"""),221.0)</f>
        <v>221</v>
      </c>
      <c r="Q198" s="82">
        <f>IFERROR(__xludf.DUMMYFUNCTION("""COMPUTED_VALUE"""),0.12013888888646362)</f>
        <v>0.1201388889</v>
      </c>
      <c r="R198" s="82">
        <f>IFERROR(__xludf.DUMMYFUNCTION("""COMPUTED_VALUE"""),0.24930555555329192)</f>
        <v>0.2493055556</v>
      </c>
      <c r="S198" s="84">
        <f>IFERROR(__xludf.DUMMYFUNCTION("""COMPUTED_VALUE"""),96.85714285678154)</f>
        <v>96.85714286</v>
      </c>
      <c r="T198" s="84">
        <f>IFERROR(__xludf.DUMMYFUNCTION("""COMPUTED_VALUE"""),39.86641697943496)</f>
        <v>39.86641698</v>
      </c>
      <c r="U198" s="74">
        <f>IFERROR(__xludf.DUMMYFUNCTION("""COMPUTED_VALUE"""),519.0)</f>
        <v>519</v>
      </c>
      <c r="V198" s="82">
        <f>IFERROR(__xludf.DUMMYFUNCTION("""COMPUTED_VALUE"""),0.36944444443975555)</f>
        <v>0.3694444444</v>
      </c>
      <c r="W198" s="64">
        <f>IFERROR(__xludf.DUMMYFUNCTION("""COMPUTED_VALUE"""),58.533834587209064)</f>
        <v>58.53383459</v>
      </c>
      <c r="X198" s="84">
        <f>IFERROR(__xludf.DUMMYFUNCTION("""COMPUTED_VALUE"""),62.662707330373586)</f>
        <v>62.66270733</v>
      </c>
      <c r="Y198" s="114">
        <f>IFERROR(__xludf.DUMMYFUNCTION("""COMPUTED_VALUE"""),1.0527363810575072)</f>
        <v>1.052736381</v>
      </c>
    </row>
    <row r="199">
      <c r="A199" s="109">
        <f>IFERROR(__xludf.DUMMYFUNCTION("""COMPUTED_VALUE"""),46111.64096983796)</f>
        <v>46111.64097</v>
      </c>
      <c r="B199" s="81" t="str">
        <f>IFERROR(__xludf.DUMMYFUNCTION("""COMPUTED_VALUE"""),"Brynn Hornig")</f>
        <v>Brynn Hornig</v>
      </c>
      <c r="C199" s="74" t="b">
        <f>IFERROR(__xludf.DUMMYFUNCTION("""COMPUTED_VALUE"""),FALSE)</f>
        <v>0</v>
      </c>
      <c r="D199" s="137">
        <f>IFERROR(__xludf.DUMMYFUNCTION("""COMPUTED_VALUE"""),0.5208333333357587)</f>
        <v>0.5208333333</v>
      </c>
      <c r="E199" s="82">
        <f>IFERROR(__xludf.DUMMYFUNCTION("""COMPUTED_VALUE"""),0.125)</f>
        <v>0.125</v>
      </c>
      <c r="F199" s="137">
        <f>IFERROR(__xludf.DUMMYFUNCTION("""COMPUTED_VALUE"""),0.6458333333357587)</f>
        <v>0.6458333333</v>
      </c>
      <c r="G199" s="82">
        <f>IFERROR(__xludf.DUMMYFUNCTION("""COMPUTED_VALUE"""),0.125)</f>
        <v>0.125</v>
      </c>
      <c r="H199" s="74">
        <f>IFERROR(__xludf.DUMMYFUNCTION("""COMPUTED_VALUE"""),93.0)</f>
        <v>93</v>
      </c>
      <c r="I199" s="84">
        <f>IFERROR(__xludf.DUMMYFUNCTION("""COMPUTED_VALUE"""),31.0)</f>
        <v>31</v>
      </c>
      <c r="J199" s="74" t="str">
        <f>IFERROR(__xludf.DUMMYFUNCTION("""COMPUTED_VALUE"""),"Lunch")</f>
        <v>Lunch</v>
      </c>
      <c r="K199" s="113">
        <f>IFERROR(__xludf.DUMMYFUNCTION("""COMPUTED_VALUE"""),46111.0)</f>
        <v>46111</v>
      </c>
      <c r="L199" s="74" t="str">
        <f>IFERROR(__xludf.DUMMYFUNCTION("""COMPUTED_VALUE"""),"Monday")</f>
        <v>Monday</v>
      </c>
      <c r="M199" s="74" t="str">
        <f>IFERROR(__xludf.DUMMYFUNCTION("""COMPUTED_VALUE"""),"BF")</f>
        <v>BF</v>
      </c>
      <c r="N199" s="114">
        <f>IFERROR(__xludf.DUMMYFUNCTION("""COMPUTED_VALUE"""),1.0934493816076443)</f>
        <v>1.093449382</v>
      </c>
      <c r="O199" s="74" t="str">
        <f>IFERROR(__xludf.DUMMYFUNCTION("""COMPUTED_VALUE"""),"")</f>
        <v/>
      </c>
      <c r="P199" s="74" t="str">
        <f>IFERROR(__xludf.DUMMYFUNCTION("""COMPUTED_VALUE"""),"")</f>
        <v/>
      </c>
      <c r="Q199" s="82" t="str">
        <f>IFERROR(__xludf.DUMMYFUNCTION("""COMPUTED_VALUE"""),"")</f>
        <v/>
      </c>
      <c r="R199" s="82" t="str">
        <f>IFERROR(__xludf.DUMMYFUNCTION("""COMPUTED_VALUE"""),"")</f>
        <v/>
      </c>
      <c r="S199" s="84" t="str">
        <f>IFERROR(__xludf.DUMMYFUNCTION("""COMPUTED_VALUE"""),"")</f>
        <v/>
      </c>
      <c r="T199" s="84" t="str">
        <f>IFERROR(__xludf.DUMMYFUNCTION("""COMPUTED_VALUE"""),"")</f>
        <v/>
      </c>
      <c r="U199" s="74" t="str">
        <f>IFERROR(__xludf.DUMMYFUNCTION("""COMPUTED_VALUE"""),"")</f>
        <v/>
      </c>
      <c r="V199" s="82" t="str">
        <f>IFERROR(__xludf.DUMMYFUNCTION("""COMPUTED_VALUE"""),"")</f>
        <v/>
      </c>
      <c r="W199" s="64" t="str">
        <f>IFERROR(__xludf.DUMMYFUNCTION("""COMPUTED_VALUE"""),"")</f>
        <v/>
      </c>
      <c r="X199" s="84" t="str">
        <f>IFERROR(__xludf.DUMMYFUNCTION("""COMPUTED_VALUE"""),"")</f>
        <v/>
      </c>
      <c r="Y199" s="114" t="str">
        <f>IFERROR(__xludf.DUMMYFUNCTION("""COMPUTED_VALUE"""),"")</f>
        <v/>
      </c>
    </row>
    <row r="200">
      <c r="A200" s="109">
        <f>IFERROR(__xludf.DUMMYFUNCTION("""COMPUTED_VALUE"""),46111.74912800926)</f>
        <v>46111.74913</v>
      </c>
      <c r="B200" s="81" t="str">
        <f>IFERROR(__xludf.DUMMYFUNCTION("""COMPUTED_VALUE"""),"Orpheus Wilson")</f>
        <v>Orpheus Wilson</v>
      </c>
      <c r="C200" s="74" t="b">
        <f>IFERROR(__xludf.DUMMYFUNCTION("""COMPUTED_VALUE"""),FALSE)</f>
        <v>0</v>
      </c>
      <c r="D200" s="137">
        <f>IFERROR(__xludf.DUMMYFUNCTION("""COMPUTED_VALUE"""),0.6729166666627862)</f>
        <v>0.6729166667</v>
      </c>
      <c r="E200" s="82">
        <f>IFERROR(__xludf.DUMMYFUNCTION("""COMPUTED_VALUE"""),0.07569444444379769)</f>
        <v>0.07569444444</v>
      </c>
      <c r="F200" s="137">
        <f>IFERROR(__xludf.DUMMYFUNCTION("""COMPUTED_VALUE"""),0.7486111111065838)</f>
        <v>0.7486111111</v>
      </c>
      <c r="G200" s="82">
        <f>IFERROR(__xludf.DUMMYFUNCTION("""COMPUTED_VALUE"""),0.07569444444379769)</f>
        <v>0.07569444444</v>
      </c>
      <c r="H200" s="74">
        <f>IFERROR(__xludf.DUMMYFUNCTION("""COMPUTED_VALUE"""),131.0)</f>
        <v>131</v>
      </c>
      <c r="I200" s="84">
        <f>IFERROR(__xludf.DUMMYFUNCTION("""COMPUTED_VALUE"""),72.1100917437354)</f>
        <v>72.11009174</v>
      </c>
      <c r="J200" s="74" t="str">
        <f>IFERROR(__xludf.DUMMYFUNCTION("""COMPUTED_VALUE"""),"Dinner")</f>
        <v>Dinner</v>
      </c>
      <c r="K200" s="113">
        <f>IFERROR(__xludf.DUMMYFUNCTION("""COMPUTED_VALUE"""),46111.0)</f>
        <v>46111</v>
      </c>
      <c r="L200" s="74" t="str">
        <f>IFERROR(__xludf.DUMMYFUNCTION("""COMPUTED_VALUE"""),"Monday")</f>
        <v>Monday</v>
      </c>
      <c r="M200" s="74" t="str">
        <f>IFERROR(__xludf.DUMMYFUNCTION("""COMPUTED_VALUE"""),"MF")</f>
        <v>MF</v>
      </c>
      <c r="N200" s="114">
        <f>IFERROR(__xludf.DUMMYFUNCTION("""COMPUTED_VALUE"""),1.554777693509786)</f>
        <v>1.554777694</v>
      </c>
      <c r="O200" s="74" t="str">
        <f>IFERROR(__xludf.DUMMYFUNCTION("""COMPUTED_VALUE"""),"")</f>
        <v/>
      </c>
      <c r="P200" s="74" t="str">
        <f>IFERROR(__xludf.DUMMYFUNCTION("""COMPUTED_VALUE"""),"")</f>
        <v/>
      </c>
      <c r="Q200" s="82" t="str">
        <f>IFERROR(__xludf.DUMMYFUNCTION("""COMPUTED_VALUE"""),"")</f>
        <v/>
      </c>
      <c r="R200" s="82" t="str">
        <f>IFERROR(__xludf.DUMMYFUNCTION("""COMPUTED_VALUE"""),"")</f>
        <v/>
      </c>
      <c r="S200" s="84" t="str">
        <f>IFERROR(__xludf.DUMMYFUNCTION("""COMPUTED_VALUE"""),"")</f>
        <v/>
      </c>
      <c r="T200" s="84" t="str">
        <f>IFERROR(__xludf.DUMMYFUNCTION("""COMPUTED_VALUE"""),"")</f>
        <v/>
      </c>
      <c r="U200" s="74" t="str">
        <f>IFERROR(__xludf.DUMMYFUNCTION("""COMPUTED_VALUE"""),"")</f>
        <v/>
      </c>
      <c r="V200" s="82" t="str">
        <f>IFERROR(__xludf.DUMMYFUNCTION("""COMPUTED_VALUE"""),"")</f>
        <v/>
      </c>
      <c r="W200" s="64" t="str">
        <f>IFERROR(__xludf.DUMMYFUNCTION("""COMPUTED_VALUE"""),"")</f>
        <v/>
      </c>
      <c r="X200" s="84" t="str">
        <f>IFERROR(__xludf.DUMMYFUNCTION("""COMPUTED_VALUE"""),"")</f>
        <v/>
      </c>
      <c r="Y200" s="114" t="str">
        <f>IFERROR(__xludf.DUMMYFUNCTION("""COMPUTED_VALUE"""),"")</f>
        <v/>
      </c>
    </row>
    <row r="201">
      <c r="A201" s="109">
        <f>IFERROR(__xludf.DUMMYFUNCTION("""COMPUTED_VALUE"""),46111.87155268519)</f>
        <v>46111.87155</v>
      </c>
      <c r="B201" s="81" t="str">
        <f>IFERROR(__xludf.DUMMYFUNCTION("""COMPUTED_VALUE"""),"Maureen Surgot")</f>
        <v>Maureen Surgot</v>
      </c>
      <c r="C201" s="74" t="b">
        <f>IFERROR(__xludf.DUMMYFUNCTION("""COMPUTED_VALUE"""),FALSE)</f>
        <v>0</v>
      </c>
      <c r="D201" s="137">
        <f>IFERROR(__xludf.DUMMYFUNCTION("""COMPUTED_VALUE"""),0.75)</f>
        <v>0.75</v>
      </c>
      <c r="E201" s="82">
        <f>IFERROR(__xludf.DUMMYFUNCTION("""COMPUTED_VALUE"""),0.125)</f>
        <v>0.125</v>
      </c>
      <c r="F201" s="137">
        <f>IFERROR(__xludf.DUMMYFUNCTION("""COMPUTED_VALUE"""),0.875)</f>
        <v>0.875</v>
      </c>
      <c r="G201" s="82">
        <f>IFERROR(__xludf.DUMMYFUNCTION("""COMPUTED_VALUE"""),0.125)</f>
        <v>0.125</v>
      </c>
      <c r="H201" s="74">
        <f>IFERROR(__xludf.DUMMYFUNCTION("""COMPUTED_VALUE"""),186.0)</f>
        <v>186</v>
      </c>
      <c r="I201" s="84">
        <f>IFERROR(__xludf.DUMMYFUNCTION("""COMPUTED_VALUE"""),62.0)</f>
        <v>62</v>
      </c>
      <c r="J201" s="74" t="str">
        <f>IFERROR(__xludf.DUMMYFUNCTION("""COMPUTED_VALUE"""),"Dinner")</f>
        <v>Dinner</v>
      </c>
      <c r="K201" s="113">
        <f>IFERROR(__xludf.DUMMYFUNCTION("""COMPUTED_VALUE"""),46111.0)</f>
        <v>46111</v>
      </c>
      <c r="L201" s="74" t="str">
        <f>IFERROR(__xludf.DUMMYFUNCTION("""COMPUTED_VALUE"""),"Monday")</f>
        <v>Monday</v>
      </c>
      <c r="M201" s="74" t="str">
        <f>IFERROR(__xludf.DUMMYFUNCTION("""COMPUTED_VALUE"""),"MF")</f>
        <v>MF</v>
      </c>
      <c r="N201" s="114">
        <f>IFERROR(__xludf.DUMMYFUNCTION("""COMPUTED_VALUE"""),1.33679232222002)</f>
        <v>1.336792322</v>
      </c>
      <c r="O201" s="74">
        <f>IFERROR(__xludf.DUMMYFUNCTION("""COMPUTED_VALUE"""),494.0)</f>
        <v>494</v>
      </c>
      <c r="P201" s="74">
        <f>IFERROR(__xludf.DUMMYFUNCTION("""COMPUTED_VALUE"""),179.0)</f>
        <v>179</v>
      </c>
      <c r="Q201" s="82">
        <f>IFERROR(__xludf.DUMMYFUNCTION("""COMPUTED_VALUE"""),0.2750000000014552)</f>
        <v>0.275</v>
      </c>
      <c r="R201" s="82">
        <f>IFERROR(__xludf.DUMMYFUNCTION("""COMPUTED_VALUE"""),0.17013888889050577)</f>
        <v>0.1701388889</v>
      </c>
      <c r="S201" s="84">
        <f>IFERROR(__xludf.DUMMYFUNCTION("""COMPUTED_VALUE"""),77.78747606317529)</f>
        <v>77.78747606</v>
      </c>
      <c r="T201" s="84">
        <f>IFERROR(__xludf.DUMMYFUNCTION("""COMPUTED_VALUE"""),55.19230769088591)</f>
        <v>55.19230769</v>
      </c>
      <c r="U201" s="74">
        <f>IFERROR(__xludf.DUMMYFUNCTION("""COMPUTED_VALUE"""),673.0)</f>
        <v>673</v>
      </c>
      <c r="V201" s="82">
        <f>IFERROR(__xludf.DUMMYFUNCTION("""COMPUTED_VALUE"""),0.44513888889196096)</f>
        <v>0.4451388889</v>
      </c>
      <c r="W201" s="64">
        <f>IFERROR(__xludf.DUMMYFUNCTION("""COMPUTED_VALUE"""),62.99531981235776)</f>
        <v>62.99531981</v>
      </c>
      <c r="X201" s="84">
        <f>IFERROR(__xludf.DUMMYFUNCTION("""COMPUTED_VALUE"""),68.74940871425954)</f>
        <v>68.74940871</v>
      </c>
      <c r="Y201" s="114">
        <f>IFERROR(__xludf.DUMMYFUNCTION("""COMPUTED_VALUE"""),1.2673374825385708)</f>
        <v>1.267337483</v>
      </c>
    </row>
    <row r="202">
      <c r="A202" s="109">
        <f>IFERROR(__xludf.DUMMYFUNCTION("""COMPUTED_VALUE"""),46112.53181204861)</f>
        <v>46112.53181</v>
      </c>
      <c r="B202" s="81" t="str">
        <f>IFERROR(__xludf.DUMMYFUNCTION("""COMPUTED_VALUE"""),"Kaylie Forgue")</f>
        <v>Kaylie Forgue</v>
      </c>
      <c r="C202" s="74" t="b">
        <f>IFERROR(__xludf.DUMMYFUNCTION("""COMPUTED_VALUE"""),FALSE)</f>
        <v>0</v>
      </c>
      <c r="D202" s="137">
        <f>IFERROR(__xludf.DUMMYFUNCTION("""COMPUTED_VALUE"""),0.445138888884685)</f>
        <v>0.4451388889</v>
      </c>
      <c r="E202" s="82">
        <f>IFERROR(__xludf.DUMMYFUNCTION("""COMPUTED_VALUE"""),0.05555555556202307)</f>
        <v>0.05555555556</v>
      </c>
      <c r="F202" s="137">
        <f>IFERROR(__xludf.DUMMYFUNCTION("""COMPUTED_VALUE"""),0.5006944444467081)</f>
        <v>0.5006944444</v>
      </c>
      <c r="G202" s="82">
        <f>IFERROR(__xludf.DUMMYFUNCTION("""COMPUTED_VALUE"""),0.0743055555576575)</f>
        <v>0.07430555556</v>
      </c>
      <c r="H202" s="74">
        <f>IFERROR(__xludf.DUMMYFUNCTION("""COMPUTED_VALUE"""),107.0)</f>
        <v>107</v>
      </c>
      <c r="I202" s="84">
        <f>IFERROR(__xludf.DUMMYFUNCTION("""COMPUTED_VALUE"""),70.65420560547798)</f>
        <v>70.65420561</v>
      </c>
      <c r="J202" s="74" t="str">
        <f>IFERROR(__xludf.DUMMYFUNCTION("""COMPUTED_VALUE"""),"Breakfast/Lunch")</f>
        <v>Breakfast/Lunch</v>
      </c>
      <c r="K202" s="113">
        <f>IFERROR(__xludf.DUMMYFUNCTION("""COMPUTED_VALUE"""),46112.0)</f>
        <v>46112</v>
      </c>
      <c r="L202" s="74" t="str">
        <f>IFERROR(__xludf.DUMMYFUNCTION("""COMPUTED_VALUE"""),"Tuesday")</f>
        <v>Tuesday</v>
      </c>
      <c r="M202" s="74" t="str">
        <f>IFERROR(__xludf.DUMMYFUNCTION("""COMPUTED_VALUE"""),"BF")</f>
        <v>BF</v>
      </c>
      <c r="N202" s="114">
        <f>IFERROR(__xludf.DUMMYFUNCTION("""COMPUTED_VALUE"""),2.190472146491895)</f>
        <v>2.190472146</v>
      </c>
      <c r="O202" s="74" t="str">
        <f>IFERROR(__xludf.DUMMYFUNCTION("""COMPUTED_VALUE"""),"")</f>
        <v/>
      </c>
      <c r="P202" s="74" t="str">
        <f>IFERROR(__xludf.DUMMYFUNCTION("""COMPUTED_VALUE"""),"")</f>
        <v/>
      </c>
      <c r="Q202" s="82" t="str">
        <f>IFERROR(__xludf.DUMMYFUNCTION("""COMPUTED_VALUE"""),"")</f>
        <v/>
      </c>
      <c r="R202" s="82" t="str">
        <f>IFERROR(__xludf.DUMMYFUNCTION("""COMPUTED_VALUE"""),"")</f>
        <v/>
      </c>
      <c r="S202" s="84" t="str">
        <f>IFERROR(__xludf.DUMMYFUNCTION("""COMPUTED_VALUE"""),"")</f>
        <v/>
      </c>
      <c r="T202" s="84" t="str">
        <f>IFERROR(__xludf.DUMMYFUNCTION("""COMPUTED_VALUE"""),"")</f>
        <v/>
      </c>
      <c r="U202" s="74" t="str">
        <f>IFERROR(__xludf.DUMMYFUNCTION("""COMPUTED_VALUE"""),"")</f>
        <v/>
      </c>
      <c r="V202" s="82" t="str">
        <f>IFERROR(__xludf.DUMMYFUNCTION("""COMPUTED_VALUE"""),"")</f>
        <v/>
      </c>
      <c r="W202" s="64" t="str">
        <f>IFERROR(__xludf.DUMMYFUNCTION("""COMPUTED_VALUE"""),"")</f>
        <v/>
      </c>
      <c r="X202" s="84" t="str">
        <f>IFERROR(__xludf.DUMMYFUNCTION("""COMPUTED_VALUE"""),"")</f>
        <v/>
      </c>
      <c r="Y202" s="114" t="str">
        <f>IFERROR(__xludf.DUMMYFUNCTION("""COMPUTED_VALUE"""),"")</f>
        <v/>
      </c>
    </row>
    <row r="203">
      <c r="A203" s="109">
        <f>IFERROR(__xludf.DUMMYFUNCTION("""COMPUTED_VALUE"""),46112.53349332176)</f>
        <v>46112.53349</v>
      </c>
      <c r="B203" s="81" t="str">
        <f>IFERROR(__xludf.DUMMYFUNCTION("""COMPUTED_VALUE"""),"Kaylie Forgue")</f>
        <v>Kaylie Forgue</v>
      </c>
      <c r="C203" s="74" t="b">
        <f>IFERROR(__xludf.DUMMYFUNCTION("""COMPUTED_VALUE"""),TRUE)</f>
        <v>1</v>
      </c>
      <c r="D203" s="137">
        <f>IFERROR(__xludf.DUMMYFUNCTION("""COMPUTED_VALUE"""),0.5013888888934162)</f>
        <v>0.5013888889</v>
      </c>
      <c r="E203" s="82">
        <f>IFERROR(__xludf.DUMMYFUNCTION("""COMPUTED_VALUE"""),0.018749999995634425)</f>
        <v>0.01875</v>
      </c>
      <c r="F203" s="137">
        <f>IFERROR(__xludf.DUMMYFUNCTION("""COMPUTED_VALUE"""),0.5201388888890506)</f>
        <v>0.5201388889</v>
      </c>
      <c r="G203" s="82" t="str">
        <f>IFERROR(__xludf.DUMMYFUNCTION("""COMPUTED_VALUE"""),"")</f>
        <v/>
      </c>
      <c r="H203" s="74">
        <f>IFERROR(__xludf.DUMMYFUNCTION("""COMPUTED_VALUE"""),19.0)</f>
        <v>19</v>
      </c>
      <c r="I203" s="84" t="str">
        <f>IFERROR(__xludf.DUMMYFUNCTION("""COMPUTED_VALUE"""),"")</f>
        <v/>
      </c>
      <c r="J203" s="74" t="str">
        <f>IFERROR(__xludf.DUMMYFUNCTION("""COMPUTED_VALUE"""),"Lunch")</f>
        <v>Lunch</v>
      </c>
      <c r="K203" s="113">
        <f>IFERROR(__xludf.DUMMYFUNCTION("""COMPUTED_VALUE"""),46112.0)</f>
        <v>46112</v>
      </c>
      <c r="L203" s="74" t="str">
        <f>IFERROR(__xludf.DUMMYFUNCTION("""COMPUTED_VALUE"""),"Tuesday")</f>
        <v>Tuesday</v>
      </c>
      <c r="M203" s="74" t="str">
        <f>IFERROR(__xludf.DUMMYFUNCTION("""COMPUTED_VALUE"""),"BF")</f>
        <v>BF</v>
      </c>
      <c r="N203" s="114" t="str">
        <f>IFERROR(__xludf.DUMMYFUNCTION("""COMPUTED_VALUE"""),"")</f>
        <v/>
      </c>
      <c r="O203" s="74" t="str">
        <f>IFERROR(__xludf.DUMMYFUNCTION("""COMPUTED_VALUE"""),"")</f>
        <v/>
      </c>
      <c r="P203" s="74" t="str">
        <f>IFERROR(__xludf.DUMMYFUNCTION("""COMPUTED_VALUE"""),"")</f>
        <v/>
      </c>
      <c r="Q203" s="82" t="str">
        <f>IFERROR(__xludf.DUMMYFUNCTION("""COMPUTED_VALUE"""),"")</f>
        <v/>
      </c>
      <c r="R203" s="82" t="str">
        <f>IFERROR(__xludf.DUMMYFUNCTION("""COMPUTED_VALUE"""),"")</f>
        <v/>
      </c>
      <c r="S203" s="84" t="str">
        <f>IFERROR(__xludf.DUMMYFUNCTION("""COMPUTED_VALUE"""),"")</f>
        <v/>
      </c>
      <c r="T203" s="84" t="str">
        <f>IFERROR(__xludf.DUMMYFUNCTION("""COMPUTED_VALUE"""),"")</f>
        <v/>
      </c>
      <c r="U203" s="74" t="str">
        <f>IFERROR(__xludf.DUMMYFUNCTION("""COMPUTED_VALUE"""),"")</f>
        <v/>
      </c>
      <c r="V203" s="82" t="str">
        <f>IFERROR(__xludf.DUMMYFUNCTION("""COMPUTED_VALUE"""),"")</f>
        <v/>
      </c>
      <c r="W203" s="64" t="str">
        <f>IFERROR(__xludf.DUMMYFUNCTION("""COMPUTED_VALUE"""),"")</f>
        <v/>
      </c>
      <c r="X203" s="84" t="str">
        <f>IFERROR(__xludf.DUMMYFUNCTION("""COMPUTED_VALUE"""),"")</f>
        <v/>
      </c>
      <c r="Y203" s="114" t="str">
        <f>IFERROR(__xludf.DUMMYFUNCTION("""COMPUTED_VALUE"""),"")</f>
        <v/>
      </c>
    </row>
    <row r="204">
      <c r="A204" s="109">
        <f>IFERROR(__xludf.DUMMYFUNCTION("""COMPUTED_VALUE"""),46112.57281380787)</f>
        <v>46112.57281</v>
      </c>
      <c r="B204" s="81" t="str">
        <f>IFERROR(__xludf.DUMMYFUNCTION("""COMPUTED_VALUE"""),"Kyra Turner")</f>
        <v>Kyra Turner</v>
      </c>
      <c r="C204" s="74" t="b">
        <f>IFERROR(__xludf.DUMMYFUNCTION("""COMPUTED_VALUE"""),FALSE)</f>
        <v>0</v>
      </c>
      <c r="D204" s="137">
        <f>IFERROR(__xludf.DUMMYFUNCTION("""COMPUTED_VALUE"""),0.48263888889050577)</f>
        <v>0.4826388889</v>
      </c>
      <c r="E204" s="82">
        <f>IFERROR(__xludf.DUMMYFUNCTION("""COMPUTED_VALUE"""),0.08611111110803904)</f>
        <v>0.08611111111</v>
      </c>
      <c r="F204" s="137">
        <f>IFERROR(__xludf.DUMMYFUNCTION("""COMPUTED_VALUE"""),0.5687499999985448)</f>
        <v>0.56875</v>
      </c>
      <c r="G204" s="82">
        <f>IFERROR(__xludf.DUMMYFUNCTION("""COMPUTED_VALUE"""),0.13055555555183673)</f>
        <v>0.1305555556</v>
      </c>
      <c r="H204" s="74">
        <f>IFERROR(__xludf.DUMMYFUNCTION("""COMPUTED_VALUE"""),187.0)</f>
        <v>187</v>
      </c>
      <c r="I204" s="84">
        <f>IFERROR(__xludf.DUMMYFUNCTION("""COMPUTED_VALUE"""),92.87234042817735)</f>
        <v>92.87234043</v>
      </c>
      <c r="J204" s="74" t="str">
        <f>IFERROR(__xludf.DUMMYFUNCTION("""COMPUTED_VALUE"""),"Lunch")</f>
        <v>Lunch</v>
      </c>
      <c r="K204" s="113">
        <f>IFERROR(__xludf.DUMMYFUNCTION("""COMPUTED_VALUE"""),46112.0)</f>
        <v>46112</v>
      </c>
      <c r="L204" s="74" t="str">
        <f>IFERROR(__xludf.DUMMYFUNCTION("""COMPUTED_VALUE"""),"Tuesday")</f>
        <v>Tuesday</v>
      </c>
      <c r="M204" s="74" t="str">
        <f>IFERROR(__xludf.DUMMYFUNCTION("""COMPUTED_VALUE"""),"MF")</f>
        <v>MF</v>
      </c>
      <c r="N204" s="114">
        <f>IFERROR(__xludf.DUMMYFUNCTION("""COMPUTED_VALUE"""),1.8471950844949665)</f>
        <v>1.847195084</v>
      </c>
      <c r="O204" s="74" t="str">
        <f>IFERROR(__xludf.DUMMYFUNCTION("""COMPUTED_VALUE"""),"")</f>
        <v/>
      </c>
      <c r="P204" s="74" t="str">
        <f>IFERROR(__xludf.DUMMYFUNCTION("""COMPUTED_VALUE"""),"")</f>
        <v/>
      </c>
      <c r="Q204" s="82" t="str">
        <f>IFERROR(__xludf.DUMMYFUNCTION("""COMPUTED_VALUE"""),"")</f>
        <v/>
      </c>
      <c r="R204" s="82" t="str">
        <f>IFERROR(__xludf.DUMMYFUNCTION("""COMPUTED_VALUE"""),"")</f>
        <v/>
      </c>
      <c r="S204" s="84" t="str">
        <f>IFERROR(__xludf.DUMMYFUNCTION("""COMPUTED_VALUE"""),"")</f>
        <v/>
      </c>
      <c r="T204" s="84" t="str">
        <f>IFERROR(__xludf.DUMMYFUNCTION("""COMPUTED_VALUE"""),"")</f>
        <v/>
      </c>
      <c r="U204" s="74" t="str">
        <f>IFERROR(__xludf.DUMMYFUNCTION("""COMPUTED_VALUE"""),"")</f>
        <v/>
      </c>
      <c r="V204" s="82" t="str">
        <f>IFERROR(__xludf.DUMMYFUNCTION("""COMPUTED_VALUE"""),"")</f>
        <v/>
      </c>
      <c r="W204" s="64" t="str">
        <f>IFERROR(__xludf.DUMMYFUNCTION("""COMPUTED_VALUE"""),"")</f>
        <v/>
      </c>
      <c r="X204" s="84" t="str">
        <f>IFERROR(__xludf.DUMMYFUNCTION("""COMPUTED_VALUE"""),"")</f>
        <v/>
      </c>
      <c r="Y204" s="114" t="str">
        <f>IFERROR(__xludf.DUMMYFUNCTION("""COMPUTED_VALUE"""),"")</f>
        <v/>
      </c>
    </row>
    <row r="205">
      <c r="A205" s="109">
        <f>IFERROR(__xludf.DUMMYFUNCTION("""COMPUTED_VALUE"""),46112.622651655096)</f>
        <v>46112.62265</v>
      </c>
      <c r="B205" s="81" t="str">
        <f>IFERROR(__xludf.DUMMYFUNCTION("""COMPUTED_VALUE"""),"Kyra Turner")</f>
        <v>Kyra Turner</v>
      </c>
      <c r="C205" s="74" t="b">
        <f>IFERROR(__xludf.DUMMYFUNCTION("""COMPUTED_VALUE"""),TRUE)</f>
        <v>1</v>
      </c>
      <c r="D205" s="137">
        <f>IFERROR(__xludf.DUMMYFUNCTION("""COMPUTED_VALUE"""),0.5756944444437977)</f>
        <v>0.5756944444</v>
      </c>
      <c r="E205" s="82">
        <f>IFERROR(__xludf.DUMMYFUNCTION("""COMPUTED_VALUE"""),0.04444444444379769)</f>
        <v>0.04444444444</v>
      </c>
      <c r="F205" s="137">
        <f>IFERROR(__xludf.DUMMYFUNCTION("""COMPUTED_VALUE"""),0.6201388888875954)</f>
        <v>0.6201388889</v>
      </c>
      <c r="G205" s="82" t="str">
        <f>IFERROR(__xludf.DUMMYFUNCTION("""COMPUTED_VALUE"""),"")</f>
        <v/>
      </c>
      <c r="H205" s="74">
        <f>IFERROR(__xludf.DUMMYFUNCTION("""COMPUTED_VALUE"""),104.0)</f>
        <v>104</v>
      </c>
      <c r="I205" s="84" t="str">
        <f>IFERROR(__xludf.DUMMYFUNCTION("""COMPUTED_VALUE"""),"")</f>
        <v/>
      </c>
      <c r="J205" s="74" t="str">
        <f>IFERROR(__xludf.DUMMYFUNCTION("""COMPUTED_VALUE"""),"Lunch")</f>
        <v>Lunch</v>
      </c>
      <c r="K205" s="113">
        <f>IFERROR(__xludf.DUMMYFUNCTION("""COMPUTED_VALUE"""),46112.0)</f>
        <v>46112</v>
      </c>
      <c r="L205" s="74" t="str">
        <f>IFERROR(__xludf.DUMMYFUNCTION("""COMPUTED_VALUE"""),"Tuesday")</f>
        <v>Tuesday</v>
      </c>
      <c r="M205" s="74" t="str">
        <f>IFERROR(__xludf.DUMMYFUNCTION("""COMPUTED_VALUE"""),"MF")</f>
        <v>MF</v>
      </c>
      <c r="N205" s="114" t="str">
        <f>IFERROR(__xludf.DUMMYFUNCTION("""COMPUTED_VALUE"""),"")</f>
        <v/>
      </c>
      <c r="O205" s="74" t="str">
        <f>IFERROR(__xludf.DUMMYFUNCTION("""COMPUTED_VALUE"""),"")</f>
        <v/>
      </c>
      <c r="P205" s="74" t="str">
        <f>IFERROR(__xludf.DUMMYFUNCTION("""COMPUTED_VALUE"""),"")</f>
        <v/>
      </c>
      <c r="Q205" s="82" t="str">
        <f>IFERROR(__xludf.DUMMYFUNCTION("""COMPUTED_VALUE"""),"")</f>
        <v/>
      </c>
      <c r="R205" s="82" t="str">
        <f>IFERROR(__xludf.DUMMYFUNCTION("""COMPUTED_VALUE"""),"")</f>
        <v/>
      </c>
      <c r="S205" s="84" t="str">
        <f>IFERROR(__xludf.DUMMYFUNCTION("""COMPUTED_VALUE"""),"")</f>
        <v/>
      </c>
      <c r="T205" s="84" t="str">
        <f>IFERROR(__xludf.DUMMYFUNCTION("""COMPUTED_VALUE"""),"")</f>
        <v/>
      </c>
      <c r="U205" s="74" t="str">
        <f>IFERROR(__xludf.DUMMYFUNCTION("""COMPUTED_VALUE"""),"")</f>
        <v/>
      </c>
      <c r="V205" s="82" t="str">
        <f>IFERROR(__xludf.DUMMYFUNCTION("""COMPUTED_VALUE"""),"")</f>
        <v/>
      </c>
      <c r="W205" s="64" t="str">
        <f>IFERROR(__xludf.DUMMYFUNCTION("""COMPUTED_VALUE"""),"")</f>
        <v/>
      </c>
      <c r="X205" s="84" t="str">
        <f>IFERROR(__xludf.DUMMYFUNCTION("""COMPUTED_VALUE"""),"")</f>
        <v/>
      </c>
      <c r="Y205" s="114" t="str">
        <f>IFERROR(__xludf.DUMMYFUNCTION("""COMPUTED_VALUE"""),"")</f>
        <v/>
      </c>
    </row>
    <row r="206">
      <c r="A206" s="109">
        <f>IFERROR(__xludf.DUMMYFUNCTION("""COMPUTED_VALUE"""),46112.76164568287)</f>
        <v>46112.76165</v>
      </c>
      <c r="B206" s="81" t="str">
        <f>IFERROR(__xludf.DUMMYFUNCTION("""COMPUTED_VALUE"""),"Arjya Aich")</f>
        <v>Arjya Aich</v>
      </c>
      <c r="C206" s="74" t="b">
        <f>IFERROR(__xludf.DUMMYFUNCTION("""COMPUTED_VALUE"""),FALSE)</f>
        <v>0</v>
      </c>
      <c r="D206" s="137">
        <f>IFERROR(__xludf.DUMMYFUNCTION("""COMPUTED_VALUE"""),0.5208333333357587)</f>
        <v>0.5208333333</v>
      </c>
      <c r="E206" s="82">
        <f>IFERROR(__xludf.DUMMYFUNCTION("""COMPUTED_VALUE"""),0.04166666666424135)</f>
        <v>0.04166666666</v>
      </c>
      <c r="F206" s="137">
        <f>IFERROR(__xludf.DUMMYFUNCTION("""COMPUTED_VALUE"""),0.5625)</f>
        <v>0.5625</v>
      </c>
      <c r="G206" s="82">
        <f>IFERROR(__xludf.DUMMYFUNCTION("""COMPUTED_VALUE"""),0.04166666666424135)</f>
        <v>0.04166666666</v>
      </c>
      <c r="H206" s="74">
        <f>IFERROR(__xludf.DUMMYFUNCTION("""COMPUTED_VALUE"""),42.0)</f>
        <v>42</v>
      </c>
      <c r="I206" s="84">
        <f>IFERROR(__xludf.DUMMYFUNCTION("""COMPUTED_VALUE"""),42.00000000244472)</f>
        <v>42</v>
      </c>
      <c r="J206" s="74" t="str">
        <f>IFERROR(__xludf.DUMMYFUNCTION("""COMPUTED_VALUE"""),"Lunch")</f>
        <v>Lunch</v>
      </c>
      <c r="K206" s="113">
        <f>IFERROR(__xludf.DUMMYFUNCTION("""COMPUTED_VALUE"""),46112.0)</f>
        <v>46112</v>
      </c>
      <c r="L206" s="74" t="str">
        <f>IFERROR(__xludf.DUMMYFUNCTION("""COMPUTED_VALUE"""),"Tuesday")</f>
        <v>Tuesday</v>
      </c>
      <c r="M206" s="74" t="str">
        <f>IFERROR(__xludf.DUMMYFUNCTION("""COMPUTED_VALUE"""),"BF")</f>
        <v>BF</v>
      </c>
      <c r="N206" s="114">
        <f>IFERROR(__xludf.DUMMYFUNCTION("""COMPUTED_VALUE"""),1.4814475493611046)</f>
        <v>1.481447549</v>
      </c>
      <c r="O206" s="74" t="str">
        <f>IFERROR(__xludf.DUMMYFUNCTION("""COMPUTED_VALUE"""),"")</f>
        <v/>
      </c>
      <c r="P206" s="74" t="str">
        <f>IFERROR(__xludf.DUMMYFUNCTION("""COMPUTED_VALUE"""),"")</f>
        <v/>
      </c>
      <c r="Q206" s="82" t="str">
        <f>IFERROR(__xludf.DUMMYFUNCTION("""COMPUTED_VALUE"""),"")</f>
        <v/>
      </c>
      <c r="R206" s="82" t="str">
        <f>IFERROR(__xludf.DUMMYFUNCTION("""COMPUTED_VALUE"""),"")</f>
        <v/>
      </c>
      <c r="S206" s="84" t="str">
        <f>IFERROR(__xludf.DUMMYFUNCTION("""COMPUTED_VALUE"""),"")</f>
        <v/>
      </c>
      <c r="T206" s="84" t="str">
        <f>IFERROR(__xludf.DUMMYFUNCTION("""COMPUTED_VALUE"""),"")</f>
        <v/>
      </c>
      <c r="U206" s="74" t="str">
        <f>IFERROR(__xludf.DUMMYFUNCTION("""COMPUTED_VALUE"""),"")</f>
        <v/>
      </c>
      <c r="V206" s="82" t="str">
        <f>IFERROR(__xludf.DUMMYFUNCTION("""COMPUTED_VALUE"""),"")</f>
        <v/>
      </c>
      <c r="W206" s="64" t="str">
        <f>IFERROR(__xludf.DUMMYFUNCTION("""COMPUTED_VALUE"""),"")</f>
        <v/>
      </c>
      <c r="X206" s="84" t="str">
        <f>IFERROR(__xludf.DUMMYFUNCTION("""COMPUTED_VALUE"""),"")</f>
        <v/>
      </c>
      <c r="Y206" s="114" t="str">
        <f>IFERROR(__xludf.DUMMYFUNCTION("""COMPUTED_VALUE"""),"")</f>
        <v/>
      </c>
    </row>
    <row r="207">
      <c r="A207" s="109">
        <f>IFERROR(__xludf.DUMMYFUNCTION("""COMPUTED_VALUE"""),46112.88765017361)</f>
        <v>46112.88765</v>
      </c>
      <c r="B207" s="81" t="str">
        <f>IFERROR(__xludf.DUMMYFUNCTION("""COMPUTED_VALUE"""),"Laila Maisuria")</f>
        <v>Laila Maisuria</v>
      </c>
      <c r="C207" s="74" t="b">
        <f>IFERROR(__xludf.DUMMYFUNCTION("""COMPUTED_VALUE"""),FALSE)</f>
        <v>0</v>
      </c>
      <c r="D207" s="137">
        <f>IFERROR(__xludf.DUMMYFUNCTION("""COMPUTED_VALUE"""),0.7513888888934162)</f>
        <v>0.7513888889</v>
      </c>
      <c r="E207" s="82">
        <f>IFERROR(__xludf.DUMMYFUNCTION("""COMPUTED_VALUE"""),0.11944444444088731)</f>
        <v>0.1194444444</v>
      </c>
      <c r="F207" s="137">
        <f>IFERROR(__xludf.DUMMYFUNCTION("""COMPUTED_VALUE"""),0.8708333333343035)</f>
        <v>0.8708333333</v>
      </c>
      <c r="G207" s="82">
        <f>IFERROR(__xludf.DUMMYFUNCTION("""COMPUTED_VALUE"""),0.11944444444088731)</f>
        <v>0.1194444444</v>
      </c>
      <c r="H207" s="74">
        <f>IFERROR(__xludf.DUMMYFUNCTION("""COMPUTED_VALUE"""),123.0)</f>
        <v>123</v>
      </c>
      <c r="I207" s="84">
        <f>IFERROR(__xludf.DUMMYFUNCTION("""COMPUTED_VALUE"""),42.906976745463844)</f>
        <v>42.90697675</v>
      </c>
      <c r="J207" s="74" t="str">
        <f>IFERROR(__xludf.DUMMYFUNCTION("""COMPUTED_VALUE"""),"Dinner")</f>
        <v>Dinner</v>
      </c>
      <c r="K207" s="113">
        <f>IFERROR(__xludf.DUMMYFUNCTION("""COMPUTED_VALUE"""),46112.0)</f>
        <v>46112</v>
      </c>
      <c r="L207" s="74" t="str">
        <f>IFERROR(__xludf.DUMMYFUNCTION("""COMPUTED_VALUE"""),"Tuesday")</f>
        <v>Tuesday</v>
      </c>
      <c r="M207" s="74" t="str">
        <f>IFERROR(__xludf.DUMMYFUNCTION("""COMPUTED_VALUE"""),"MF")</f>
        <v>MF</v>
      </c>
      <c r="N207" s="114">
        <f>IFERROR(__xludf.DUMMYFUNCTION("""COMPUTED_VALUE"""),0.9251244690807904)</f>
        <v>0.9251244691</v>
      </c>
      <c r="O207" s="74">
        <f>IFERROR(__xludf.DUMMYFUNCTION("""COMPUTED_VALUE"""),414.0)</f>
        <v>414</v>
      </c>
      <c r="P207" s="74">
        <f>IFERROR(__xludf.DUMMYFUNCTION("""COMPUTED_VALUE"""),325.0)</f>
        <v>325</v>
      </c>
      <c r="Q207" s="82">
        <f>IFERROR(__xludf.DUMMYFUNCTION("""COMPUTED_VALUE"""),0.24999999999272404)</f>
        <v>0.25</v>
      </c>
      <c r="R207" s="82">
        <f>IFERROR(__xludf.DUMMYFUNCTION("""COMPUTED_VALUE"""),0.2618055555576575)</f>
        <v>0.2618055556</v>
      </c>
      <c r="S207" s="84">
        <f>IFERROR(__xludf.DUMMYFUNCTION("""COMPUTED_VALUE"""),67.8896585868206)</f>
        <v>67.88965859</v>
      </c>
      <c r="T207" s="84">
        <f>IFERROR(__xludf.DUMMYFUNCTION("""COMPUTED_VALUE"""),52.50378282143985)</f>
        <v>52.50378282</v>
      </c>
      <c r="U207" s="74">
        <f>IFERROR(__xludf.DUMMYFUNCTION("""COMPUTED_VALUE"""),739.0)</f>
        <v>739</v>
      </c>
      <c r="V207" s="82">
        <f>IFERROR(__xludf.DUMMYFUNCTION("""COMPUTED_VALUE"""),0.5118055555503815)</f>
        <v>0.5118055556</v>
      </c>
      <c r="W207" s="64">
        <f>IFERROR(__xludf.DUMMYFUNCTION("""COMPUTED_VALUE"""),60.1628222529827)</f>
        <v>60.16282225</v>
      </c>
      <c r="X207" s="84">
        <f>IFERROR(__xludf.DUMMYFUNCTION("""COMPUTED_VALUE"""),58.658133127592144)</f>
        <v>58.65813313</v>
      </c>
      <c r="Y207" s="114">
        <f>IFERROR(__xludf.DUMMYFUNCTION("""COMPUTED_VALUE"""),0.8582482687343285)</f>
        <v>0.8582482687</v>
      </c>
    </row>
    <row r="208">
      <c r="A208" s="109">
        <f>IFERROR(__xludf.DUMMYFUNCTION("""COMPUTED_VALUE"""),46113.41686265046)</f>
        <v>46113.41686</v>
      </c>
      <c r="B208" s="81" t="str">
        <f>IFERROR(__xludf.DUMMYFUNCTION("""COMPUTED_VALUE"""),"Kaylie Forgue")</f>
        <v>Kaylie Forgue</v>
      </c>
      <c r="C208" s="74" t="b">
        <f>IFERROR(__xludf.DUMMYFUNCTION("""COMPUTED_VALUE"""),FALSE)</f>
        <v>0</v>
      </c>
      <c r="D208" s="137">
        <f>IFERROR(__xludf.DUMMYFUNCTION("""COMPUTED_VALUE"""),0.35416666666424135)</f>
        <v>0.3541666667</v>
      </c>
      <c r="E208" s="82">
        <f>IFERROR(__xludf.DUMMYFUNCTION("""COMPUTED_VALUE"""),0.041666666671517305)</f>
        <v>0.04166666667</v>
      </c>
      <c r="F208" s="137">
        <f>IFERROR(__xludf.DUMMYFUNCTION("""COMPUTED_VALUE"""),0.39583333333575865)</f>
        <v>0.3958333333</v>
      </c>
      <c r="G208" s="82">
        <f>IFERROR(__xludf.DUMMYFUNCTION("""COMPUTED_VALUE"""),0.07013888889196096)</f>
        <v>0.07013888889</v>
      </c>
      <c r="H208" s="74">
        <f>IFERROR(__xludf.DUMMYFUNCTION("""COMPUTED_VALUE"""),64.0)</f>
        <v>64</v>
      </c>
      <c r="I208" s="84">
        <f>IFERROR(__xludf.DUMMYFUNCTION("""COMPUTED_VALUE"""),52.87128712639712)</f>
        <v>52.87128713</v>
      </c>
      <c r="J208" s="74" t="str">
        <f>IFERROR(__xludf.DUMMYFUNCTION("""COMPUTED_VALUE"""),"Breakfast")</f>
        <v>Breakfast</v>
      </c>
      <c r="K208" s="113">
        <f>IFERROR(__xludf.DUMMYFUNCTION("""COMPUTED_VALUE"""),46113.0)</f>
        <v>46113</v>
      </c>
      <c r="L208" s="74" t="str">
        <f>IFERROR(__xludf.DUMMYFUNCTION("""COMPUTED_VALUE"""),"Wednesday")</f>
        <v>Wednesday</v>
      </c>
      <c r="M208" s="74" t="str">
        <f>IFERROR(__xludf.DUMMYFUNCTION("""COMPUTED_VALUE"""),"BF")</f>
        <v>BF</v>
      </c>
      <c r="N208" s="114">
        <f>IFERROR(__xludf.DUMMYFUNCTION("""COMPUTED_VALUE"""),1.8649056842954561)</f>
        <v>1.864905684</v>
      </c>
      <c r="O208" s="74" t="str">
        <f>IFERROR(__xludf.DUMMYFUNCTION("""COMPUTED_VALUE"""),"")</f>
        <v/>
      </c>
      <c r="P208" s="74" t="str">
        <f>IFERROR(__xludf.DUMMYFUNCTION("""COMPUTED_VALUE"""),"")</f>
        <v/>
      </c>
      <c r="Q208" s="82" t="str">
        <f>IFERROR(__xludf.DUMMYFUNCTION("""COMPUTED_VALUE"""),"")</f>
        <v/>
      </c>
      <c r="R208" s="82" t="str">
        <f>IFERROR(__xludf.DUMMYFUNCTION("""COMPUTED_VALUE"""),"")</f>
        <v/>
      </c>
      <c r="S208" s="84" t="str">
        <f>IFERROR(__xludf.DUMMYFUNCTION("""COMPUTED_VALUE"""),"")</f>
        <v/>
      </c>
      <c r="T208" s="84" t="str">
        <f>IFERROR(__xludf.DUMMYFUNCTION("""COMPUTED_VALUE"""),"")</f>
        <v/>
      </c>
      <c r="U208" s="74" t="str">
        <f>IFERROR(__xludf.DUMMYFUNCTION("""COMPUTED_VALUE"""),"")</f>
        <v/>
      </c>
      <c r="V208" s="82" t="str">
        <f>IFERROR(__xludf.DUMMYFUNCTION("""COMPUTED_VALUE"""),"")</f>
        <v/>
      </c>
      <c r="W208" s="64" t="str">
        <f>IFERROR(__xludf.DUMMYFUNCTION("""COMPUTED_VALUE"""),"")</f>
        <v/>
      </c>
      <c r="X208" s="84" t="str">
        <f>IFERROR(__xludf.DUMMYFUNCTION("""COMPUTED_VALUE"""),"")</f>
        <v/>
      </c>
      <c r="Y208" s="114" t="str">
        <f>IFERROR(__xludf.DUMMYFUNCTION("""COMPUTED_VALUE"""),"")</f>
        <v/>
      </c>
    </row>
    <row r="209">
      <c r="A209" s="109">
        <f>IFERROR(__xludf.DUMMYFUNCTION("""COMPUTED_VALUE"""),46113.429830925925)</f>
        <v>46113.42983</v>
      </c>
      <c r="B209" s="81" t="str">
        <f>IFERROR(__xludf.DUMMYFUNCTION("""COMPUTED_VALUE"""),"Kaylie Forgue")</f>
        <v>Kaylie Forgue</v>
      </c>
      <c r="C209" s="74" t="b">
        <f>IFERROR(__xludf.DUMMYFUNCTION("""COMPUTED_VALUE"""),TRUE)</f>
        <v>1</v>
      </c>
      <c r="D209" s="137">
        <f>IFERROR(__xludf.DUMMYFUNCTION("""COMPUTED_VALUE"""),0.39722222222189885)</f>
        <v>0.3972222222</v>
      </c>
      <c r="E209" s="82">
        <f>IFERROR(__xludf.DUMMYFUNCTION("""COMPUTED_VALUE"""),0.028472222220443655)</f>
        <v>0.02847222222</v>
      </c>
      <c r="F209" s="137">
        <f>IFERROR(__xludf.DUMMYFUNCTION("""COMPUTED_VALUE"""),0.4256944444423425)</f>
        <v>0.4256944444</v>
      </c>
      <c r="G209" s="82" t="str">
        <f>IFERROR(__xludf.DUMMYFUNCTION("""COMPUTED_VALUE"""),"")</f>
        <v/>
      </c>
      <c r="H209" s="74">
        <f>IFERROR(__xludf.DUMMYFUNCTION("""COMPUTED_VALUE"""),25.0)</f>
        <v>25</v>
      </c>
      <c r="I209" s="84" t="str">
        <f>IFERROR(__xludf.DUMMYFUNCTION("""COMPUTED_VALUE"""),"")</f>
        <v/>
      </c>
      <c r="J209" s="74" t="str">
        <f>IFERROR(__xludf.DUMMYFUNCTION("""COMPUTED_VALUE"""),"Breakfast")</f>
        <v>Breakfast</v>
      </c>
      <c r="K209" s="113">
        <f>IFERROR(__xludf.DUMMYFUNCTION("""COMPUTED_VALUE"""),46113.0)</f>
        <v>46113</v>
      </c>
      <c r="L209" s="74" t="str">
        <f>IFERROR(__xludf.DUMMYFUNCTION("""COMPUTED_VALUE"""),"Wednesday")</f>
        <v>Wednesday</v>
      </c>
      <c r="M209" s="74" t="str">
        <f>IFERROR(__xludf.DUMMYFUNCTION("""COMPUTED_VALUE"""),"BF")</f>
        <v>BF</v>
      </c>
      <c r="N209" s="114" t="str">
        <f>IFERROR(__xludf.DUMMYFUNCTION("""COMPUTED_VALUE"""),"")</f>
        <v/>
      </c>
      <c r="O209" s="74" t="str">
        <f>IFERROR(__xludf.DUMMYFUNCTION("""COMPUTED_VALUE"""),"")</f>
        <v/>
      </c>
      <c r="P209" s="74" t="str">
        <f>IFERROR(__xludf.DUMMYFUNCTION("""COMPUTED_VALUE"""),"")</f>
        <v/>
      </c>
      <c r="Q209" s="82" t="str">
        <f>IFERROR(__xludf.DUMMYFUNCTION("""COMPUTED_VALUE"""),"")</f>
        <v/>
      </c>
      <c r="R209" s="82" t="str">
        <f>IFERROR(__xludf.DUMMYFUNCTION("""COMPUTED_VALUE"""),"")</f>
        <v/>
      </c>
      <c r="S209" s="84" t="str">
        <f>IFERROR(__xludf.DUMMYFUNCTION("""COMPUTED_VALUE"""),"")</f>
        <v/>
      </c>
      <c r="T209" s="84" t="str">
        <f>IFERROR(__xludf.DUMMYFUNCTION("""COMPUTED_VALUE"""),"")</f>
        <v/>
      </c>
      <c r="U209" s="74" t="str">
        <f>IFERROR(__xludf.DUMMYFUNCTION("""COMPUTED_VALUE"""),"")</f>
        <v/>
      </c>
      <c r="V209" s="82" t="str">
        <f>IFERROR(__xludf.DUMMYFUNCTION("""COMPUTED_VALUE"""),"")</f>
        <v/>
      </c>
      <c r="W209" s="64" t="str">
        <f>IFERROR(__xludf.DUMMYFUNCTION("""COMPUTED_VALUE"""),"")</f>
        <v/>
      </c>
      <c r="X209" s="84" t="str">
        <f>IFERROR(__xludf.DUMMYFUNCTION("""COMPUTED_VALUE"""),"")</f>
        <v/>
      </c>
      <c r="Y209" s="114" t="str">
        <f>IFERROR(__xludf.DUMMYFUNCTION("""COMPUTED_VALUE"""),"")</f>
        <v/>
      </c>
    </row>
    <row r="210">
      <c r="A210" s="109">
        <f>IFERROR(__xludf.DUMMYFUNCTION("""COMPUTED_VALUE"""),46113.47961943287)</f>
        <v>46113.47962</v>
      </c>
      <c r="B210" s="81" t="str">
        <f>IFERROR(__xludf.DUMMYFUNCTION("""COMPUTED_VALUE"""),"Oluwatimilehin Shodipe")</f>
        <v>Oluwatimilehin Shodipe</v>
      </c>
      <c r="C210" s="74" t="b">
        <f>IFERROR(__xludf.DUMMYFUNCTION("""COMPUTED_VALUE"""),FALSE)</f>
        <v>0</v>
      </c>
      <c r="D210" s="137">
        <f>IFERROR(__xludf.DUMMYFUNCTION("""COMPUTED_VALUE"""),0.4305555555547471)</f>
        <v>0.4305555556</v>
      </c>
      <c r="E210" s="82">
        <f>IFERROR(__xludf.DUMMYFUNCTION("""COMPUTED_VALUE"""),0.04861111110949423)</f>
        <v>0.04861111111</v>
      </c>
      <c r="F210" s="137">
        <f>IFERROR(__xludf.DUMMYFUNCTION("""COMPUTED_VALUE"""),0.47916666666424135)</f>
        <v>0.4791666667</v>
      </c>
      <c r="G210" s="82">
        <f>IFERROR(__xludf.DUMMYFUNCTION("""COMPUTED_VALUE"""),0.04861111110949423)</f>
        <v>0.04861111111</v>
      </c>
      <c r="H210" s="74">
        <f>IFERROR(__xludf.DUMMYFUNCTION("""COMPUTED_VALUE"""),39.0)</f>
        <v>39</v>
      </c>
      <c r="I210" s="84">
        <f>IFERROR(__xludf.DUMMYFUNCTION("""COMPUTED_VALUE"""),33.428571429683316)</f>
        <v>33.42857143</v>
      </c>
      <c r="J210" s="74" t="str">
        <f>IFERROR(__xludf.DUMMYFUNCTION("""COMPUTED_VALUE"""),"Breakfast/Lunch")</f>
        <v>Breakfast/Lunch</v>
      </c>
      <c r="K210" s="113">
        <f>IFERROR(__xludf.DUMMYFUNCTION("""COMPUTED_VALUE"""),46113.0)</f>
        <v>46113</v>
      </c>
      <c r="L210" s="74" t="str">
        <f>IFERROR(__xludf.DUMMYFUNCTION("""COMPUTED_VALUE"""),"Wednesday")</f>
        <v>Wednesday</v>
      </c>
      <c r="M210" s="74" t="str">
        <f>IFERROR(__xludf.DUMMYFUNCTION("""COMPUTED_VALUE"""),"BF")</f>
        <v>BF</v>
      </c>
      <c r="N210" s="114">
        <f>IFERROR(__xludf.DUMMYFUNCTION("""COMPUTED_VALUE"""),0.8856387599133927)</f>
        <v>0.8856387599</v>
      </c>
      <c r="O210" s="74" t="str">
        <f>IFERROR(__xludf.DUMMYFUNCTION("""COMPUTED_VALUE"""),"")</f>
        <v/>
      </c>
      <c r="P210" s="74" t="str">
        <f>IFERROR(__xludf.DUMMYFUNCTION("""COMPUTED_VALUE"""),"")</f>
        <v/>
      </c>
      <c r="Q210" s="82" t="str">
        <f>IFERROR(__xludf.DUMMYFUNCTION("""COMPUTED_VALUE"""),"")</f>
        <v/>
      </c>
      <c r="R210" s="82" t="str">
        <f>IFERROR(__xludf.DUMMYFUNCTION("""COMPUTED_VALUE"""),"")</f>
        <v/>
      </c>
      <c r="S210" s="84" t="str">
        <f>IFERROR(__xludf.DUMMYFUNCTION("""COMPUTED_VALUE"""),"")</f>
        <v/>
      </c>
      <c r="T210" s="84" t="str">
        <f>IFERROR(__xludf.DUMMYFUNCTION("""COMPUTED_VALUE"""),"")</f>
        <v/>
      </c>
      <c r="U210" s="74" t="str">
        <f>IFERROR(__xludf.DUMMYFUNCTION("""COMPUTED_VALUE"""),"")</f>
        <v/>
      </c>
      <c r="V210" s="82" t="str">
        <f>IFERROR(__xludf.DUMMYFUNCTION("""COMPUTED_VALUE"""),"")</f>
        <v/>
      </c>
      <c r="W210" s="64" t="str">
        <f>IFERROR(__xludf.DUMMYFUNCTION("""COMPUTED_VALUE"""),"")</f>
        <v/>
      </c>
      <c r="X210" s="84" t="str">
        <f>IFERROR(__xludf.DUMMYFUNCTION("""COMPUTED_VALUE"""),"")</f>
        <v/>
      </c>
      <c r="Y210" s="114" t="str">
        <f>IFERROR(__xludf.DUMMYFUNCTION("""COMPUTED_VALUE"""),"")</f>
        <v/>
      </c>
    </row>
    <row r="211">
      <c r="A211" s="109">
        <f>IFERROR(__xludf.DUMMYFUNCTION("""COMPUTED_VALUE"""),46113.5069692824)</f>
        <v>46113.50697</v>
      </c>
      <c r="B211" s="81" t="str">
        <f>IFERROR(__xludf.DUMMYFUNCTION("""COMPUTED_VALUE"""),"Oluwatimilehin Shodipe")</f>
        <v>Oluwatimilehin Shodipe</v>
      </c>
      <c r="C211" s="74" t="b">
        <f>IFERROR(__xludf.DUMMYFUNCTION("""COMPUTED_VALUE"""),FALSE)</f>
        <v>0</v>
      </c>
      <c r="D211" s="137">
        <f>IFERROR(__xludf.DUMMYFUNCTION("""COMPUTED_VALUE"""),0.48611111110949423)</f>
        <v>0.4861111111</v>
      </c>
      <c r="E211" s="82">
        <f>IFERROR(__xludf.DUMMYFUNCTION("""COMPUTED_VALUE"""),0.020833333335758653)</f>
        <v>0.02083333334</v>
      </c>
      <c r="F211" s="137">
        <f>IFERROR(__xludf.DUMMYFUNCTION("""COMPUTED_VALUE"""),0.5069444444452529)</f>
        <v>0.5069444444</v>
      </c>
      <c r="G211" s="82">
        <f>IFERROR(__xludf.DUMMYFUNCTION("""COMPUTED_VALUE"""),0.020833333335758653)</f>
        <v>0.02083333334</v>
      </c>
      <c r="H211" s="74">
        <f>IFERROR(__xludf.DUMMYFUNCTION("""COMPUTED_VALUE"""),10.0)</f>
        <v>10</v>
      </c>
      <c r="I211" s="84">
        <f>IFERROR(__xludf.DUMMYFUNCTION("""COMPUTED_VALUE"""),19.999999997671694)</f>
        <v>20</v>
      </c>
      <c r="J211" s="74" t="str">
        <f>IFERROR(__xludf.DUMMYFUNCTION("""COMPUTED_VALUE"""),"Lunch")</f>
        <v>Lunch</v>
      </c>
      <c r="K211" s="113">
        <f>IFERROR(__xludf.DUMMYFUNCTION("""COMPUTED_VALUE"""),46113.0)</f>
        <v>46113</v>
      </c>
      <c r="L211" s="74" t="str">
        <f>IFERROR(__xludf.DUMMYFUNCTION("""COMPUTED_VALUE"""),"Wednesday")</f>
        <v>Wednesday</v>
      </c>
      <c r="M211" s="74" t="str">
        <f>IFERROR(__xludf.DUMMYFUNCTION("""COMPUTED_VALUE"""),"MF")</f>
        <v>MF</v>
      </c>
      <c r="N211" s="114">
        <f>IFERROR(__xludf.DUMMYFUNCTION("""COMPUTED_VALUE"""),0.3977922976342885)</f>
        <v>0.3977922976</v>
      </c>
      <c r="O211" s="74" t="str">
        <f>IFERROR(__xludf.DUMMYFUNCTION("""COMPUTED_VALUE"""),"")</f>
        <v/>
      </c>
      <c r="P211" s="74" t="str">
        <f>IFERROR(__xludf.DUMMYFUNCTION("""COMPUTED_VALUE"""),"")</f>
        <v/>
      </c>
      <c r="Q211" s="82" t="str">
        <f>IFERROR(__xludf.DUMMYFUNCTION("""COMPUTED_VALUE"""),"")</f>
        <v/>
      </c>
      <c r="R211" s="82" t="str">
        <f>IFERROR(__xludf.DUMMYFUNCTION("""COMPUTED_VALUE"""),"")</f>
        <v/>
      </c>
      <c r="S211" s="84" t="str">
        <f>IFERROR(__xludf.DUMMYFUNCTION("""COMPUTED_VALUE"""),"")</f>
        <v/>
      </c>
      <c r="T211" s="84" t="str">
        <f>IFERROR(__xludf.DUMMYFUNCTION("""COMPUTED_VALUE"""),"")</f>
        <v/>
      </c>
      <c r="U211" s="74" t="str">
        <f>IFERROR(__xludf.DUMMYFUNCTION("""COMPUTED_VALUE"""),"")</f>
        <v/>
      </c>
      <c r="V211" s="82" t="str">
        <f>IFERROR(__xludf.DUMMYFUNCTION("""COMPUTED_VALUE"""),"")</f>
        <v/>
      </c>
      <c r="W211" s="64" t="str">
        <f>IFERROR(__xludf.DUMMYFUNCTION("""COMPUTED_VALUE"""),"")</f>
        <v/>
      </c>
      <c r="X211" s="84" t="str">
        <f>IFERROR(__xludf.DUMMYFUNCTION("""COMPUTED_VALUE"""),"")</f>
        <v/>
      </c>
      <c r="Y211" s="114" t="str">
        <f>IFERROR(__xludf.DUMMYFUNCTION("""COMPUTED_VALUE"""),"")</f>
        <v/>
      </c>
    </row>
    <row r="212">
      <c r="A212" s="109">
        <f>IFERROR(__xludf.DUMMYFUNCTION("""COMPUTED_VALUE"""),46113.620969375)</f>
        <v>46113.62097</v>
      </c>
      <c r="B212" s="81" t="str">
        <f>IFERROR(__xludf.DUMMYFUNCTION("""COMPUTED_VALUE"""),"Evan Morgan")</f>
        <v>Evan Morgan</v>
      </c>
      <c r="C212" s="74" t="b">
        <f>IFERROR(__xludf.DUMMYFUNCTION("""COMPUTED_VALUE"""),FALSE)</f>
        <v>0</v>
      </c>
      <c r="D212" s="137">
        <f>IFERROR(__xludf.DUMMYFUNCTION("""COMPUTED_VALUE"""),0.5416666666642413)</f>
        <v>0.5416666667</v>
      </c>
      <c r="E212" s="82">
        <f>IFERROR(__xludf.DUMMYFUNCTION("""COMPUTED_VALUE"""),0.07986111111677019)</f>
        <v>0.07986111112</v>
      </c>
      <c r="F212" s="137">
        <f>IFERROR(__xludf.DUMMYFUNCTION("""COMPUTED_VALUE"""),0.6215277777810115)</f>
        <v>0.6215277778</v>
      </c>
      <c r="G212" s="82">
        <f>IFERROR(__xludf.DUMMYFUNCTION("""COMPUTED_VALUE"""),0.07986111111677019)</f>
        <v>0.07986111112</v>
      </c>
      <c r="H212" s="74">
        <f>IFERROR(__xludf.DUMMYFUNCTION("""COMPUTED_VALUE"""),85.0)</f>
        <v>85</v>
      </c>
      <c r="I212" s="84">
        <f>IFERROR(__xludf.DUMMYFUNCTION("""COMPUTED_VALUE"""),44.34782608381397)</f>
        <v>44.34782608</v>
      </c>
      <c r="J212" s="74" t="str">
        <f>IFERROR(__xludf.DUMMYFUNCTION("""COMPUTED_VALUE"""),"Lunch")</f>
        <v>Lunch</v>
      </c>
      <c r="K212" s="113">
        <f>IFERROR(__xludf.DUMMYFUNCTION("""COMPUTED_VALUE"""),46113.0)</f>
        <v>46113</v>
      </c>
      <c r="L212" s="74" t="str">
        <f>IFERROR(__xludf.DUMMYFUNCTION("""COMPUTED_VALUE"""),"Wednesday")</f>
        <v>Wednesday</v>
      </c>
      <c r="M212" s="74" t="str">
        <f>IFERROR(__xludf.DUMMYFUNCTION("""COMPUTED_VALUE"""),"MF")</f>
        <v>MF</v>
      </c>
      <c r="N212" s="114">
        <f>IFERROR(__xludf.DUMMYFUNCTION("""COMPUTED_VALUE"""),0.882061181750995)</f>
        <v>0.8820611818</v>
      </c>
      <c r="O212" s="74" t="str">
        <f>IFERROR(__xludf.DUMMYFUNCTION("""COMPUTED_VALUE"""),"")</f>
        <v/>
      </c>
      <c r="P212" s="74" t="str">
        <f>IFERROR(__xludf.DUMMYFUNCTION("""COMPUTED_VALUE"""),"")</f>
        <v/>
      </c>
      <c r="Q212" s="82" t="str">
        <f>IFERROR(__xludf.DUMMYFUNCTION("""COMPUTED_VALUE"""),"")</f>
        <v/>
      </c>
      <c r="R212" s="82" t="str">
        <f>IFERROR(__xludf.DUMMYFUNCTION("""COMPUTED_VALUE"""),"")</f>
        <v/>
      </c>
      <c r="S212" s="84" t="str">
        <f>IFERROR(__xludf.DUMMYFUNCTION("""COMPUTED_VALUE"""),"")</f>
        <v/>
      </c>
      <c r="T212" s="84" t="str">
        <f>IFERROR(__xludf.DUMMYFUNCTION("""COMPUTED_VALUE"""),"")</f>
        <v/>
      </c>
      <c r="U212" s="74" t="str">
        <f>IFERROR(__xludf.DUMMYFUNCTION("""COMPUTED_VALUE"""),"")</f>
        <v/>
      </c>
      <c r="V212" s="82" t="str">
        <f>IFERROR(__xludf.DUMMYFUNCTION("""COMPUTED_VALUE"""),"")</f>
        <v/>
      </c>
      <c r="W212" s="64" t="str">
        <f>IFERROR(__xludf.DUMMYFUNCTION("""COMPUTED_VALUE"""),"")</f>
        <v/>
      </c>
      <c r="X212" s="84" t="str">
        <f>IFERROR(__xludf.DUMMYFUNCTION("""COMPUTED_VALUE"""),"")</f>
        <v/>
      </c>
      <c r="Y212" s="114" t="str">
        <f>IFERROR(__xludf.DUMMYFUNCTION("""COMPUTED_VALUE"""),"")</f>
        <v/>
      </c>
    </row>
    <row r="213">
      <c r="A213" s="109">
        <f>IFERROR(__xludf.DUMMYFUNCTION("""COMPUTED_VALUE"""),46113.74422075231)</f>
        <v>46113.74422</v>
      </c>
      <c r="B213" s="81" t="str">
        <f>IFERROR(__xludf.DUMMYFUNCTION("""COMPUTED_VALUE"""),"Evan Morgan")</f>
        <v>Evan Morgan</v>
      </c>
      <c r="C213" s="74" t="b">
        <f>IFERROR(__xludf.DUMMYFUNCTION("""COMPUTED_VALUE"""),FALSE)</f>
        <v>0</v>
      </c>
      <c r="D213" s="137">
        <f>IFERROR(__xludf.DUMMYFUNCTION("""COMPUTED_VALUE"""),0.6666666666642413)</f>
        <v>0.6666666667</v>
      </c>
      <c r="E213" s="82">
        <f>IFERROR(__xludf.DUMMYFUNCTION("""COMPUTED_VALUE"""),0.06944444444525288)</f>
        <v>0.06944444445</v>
      </c>
      <c r="F213" s="137">
        <f>IFERROR(__xludf.DUMMYFUNCTION("""COMPUTED_VALUE"""),0.7361111111094942)</f>
        <v>0.7361111111</v>
      </c>
      <c r="G213" s="82">
        <f>IFERROR(__xludf.DUMMYFUNCTION("""COMPUTED_VALUE"""),0.06944444444525288)</f>
        <v>0.06944444445</v>
      </c>
      <c r="H213" s="74">
        <f>IFERROR(__xludf.DUMMYFUNCTION("""COMPUTED_VALUE"""),53.0)</f>
        <v>53</v>
      </c>
      <c r="I213" s="84">
        <f>IFERROR(__xludf.DUMMYFUNCTION("""COMPUTED_VALUE"""),31.7999999996298)</f>
        <v>31.8</v>
      </c>
      <c r="J213" s="74" t="str">
        <f>IFERROR(__xludf.DUMMYFUNCTION("""COMPUTED_VALUE"""),"Dinner")</f>
        <v>Dinner</v>
      </c>
      <c r="K213" s="113">
        <f>IFERROR(__xludf.DUMMYFUNCTION("""COMPUTED_VALUE"""),46113.0)</f>
        <v>46113</v>
      </c>
      <c r="L213" s="74" t="str">
        <f>IFERROR(__xludf.DUMMYFUNCTION("""COMPUTED_VALUE"""),"Wednesday")</f>
        <v>Wednesday</v>
      </c>
      <c r="M213" s="74" t="str">
        <f>IFERROR(__xludf.DUMMYFUNCTION("""COMPUTED_VALUE"""),"MF")</f>
        <v>MF</v>
      </c>
      <c r="N213" s="114">
        <f>IFERROR(__xludf.DUMMYFUNCTION("""COMPUTED_VALUE"""),0.6856450942919639)</f>
        <v>0.6856450943</v>
      </c>
      <c r="O213" s="74" t="str">
        <f>IFERROR(__xludf.DUMMYFUNCTION("""COMPUTED_VALUE"""),"")</f>
        <v/>
      </c>
      <c r="P213" s="74" t="str">
        <f>IFERROR(__xludf.DUMMYFUNCTION("""COMPUTED_VALUE"""),"")</f>
        <v/>
      </c>
      <c r="Q213" s="82" t="str">
        <f>IFERROR(__xludf.DUMMYFUNCTION("""COMPUTED_VALUE"""),"")</f>
        <v/>
      </c>
      <c r="R213" s="82" t="str">
        <f>IFERROR(__xludf.DUMMYFUNCTION("""COMPUTED_VALUE"""),"")</f>
        <v/>
      </c>
      <c r="S213" s="84" t="str">
        <f>IFERROR(__xludf.DUMMYFUNCTION("""COMPUTED_VALUE"""),"")</f>
        <v/>
      </c>
      <c r="T213" s="84" t="str">
        <f>IFERROR(__xludf.DUMMYFUNCTION("""COMPUTED_VALUE"""),"")</f>
        <v/>
      </c>
      <c r="U213" s="74" t="str">
        <f>IFERROR(__xludf.DUMMYFUNCTION("""COMPUTED_VALUE"""),"")</f>
        <v/>
      </c>
      <c r="V213" s="82" t="str">
        <f>IFERROR(__xludf.DUMMYFUNCTION("""COMPUTED_VALUE"""),"")</f>
        <v/>
      </c>
      <c r="W213" s="64" t="str">
        <f>IFERROR(__xludf.DUMMYFUNCTION("""COMPUTED_VALUE"""),"")</f>
        <v/>
      </c>
      <c r="X213" s="84" t="str">
        <f>IFERROR(__xludf.DUMMYFUNCTION("""COMPUTED_VALUE"""),"")</f>
        <v/>
      </c>
      <c r="Y213" s="114" t="str">
        <f>IFERROR(__xludf.DUMMYFUNCTION("""COMPUTED_VALUE"""),"")</f>
        <v/>
      </c>
    </row>
    <row r="214">
      <c r="A214" s="109">
        <f>IFERROR(__xludf.DUMMYFUNCTION("""COMPUTED_VALUE"""),46113.84846659722)</f>
        <v>46113.84847</v>
      </c>
      <c r="B214" s="81" t="str">
        <f>IFERROR(__xludf.DUMMYFUNCTION("""COMPUTED_VALUE"""),"Maureen Surgot")</f>
        <v>Maureen Surgot</v>
      </c>
      <c r="C214" s="74" t="b">
        <f>IFERROR(__xludf.DUMMYFUNCTION("""COMPUTED_VALUE"""),FALSE)</f>
        <v>0</v>
      </c>
      <c r="D214" s="137">
        <f>IFERROR(__xludf.DUMMYFUNCTION("""COMPUTED_VALUE"""),0.6875)</f>
        <v>0.6875</v>
      </c>
      <c r="E214" s="82">
        <f>IFERROR(__xludf.DUMMYFUNCTION("""COMPUTED_VALUE"""),0.16666666666424135)</f>
        <v>0.1666666667</v>
      </c>
      <c r="F214" s="137">
        <f>IFERROR(__xludf.DUMMYFUNCTION("""COMPUTED_VALUE"""),0.8541666666642413)</f>
        <v>0.8541666667</v>
      </c>
      <c r="G214" s="82">
        <f>IFERROR(__xludf.DUMMYFUNCTION("""COMPUTED_VALUE"""),0.16666666666424135)</f>
        <v>0.1666666667</v>
      </c>
      <c r="H214" s="74">
        <f>IFERROR(__xludf.DUMMYFUNCTION("""COMPUTED_VALUE"""),157.0)</f>
        <v>157</v>
      </c>
      <c r="I214" s="84">
        <f>IFERROR(__xludf.DUMMYFUNCTION("""COMPUTED_VALUE"""),39.25000000057116)</f>
        <v>39.25</v>
      </c>
      <c r="J214" s="74" t="str">
        <f>IFERROR(__xludf.DUMMYFUNCTION("""COMPUTED_VALUE"""),"Dinner")</f>
        <v>Dinner</v>
      </c>
      <c r="K214" s="113">
        <f>IFERROR(__xludf.DUMMYFUNCTION("""COMPUTED_VALUE"""),46113.0)</f>
        <v>46113</v>
      </c>
      <c r="L214" s="74" t="str">
        <f>IFERROR(__xludf.DUMMYFUNCTION("""COMPUTED_VALUE"""),"Wednesday")</f>
        <v>Wednesday</v>
      </c>
      <c r="M214" s="74" t="str">
        <f>IFERROR(__xludf.DUMMYFUNCTION("""COMPUTED_VALUE"""),"BF")</f>
        <v>BF</v>
      </c>
      <c r="N214" s="114">
        <f>IFERROR(__xludf.DUMMYFUNCTION("""COMPUTED_VALUE"""),0.8833759590792838)</f>
        <v>0.8833759591</v>
      </c>
      <c r="O214" s="74" t="str">
        <f>IFERROR(__xludf.DUMMYFUNCTION("""COMPUTED_VALUE"""),"")</f>
        <v/>
      </c>
      <c r="P214" s="74" t="str">
        <f>IFERROR(__xludf.DUMMYFUNCTION("""COMPUTED_VALUE"""),"")</f>
        <v/>
      </c>
      <c r="Q214" s="82" t="str">
        <f>IFERROR(__xludf.DUMMYFUNCTION("""COMPUTED_VALUE"""),"")</f>
        <v/>
      </c>
      <c r="R214" s="82" t="str">
        <f>IFERROR(__xludf.DUMMYFUNCTION("""COMPUTED_VALUE"""),"")</f>
        <v/>
      </c>
      <c r="S214" s="84" t="str">
        <f>IFERROR(__xludf.DUMMYFUNCTION("""COMPUTED_VALUE"""),"")</f>
        <v/>
      </c>
      <c r="T214" s="84" t="str">
        <f>IFERROR(__xludf.DUMMYFUNCTION("""COMPUTED_VALUE"""),"")</f>
        <v/>
      </c>
      <c r="U214" s="74" t="str">
        <f>IFERROR(__xludf.DUMMYFUNCTION("""COMPUTED_VALUE"""),"")</f>
        <v/>
      </c>
      <c r="V214" s="82" t="str">
        <f>IFERROR(__xludf.DUMMYFUNCTION("""COMPUTED_VALUE"""),"")</f>
        <v/>
      </c>
      <c r="W214" s="64" t="str">
        <f>IFERROR(__xludf.DUMMYFUNCTION("""COMPUTED_VALUE"""),"")</f>
        <v/>
      </c>
      <c r="X214" s="84" t="str">
        <f>IFERROR(__xludf.DUMMYFUNCTION("""COMPUTED_VALUE"""),"")</f>
        <v/>
      </c>
      <c r="Y214" s="114" t="str">
        <f>IFERROR(__xludf.DUMMYFUNCTION("""COMPUTED_VALUE"""),"")</f>
        <v/>
      </c>
    </row>
    <row r="215">
      <c r="A215" s="109">
        <f>IFERROR(__xludf.DUMMYFUNCTION("""COMPUTED_VALUE"""),46113.87115238426)</f>
        <v>46113.87115</v>
      </c>
      <c r="B215" s="81" t="str">
        <f>IFERROR(__xludf.DUMMYFUNCTION("""COMPUTED_VALUE"""),"Brynn Hornig")</f>
        <v>Brynn Hornig</v>
      </c>
      <c r="C215" s="74" t="b">
        <f>IFERROR(__xludf.DUMMYFUNCTION("""COMPUTED_VALUE"""),FALSE)</f>
        <v>0</v>
      </c>
      <c r="D215" s="137">
        <f>IFERROR(__xludf.DUMMYFUNCTION("""COMPUTED_VALUE"""),0.75)</f>
        <v>0.75</v>
      </c>
      <c r="E215" s="82">
        <f>IFERROR(__xludf.DUMMYFUNCTION("""COMPUTED_VALUE"""),0.125)</f>
        <v>0.125</v>
      </c>
      <c r="F215" s="137">
        <f>IFERROR(__xludf.DUMMYFUNCTION("""COMPUTED_VALUE"""),0.875)</f>
        <v>0.875</v>
      </c>
      <c r="G215" s="82">
        <f>IFERROR(__xludf.DUMMYFUNCTION("""COMPUTED_VALUE"""),0.125)</f>
        <v>0.125</v>
      </c>
      <c r="H215" s="74">
        <f>IFERROR(__xludf.DUMMYFUNCTION("""COMPUTED_VALUE"""),114.0)</f>
        <v>114</v>
      </c>
      <c r="I215" s="84">
        <f>IFERROR(__xludf.DUMMYFUNCTION("""COMPUTED_VALUE"""),38.0)</f>
        <v>38</v>
      </c>
      <c r="J215" s="74" t="str">
        <f>IFERROR(__xludf.DUMMYFUNCTION("""COMPUTED_VALUE"""),"Dinner")</f>
        <v>Dinner</v>
      </c>
      <c r="K215" s="113">
        <f>IFERROR(__xludf.DUMMYFUNCTION("""COMPUTED_VALUE"""),46113.0)</f>
        <v>46113</v>
      </c>
      <c r="L215" s="74" t="str">
        <f>IFERROR(__xludf.DUMMYFUNCTION("""COMPUTED_VALUE"""),"Wednesday")</f>
        <v>Wednesday</v>
      </c>
      <c r="M215" s="74" t="str">
        <f>IFERROR(__xludf.DUMMYFUNCTION("""COMPUTED_VALUE"""),"MF")</f>
        <v>MF</v>
      </c>
      <c r="N215" s="114">
        <f>IFERROR(__xludf.DUMMYFUNCTION("""COMPUTED_VALUE"""),0.8193243265219478)</f>
        <v>0.8193243265</v>
      </c>
      <c r="O215" s="74">
        <f>IFERROR(__xludf.DUMMYFUNCTION("""COMPUTED_VALUE"""),262.0)</f>
        <v>262</v>
      </c>
      <c r="P215" s="74">
        <f>IFERROR(__xludf.DUMMYFUNCTION("""COMPUTED_VALUE"""),285.0)</f>
        <v>285</v>
      </c>
      <c r="Q215" s="82">
        <f>IFERROR(__xludf.DUMMYFUNCTION("""COMPUTED_VALUE"""),0.2951388888977817)</f>
        <v>0.2951388889</v>
      </c>
      <c r="R215" s="82">
        <f>IFERROR(__xludf.DUMMYFUNCTION("""COMPUTED_VALUE"""),0.28541666666569654)</f>
        <v>0.2854166667</v>
      </c>
      <c r="S215" s="84">
        <f>IFERROR(__xludf.DUMMYFUNCTION("""COMPUTED_VALUE"""),33.53695652027886)</f>
        <v>33.53695652</v>
      </c>
      <c r="T215" s="84">
        <f>IFERROR(__xludf.DUMMYFUNCTION("""COMPUTED_VALUE"""),41.8499528522172)</f>
        <v>41.84995285</v>
      </c>
      <c r="U215" s="74">
        <f>IFERROR(__xludf.DUMMYFUNCTION("""COMPUTED_VALUE"""),547.0)</f>
        <v>547</v>
      </c>
      <c r="V215" s="82">
        <f>IFERROR(__xludf.DUMMYFUNCTION("""COMPUTED_VALUE"""),0.5805555555634783)</f>
        <v>0.5805555556</v>
      </c>
      <c r="W215" s="64">
        <f>IFERROR(__xludf.DUMMYFUNCTION("""COMPUTED_VALUE"""),39.25837320520588)</f>
        <v>39.25837321</v>
      </c>
      <c r="X215" s="84">
        <f>IFERROR(__xludf.DUMMYFUNCTION("""COMPUTED_VALUE"""),37.09966923396672)</f>
        <v>37.09966923</v>
      </c>
      <c r="Y215" s="114">
        <f>IFERROR(__xludf.DUMMYFUNCTION("""COMPUTED_VALUE"""),0.6750093590360701)</f>
        <v>0.675009359</v>
      </c>
    </row>
    <row r="216">
      <c r="A216" s="109">
        <f>IFERROR(__xludf.DUMMYFUNCTION("""COMPUTED_VALUE"""),46114.36220990741)</f>
        <v>46114.36221</v>
      </c>
      <c r="B216" s="81" t="str">
        <f>IFERROR(__xludf.DUMMYFUNCTION("""COMPUTED_VALUE"""),"Evan Morgan")</f>
        <v>Evan Morgan</v>
      </c>
      <c r="C216" s="74" t="b">
        <f>IFERROR(__xludf.DUMMYFUNCTION("""COMPUTED_VALUE"""),FALSE)</f>
        <v>0</v>
      </c>
      <c r="D216" s="137">
        <f>IFERROR(__xludf.DUMMYFUNCTION("""COMPUTED_VALUE"""),0.29166666666424135)</f>
        <v>0.2916666667</v>
      </c>
      <c r="E216" s="82">
        <f>IFERROR(__xludf.DUMMYFUNCTION("""COMPUTED_VALUE"""),0.07013888889196096)</f>
        <v>0.07013888889</v>
      </c>
      <c r="F216" s="137">
        <f>IFERROR(__xludf.DUMMYFUNCTION("""COMPUTED_VALUE"""),0.3618055555562023)</f>
        <v>0.3618055556</v>
      </c>
      <c r="G216" s="82">
        <f>IFERROR(__xludf.DUMMYFUNCTION("""COMPUTED_VALUE"""),0.07013888889196096)</f>
        <v>0.07013888889</v>
      </c>
      <c r="H216" s="74">
        <f>IFERROR(__xludf.DUMMYFUNCTION("""COMPUTED_VALUE"""),13.0)</f>
        <v>13</v>
      </c>
      <c r="I216" s="84">
        <f>IFERROR(__xludf.DUMMYFUNCTION("""COMPUTED_VALUE"""),7.722772276889467)</f>
        <v>7.722772277</v>
      </c>
      <c r="J216" s="74" t="str">
        <f>IFERROR(__xludf.DUMMYFUNCTION("""COMPUTED_VALUE"""),"Breakfast")</f>
        <v>Breakfast</v>
      </c>
      <c r="K216" s="113">
        <f>IFERROR(__xludf.DUMMYFUNCTION("""COMPUTED_VALUE"""),46114.0)</f>
        <v>46114</v>
      </c>
      <c r="L216" s="74" t="str">
        <f>IFERROR(__xludf.DUMMYFUNCTION("""COMPUTED_VALUE"""),"Thursday")</f>
        <v>Thursday</v>
      </c>
      <c r="M216" s="74" t="str">
        <f>IFERROR(__xludf.DUMMYFUNCTION("""COMPUTED_VALUE"""),"BF")</f>
        <v>BF</v>
      </c>
      <c r="N216" s="114">
        <f>IFERROR(__xludf.DUMMYFUNCTION("""COMPUTED_VALUE"""),0.27240195388585314)</f>
        <v>0.2724019539</v>
      </c>
      <c r="O216" s="74" t="str">
        <f>IFERROR(__xludf.DUMMYFUNCTION("""COMPUTED_VALUE"""),"")</f>
        <v/>
      </c>
      <c r="P216" s="74" t="str">
        <f>IFERROR(__xludf.DUMMYFUNCTION("""COMPUTED_VALUE"""),"")</f>
        <v/>
      </c>
      <c r="Q216" s="82" t="str">
        <f>IFERROR(__xludf.DUMMYFUNCTION("""COMPUTED_VALUE"""),"")</f>
        <v/>
      </c>
      <c r="R216" s="82" t="str">
        <f>IFERROR(__xludf.DUMMYFUNCTION("""COMPUTED_VALUE"""),"")</f>
        <v/>
      </c>
      <c r="S216" s="84" t="str">
        <f>IFERROR(__xludf.DUMMYFUNCTION("""COMPUTED_VALUE"""),"")</f>
        <v/>
      </c>
      <c r="T216" s="84" t="str">
        <f>IFERROR(__xludf.DUMMYFUNCTION("""COMPUTED_VALUE"""),"")</f>
        <v/>
      </c>
      <c r="U216" s="74" t="str">
        <f>IFERROR(__xludf.DUMMYFUNCTION("""COMPUTED_VALUE"""),"")</f>
        <v/>
      </c>
      <c r="V216" s="82" t="str">
        <f>IFERROR(__xludf.DUMMYFUNCTION("""COMPUTED_VALUE"""),"")</f>
        <v/>
      </c>
      <c r="W216" s="64" t="str">
        <f>IFERROR(__xludf.DUMMYFUNCTION("""COMPUTED_VALUE"""),"")</f>
        <v/>
      </c>
      <c r="X216" s="84" t="str">
        <f>IFERROR(__xludf.DUMMYFUNCTION("""COMPUTED_VALUE"""),"")</f>
        <v/>
      </c>
      <c r="Y216" s="114" t="str">
        <f>IFERROR(__xludf.DUMMYFUNCTION("""COMPUTED_VALUE"""),"")</f>
        <v/>
      </c>
    </row>
    <row r="217">
      <c r="A217" s="109">
        <f>IFERROR(__xludf.DUMMYFUNCTION("""COMPUTED_VALUE"""),46114.41925032408)</f>
        <v>46114.41925</v>
      </c>
      <c r="B217" s="81" t="str">
        <f>IFERROR(__xludf.DUMMYFUNCTION("""COMPUTED_VALUE"""),"Sophia Kluck")</f>
        <v>Sophia Kluck</v>
      </c>
      <c r="C217" s="74" t="b">
        <f>IFERROR(__xludf.DUMMYFUNCTION("""COMPUTED_VALUE"""),FALSE)</f>
        <v>0</v>
      </c>
      <c r="D217" s="137">
        <f>IFERROR(__xludf.DUMMYFUNCTION("""COMPUTED_VALUE"""),0.367361111115315)</f>
        <v>0.3673611111</v>
      </c>
      <c r="E217" s="82">
        <f>IFERROR(__xludf.DUMMYFUNCTION("""COMPUTED_VALUE"""),0.047916666662786156)</f>
        <v>0.04791666666</v>
      </c>
      <c r="F217" s="137">
        <f>IFERROR(__xludf.DUMMYFUNCTION("""COMPUTED_VALUE"""),0.41527777777810115)</f>
        <v>0.4152777778</v>
      </c>
      <c r="G217" s="82">
        <f>IFERROR(__xludf.DUMMYFUNCTION("""COMPUTED_VALUE"""),0.10833333332993789)</f>
        <v>0.1083333333</v>
      </c>
      <c r="H217" s="74">
        <f>IFERROR(__xludf.DUMMYFUNCTION("""COMPUTED_VALUE"""),51.0)</f>
        <v>51</v>
      </c>
      <c r="I217" s="84">
        <f>IFERROR(__xludf.DUMMYFUNCTION("""COMPUTED_VALUE"""),36.153846154979306)</f>
        <v>36.15384615</v>
      </c>
      <c r="J217" s="74" t="str">
        <f>IFERROR(__xludf.DUMMYFUNCTION("""COMPUTED_VALUE"""),"Breakfast")</f>
        <v>Breakfast</v>
      </c>
      <c r="K217" s="113">
        <f>IFERROR(__xludf.DUMMYFUNCTION("""COMPUTED_VALUE"""),46114.0)</f>
        <v>46114</v>
      </c>
      <c r="L217" s="74" t="str">
        <f>IFERROR(__xludf.DUMMYFUNCTION("""COMPUTED_VALUE"""),"Thursday")</f>
        <v>Thursday</v>
      </c>
      <c r="M217" s="74" t="str">
        <f>IFERROR(__xludf.DUMMYFUNCTION("""COMPUTED_VALUE"""),"BF")</f>
        <v>BF</v>
      </c>
      <c r="N217" s="114">
        <f>IFERROR(__xludf.DUMMYFUNCTION("""COMPUTED_VALUE"""),1.2752387329322592)</f>
        <v>1.275238733</v>
      </c>
      <c r="O217" s="74" t="str">
        <f>IFERROR(__xludf.DUMMYFUNCTION("""COMPUTED_VALUE"""),"")</f>
        <v/>
      </c>
      <c r="P217" s="74" t="str">
        <f>IFERROR(__xludf.DUMMYFUNCTION("""COMPUTED_VALUE"""),"")</f>
        <v/>
      </c>
      <c r="Q217" s="82" t="str">
        <f>IFERROR(__xludf.DUMMYFUNCTION("""COMPUTED_VALUE"""),"")</f>
        <v/>
      </c>
      <c r="R217" s="82" t="str">
        <f>IFERROR(__xludf.DUMMYFUNCTION("""COMPUTED_VALUE"""),"")</f>
        <v/>
      </c>
      <c r="S217" s="84" t="str">
        <f>IFERROR(__xludf.DUMMYFUNCTION("""COMPUTED_VALUE"""),"")</f>
        <v/>
      </c>
      <c r="T217" s="84" t="str">
        <f>IFERROR(__xludf.DUMMYFUNCTION("""COMPUTED_VALUE"""),"")</f>
        <v/>
      </c>
      <c r="U217" s="74" t="str">
        <f>IFERROR(__xludf.DUMMYFUNCTION("""COMPUTED_VALUE"""),"")</f>
        <v/>
      </c>
      <c r="V217" s="82" t="str">
        <f>IFERROR(__xludf.DUMMYFUNCTION("""COMPUTED_VALUE"""),"")</f>
        <v/>
      </c>
      <c r="W217" s="64" t="str">
        <f>IFERROR(__xludf.DUMMYFUNCTION("""COMPUTED_VALUE"""),"")</f>
        <v/>
      </c>
      <c r="X217" s="84" t="str">
        <f>IFERROR(__xludf.DUMMYFUNCTION("""COMPUTED_VALUE"""),"")</f>
        <v/>
      </c>
      <c r="Y217" s="114" t="str">
        <f>IFERROR(__xludf.DUMMYFUNCTION("""COMPUTED_VALUE"""),"")</f>
        <v/>
      </c>
    </row>
    <row r="218">
      <c r="A218" s="109">
        <f>IFERROR(__xludf.DUMMYFUNCTION("""COMPUTED_VALUE"""),46114.47944314815)</f>
        <v>46114.47944</v>
      </c>
      <c r="B218" s="81" t="str">
        <f>IFERROR(__xludf.DUMMYFUNCTION("""COMPUTED_VALUE"""),"Sophia Kluck")</f>
        <v>Sophia Kluck</v>
      </c>
      <c r="C218" s="74" t="b">
        <f>IFERROR(__xludf.DUMMYFUNCTION("""COMPUTED_VALUE"""),TRUE)</f>
        <v>1</v>
      </c>
      <c r="D218" s="137">
        <f>IFERROR(__xludf.DUMMYFUNCTION("""COMPUTED_VALUE"""),0.4173611111109494)</f>
        <v>0.4173611111</v>
      </c>
      <c r="E218" s="82">
        <f>IFERROR(__xludf.DUMMYFUNCTION("""COMPUTED_VALUE"""),0.06041666666715173)</f>
        <v>0.06041666667</v>
      </c>
      <c r="F218" s="137">
        <f>IFERROR(__xludf.DUMMYFUNCTION("""COMPUTED_VALUE"""),0.47777777777810115)</f>
        <v>0.4777777778</v>
      </c>
      <c r="G218" s="82" t="str">
        <f>IFERROR(__xludf.DUMMYFUNCTION("""COMPUTED_VALUE"""),"")</f>
        <v/>
      </c>
      <c r="H218" s="74">
        <f>IFERROR(__xludf.DUMMYFUNCTION("""COMPUTED_VALUE"""),43.0)</f>
        <v>43</v>
      </c>
      <c r="I218" s="84" t="str">
        <f>IFERROR(__xludf.DUMMYFUNCTION("""COMPUTED_VALUE"""),"")</f>
        <v/>
      </c>
      <c r="J218" s="74" t="str">
        <f>IFERROR(__xludf.DUMMYFUNCTION("""COMPUTED_VALUE"""),"Breakfast/Lunch")</f>
        <v>Breakfast/Lunch</v>
      </c>
      <c r="K218" s="113">
        <f>IFERROR(__xludf.DUMMYFUNCTION("""COMPUTED_VALUE"""),46114.0)</f>
        <v>46114</v>
      </c>
      <c r="L218" s="74" t="str">
        <f>IFERROR(__xludf.DUMMYFUNCTION("""COMPUTED_VALUE"""),"Thursday")</f>
        <v>Thursday</v>
      </c>
      <c r="M218" s="74" t="str">
        <f>IFERROR(__xludf.DUMMYFUNCTION("""COMPUTED_VALUE"""),"BF")</f>
        <v>BF</v>
      </c>
      <c r="N218" s="114" t="str">
        <f>IFERROR(__xludf.DUMMYFUNCTION("""COMPUTED_VALUE"""),"")</f>
        <v/>
      </c>
      <c r="O218" s="74" t="str">
        <f>IFERROR(__xludf.DUMMYFUNCTION("""COMPUTED_VALUE"""),"")</f>
        <v/>
      </c>
      <c r="P218" s="74" t="str">
        <f>IFERROR(__xludf.DUMMYFUNCTION("""COMPUTED_VALUE"""),"")</f>
        <v/>
      </c>
      <c r="Q218" s="82" t="str">
        <f>IFERROR(__xludf.DUMMYFUNCTION("""COMPUTED_VALUE"""),"")</f>
        <v/>
      </c>
      <c r="R218" s="82" t="str">
        <f>IFERROR(__xludf.DUMMYFUNCTION("""COMPUTED_VALUE"""),"")</f>
        <v/>
      </c>
      <c r="S218" s="84" t="str">
        <f>IFERROR(__xludf.DUMMYFUNCTION("""COMPUTED_VALUE"""),"")</f>
        <v/>
      </c>
      <c r="T218" s="84" t="str">
        <f>IFERROR(__xludf.DUMMYFUNCTION("""COMPUTED_VALUE"""),"")</f>
        <v/>
      </c>
      <c r="U218" s="74" t="str">
        <f>IFERROR(__xludf.DUMMYFUNCTION("""COMPUTED_VALUE"""),"")</f>
        <v/>
      </c>
      <c r="V218" s="82" t="str">
        <f>IFERROR(__xludf.DUMMYFUNCTION("""COMPUTED_VALUE"""),"")</f>
        <v/>
      </c>
      <c r="W218" s="64" t="str">
        <f>IFERROR(__xludf.DUMMYFUNCTION("""COMPUTED_VALUE"""),"")</f>
        <v/>
      </c>
      <c r="X218" s="84" t="str">
        <f>IFERROR(__xludf.DUMMYFUNCTION("""COMPUTED_VALUE"""),"")</f>
        <v/>
      </c>
      <c r="Y218" s="114" t="str">
        <f>IFERROR(__xludf.DUMMYFUNCTION("""COMPUTED_VALUE"""),"")</f>
        <v/>
      </c>
    </row>
    <row r="219">
      <c r="A219" s="109">
        <f>IFERROR(__xludf.DUMMYFUNCTION("""COMPUTED_VALUE"""),46114.53133385417)</f>
        <v>46114.53133</v>
      </c>
      <c r="B219" s="81" t="str">
        <f>IFERROR(__xludf.DUMMYFUNCTION("""COMPUTED_VALUE"""),"Emmett Khan")</f>
        <v>Emmett Khan</v>
      </c>
      <c r="C219" s="74" t="b">
        <f>IFERROR(__xludf.DUMMYFUNCTION("""COMPUTED_VALUE"""),FALSE)</f>
        <v>0</v>
      </c>
      <c r="D219" s="137">
        <f>IFERROR(__xludf.DUMMYFUNCTION("""COMPUTED_VALUE"""),0.47916666666424135)</f>
        <v>0.4791666667</v>
      </c>
      <c r="E219" s="82">
        <f>IFERROR(__xludf.DUMMYFUNCTION("""COMPUTED_VALUE"""),0.05208333333575865)</f>
        <v>0.05208333334</v>
      </c>
      <c r="F219" s="137">
        <f>IFERROR(__xludf.DUMMYFUNCTION("""COMPUTED_VALUE"""),0.53125)</f>
        <v>0.53125</v>
      </c>
      <c r="G219" s="82">
        <f>IFERROR(__xludf.DUMMYFUNCTION("""COMPUTED_VALUE"""),0.05208333333575865)</f>
        <v>0.05208333334</v>
      </c>
      <c r="H219" s="74">
        <f>IFERROR(__xludf.DUMMYFUNCTION("""COMPUTED_VALUE"""),70.0)</f>
        <v>70</v>
      </c>
      <c r="I219" s="84">
        <f>IFERROR(__xludf.DUMMYFUNCTION("""COMPUTED_VALUE"""),55.999999997392294)</f>
        <v>56</v>
      </c>
      <c r="J219" s="74" t="str">
        <f>IFERROR(__xludf.DUMMYFUNCTION("""COMPUTED_VALUE"""),"Lunch")</f>
        <v>Lunch</v>
      </c>
      <c r="K219" s="113">
        <f>IFERROR(__xludf.DUMMYFUNCTION("""COMPUTED_VALUE"""),46114.0)</f>
        <v>46114</v>
      </c>
      <c r="L219" s="74" t="str">
        <f>IFERROR(__xludf.DUMMYFUNCTION("""COMPUTED_VALUE"""),"Thursday")</f>
        <v>Thursday</v>
      </c>
      <c r="M219" s="74" t="str">
        <f>IFERROR(__xludf.DUMMYFUNCTION("""COMPUTED_VALUE"""),"MF")</f>
        <v>MF</v>
      </c>
      <c r="N219" s="114">
        <f>IFERROR(__xludf.DUMMYFUNCTION("""COMPUTED_VALUE"""),1.113818433453807)</f>
        <v>1.113818433</v>
      </c>
      <c r="O219" s="74" t="str">
        <f>IFERROR(__xludf.DUMMYFUNCTION("""COMPUTED_VALUE"""),"")</f>
        <v/>
      </c>
      <c r="P219" s="74" t="str">
        <f>IFERROR(__xludf.DUMMYFUNCTION("""COMPUTED_VALUE"""),"")</f>
        <v/>
      </c>
      <c r="Q219" s="82" t="str">
        <f>IFERROR(__xludf.DUMMYFUNCTION("""COMPUTED_VALUE"""),"")</f>
        <v/>
      </c>
      <c r="R219" s="82" t="str">
        <f>IFERROR(__xludf.DUMMYFUNCTION("""COMPUTED_VALUE"""),"")</f>
        <v/>
      </c>
      <c r="S219" s="84" t="str">
        <f>IFERROR(__xludf.DUMMYFUNCTION("""COMPUTED_VALUE"""),"")</f>
        <v/>
      </c>
      <c r="T219" s="84" t="str">
        <f>IFERROR(__xludf.DUMMYFUNCTION("""COMPUTED_VALUE"""),"")</f>
        <v/>
      </c>
      <c r="U219" s="74" t="str">
        <f>IFERROR(__xludf.DUMMYFUNCTION("""COMPUTED_VALUE"""),"")</f>
        <v/>
      </c>
      <c r="V219" s="82" t="str">
        <f>IFERROR(__xludf.DUMMYFUNCTION("""COMPUTED_VALUE"""),"")</f>
        <v/>
      </c>
      <c r="W219" s="64" t="str">
        <f>IFERROR(__xludf.DUMMYFUNCTION("""COMPUTED_VALUE"""),"")</f>
        <v/>
      </c>
      <c r="X219" s="84" t="str">
        <f>IFERROR(__xludf.DUMMYFUNCTION("""COMPUTED_VALUE"""),"")</f>
        <v/>
      </c>
      <c r="Y219" s="114" t="str">
        <f>IFERROR(__xludf.DUMMYFUNCTION("""COMPUTED_VALUE"""),"")</f>
        <v/>
      </c>
    </row>
    <row r="220">
      <c r="A220" s="109">
        <f>IFERROR(__xludf.DUMMYFUNCTION("""COMPUTED_VALUE"""),46114.5503271875)</f>
        <v>46114.55033</v>
      </c>
      <c r="B220" s="81" t="str">
        <f>IFERROR(__xludf.DUMMYFUNCTION("""COMPUTED_VALUE"""),"Kyra Turner")</f>
        <v>Kyra Turner</v>
      </c>
      <c r="C220" s="74" t="b">
        <f>IFERROR(__xludf.DUMMYFUNCTION("""COMPUTED_VALUE"""),FALSE)</f>
        <v>0</v>
      </c>
      <c r="D220" s="137">
        <f>IFERROR(__xludf.DUMMYFUNCTION("""COMPUTED_VALUE"""),0.5027777777795563)</f>
        <v>0.5027777778</v>
      </c>
      <c r="E220" s="82">
        <f>IFERROR(__xludf.DUMMYFUNCTION("""COMPUTED_VALUE"""),0.045833333329937886)</f>
        <v>0.04583333333</v>
      </c>
      <c r="F220" s="137">
        <f>IFERROR(__xludf.DUMMYFUNCTION("""COMPUTED_VALUE"""),0.5486111111094942)</f>
        <v>0.5486111111</v>
      </c>
      <c r="G220" s="82">
        <f>IFERROR(__xludf.DUMMYFUNCTION("""COMPUTED_VALUE"""),0.13749999999708962)</f>
        <v>0.1375</v>
      </c>
      <c r="H220" s="74">
        <f>IFERROR(__xludf.DUMMYFUNCTION("""COMPUTED_VALUE"""),76.0)</f>
        <v>76</v>
      </c>
      <c r="I220" s="84">
        <f>IFERROR(__xludf.DUMMYFUNCTION("""COMPUTED_VALUE"""),57.57575757697625)</f>
        <v>57.57575758</v>
      </c>
      <c r="J220" s="74" t="str">
        <f>IFERROR(__xludf.DUMMYFUNCTION("""COMPUTED_VALUE"""),"Lunch")</f>
        <v>Lunch</v>
      </c>
      <c r="K220" s="113">
        <f>IFERROR(__xludf.DUMMYFUNCTION("""COMPUTED_VALUE"""),46114.0)</f>
        <v>46114</v>
      </c>
      <c r="L220" s="74" t="str">
        <f>IFERROR(__xludf.DUMMYFUNCTION("""COMPUTED_VALUE"""),"Thursday")</f>
        <v>Thursday</v>
      </c>
      <c r="M220" s="74" t="str">
        <f>IFERROR(__xludf.DUMMYFUNCTION("""COMPUTED_VALUE"""),"BF")</f>
        <v>BF</v>
      </c>
      <c r="N220" s="114">
        <f>IFERROR(__xludf.DUMMYFUNCTION("""COMPUTED_VALUE"""),2.0308444038108493)</f>
        <v>2.030844404</v>
      </c>
      <c r="O220" s="74" t="str">
        <f>IFERROR(__xludf.DUMMYFUNCTION("""COMPUTED_VALUE"""),"")</f>
        <v/>
      </c>
      <c r="P220" s="74" t="str">
        <f>IFERROR(__xludf.DUMMYFUNCTION("""COMPUTED_VALUE"""),"")</f>
        <v/>
      </c>
      <c r="Q220" s="82" t="str">
        <f>IFERROR(__xludf.DUMMYFUNCTION("""COMPUTED_VALUE"""),"")</f>
        <v/>
      </c>
      <c r="R220" s="82" t="str">
        <f>IFERROR(__xludf.DUMMYFUNCTION("""COMPUTED_VALUE"""),"")</f>
        <v/>
      </c>
      <c r="S220" s="84" t="str">
        <f>IFERROR(__xludf.DUMMYFUNCTION("""COMPUTED_VALUE"""),"")</f>
        <v/>
      </c>
      <c r="T220" s="84" t="str">
        <f>IFERROR(__xludf.DUMMYFUNCTION("""COMPUTED_VALUE"""),"")</f>
        <v/>
      </c>
      <c r="U220" s="74" t="str">
        <f>IFERROR(__xludf.DUMMYFUNCTION("""COMPUTED_VALUE"""),"")</f>
        <v/>
      </c>
      <c r="V220" s="82" t="str">
        <f>IFERROR(__xludf.DUMMYFUNCTION("""COMPUTED_VALUE"""),"")</f>
        <v/>
      </c>
      <c r="W220" s="64" t="str">
        <f>IFERROR(__xludf.DUMMYFUNCTION("""COMPUTED_VALUE"""),"")</f>
        <v/>
      </c>
      <c r="X220" s="84" t="str">
        <f>IFERROR(__xludf.DUMMYFUNCTION("""COMPUTED_VALUE"""),"")</f>
        <v/>
      </c>
      <c r="Y220" s="114" t="str">
        <f>IFERROR(__xludf.DUMMYFUNCTION("""COMPUTED_VALUE"""),"")</f>
        <v/>
      </c>
    </row>
    <row r="221">
      <c r="A221" s="109">
        <f>IFERROR(__xludf.DUMMYFUNCTION("""COMPUTED_VALUE"""),46114.64534847222)</f>
        <v>46114.64535</v>
      </c>
      <c r="B221" s="81" t="str">
        <f>IFERROR(__xludf.DUMMYFUNCTION("""COMPUTED_VALUE"""),"Kyra Turner")</f>
        <v>Kyra Turner</v>
      </c>
      <c r="C221" s="74" t="b">
        <f>IFERROR(__xludf.DUMMYFUNCTION("""COMPUTED_VALUE"""),TRUE)</f>
        <v>1</v>
      </c>
      <c r="D221" s="137">
        <f>IFERROR(__xludf.DUMMYFUNCTION("""COMPUTED_VALUE"""),0.5513888888890506)</f>
        <v>0.5513888889</v>
      </c>
      <c r="E221" s="82">
        <f>IFERROR(__xludf.DUMMYFUNCTION("""COMPUTED_VALUE"""),0.09166666666715173)</f>
        <v>0.09166666667</v>
      </c>
      <c r="F221" s="137">
        <f>IFERROR(__xludf.DUMMYFUNCTION("""COMPUTED_VALUE"""),0.6430555555562023)</f>
        <v>0.6430555556</v>
      </c>
      <c r="G221" s="82" t="str">
        <f>IFERROR(__xludf.DUMMYFUNCTION("""COMPUTED_VALUE"""),"")</f>
        <v/>
      </c>
      <c r="H221" s="74">
        <f>IFERROR(__xludf.DUMMYFUNCTION("""COMPUTED_VALUE"""),114.0)</f>
        <v>114</v>
      </c>
      <c r="I221" s="84" t="str">
        <f>IFERROR(__xludf.DUMMYFUNCTION("""COMPUTED_VALUE"""),"")</f>
        <v/>
      </c>
      <c r="J221" s="74" t="str">
        <f>IFERROR(__xludf.DUMMYFUNCTION("""COMPUTED_VALUE"""),"Lunch")</f>
        <v>Lunch</v>
      </c>
      <c r="K221" s="113">
        <f>IFERROR(__xludf.DUMMYFUNCTION("""COMPUTED_VALUE"""),46114.0)</f>
        <v>46114</v>
      </c>
      <c r="L221" s="74" t="str">
        <f>IFERROR(__xludf.DUMMYFUNCTION("""COMPUTED_VALUE"""),"Thursday")</f>
        <v>Thursday</v>
      </c>
      <c r="M221" s="74" t="str">
        <f>IFERROR(__xludf.DUMMYFUNCTION("""COMPUTED_VALUE"""),"BF")</f>
        <v>BF</v>
      </c>
      <c r="N221" s="114" t="str">
        <f>IFERROR(__xludf.DUMMYFUNCTION("""COMPUTED_VALUE"""),"")</f>
        <v/>
      </c>
      <c r="O221" s="74" t="str">
        <f>IFERROR(__xludf.DUMMYFUNCTION("""COMPUTED_VALUE"""),"")</f>
        <v/>
      </c>
      <c r="P221" s="74" t="str">
        <f>IFERROR(__xludf.DUMMYFUNCTION("""COMPUTED_VALUE"""),"")</f>
        <v/>
      </c>
      <c r="Q221" s="82" t="str">
        <f>IFERROR(__xludf.DUMMYFUNCTION("""COMPUTED_VALUE"""),"")</f>
        <v/>
      </c>
      <c r="R221" s="82" t="str">
        <f>IFERROR(__xludf.DUMMYFUNCTION("""COMPUTED_VALUE"""),"")</f>
        <v/>
      </c>
      <c r="S221" s="84" t="str">
        <f>IFERROR(__xludf.DUMMYFUNCTION("""COMPUTED_VALUE"""),"")</f>
        <v/>
      </c>
      <c r="T221" s="84" t="str">
        <f>IFERROR(__xludf.DUMMYFUNCTION("""COMPUTED_VALUE"""),"")</f>
        <v/>
      </c>
      <c r="U221" s="74" t="str">
        <f>IFERROR(__xludf.DUMMYFUNCTION("""COMPUTED_VALUE"""),"")</f>
        <v/>
      </c>
      <c r="V221" s="82" t="str">
        <f>IFERROR(__xludf.DUMMYFUNCTION("""COMPUTED_VALUE"""),"")</f>
        <v/>
      </c>
      <c r="W221" s="64" t="str">
        <f>IFERROR(__xludf.DUMMYFUNCTION("""COMPUTED_VALUE"""),"")</f>
        <v/>
      </c>
      <c r="X221" s="84" t="str">
        <f>IFERROR(__xludf.DUMMYFUNCTION("""COMPUTED_VALUE"""),"")</f>
        <v/>
      </c>
      <c r="Y221" s="114" t="str">
        <f>IFERROR(__xludf.DUMMYFUNCTION("""COMPUTED_VALUE"""),"")</f>
        <v/>
      </c>
    </row>
    <row r="222">
      <c r="A222" s="109">
        <f>IFERROR(__xludf.DUMMYFUNCTION("""COMPUTED_VALUE"""),46114.85563789352)</f>
        <v>46114.85564</v>
      </c>
      <c r="B222" s="81" t="str">
        <f>IFERROR(__xludf.DUMMYFUNCTION("""COMPUTED_VALUE"""),"Leah Bucci")</f>
        <v>Leah Bucci</v>
      </c>
      <c r="C222" s="74" t="b">
        <f>IFERROR(__xludf.DUMMYFUNCTION("""COMPUTED_VALUE"""),FALSE)</f>
        <v>0</v>
      </c>
      <c r="D222" s="137">
        <f>IFERROR(__xludf.DUMMYFUNCTION("""COMPUTED_VALUE"""),0.6875)</f>
        <v>0.6875</v>
      </c>
      <c r="E222" s="82">
        <f>IFERROR(__xludf.DUMMYFUNCTION("""COMPUTED_VALUE"""),0.16666666666424135)</f>
        <v>0.1666666667</v>
      </c>
      <c r="F222" s="137">
        <f>IFERROR(__xludf.DUMMYFUNCTION("""COMPUTED_VALUE"""),0.8541666666642413)</f>
        <v>0.8541666667</v>
      </c>
      <c r="G222" s="82">
        <f>IFERROR(__xludf.DUMMYFUNCTION("""COMPUTED_VALUE"""),0.16666666666424135)</f>
        <v>0.1666666667</v>
      </c>
      <c r="H222" s="74">
        <f>IFERROR(__xludf.DUMMYFUNCTION("""COMPUTED_VALUE"""),160.0)</f>
        <v>160</v>
      </c>
      <c r="I222" s="84">
        <f>IFERROR(__xludf.DUMMYFUNCTION("""COMPUTED_VALUE"""),40.00000000058208)</f>
        <v>40</v>
      </c>
      <c r="J222" s="74" t="str">
        <f>IFERROR(__xludf.DUMMYFUNCTION("""COMPUTED_VALUE"""),"Dinner")</f>
        <v>Dinner</v>
      </c>
      <c r="K222" s="113">
        <f>IFERROR(__xludf.DUMMYFUNCTION("""COMPUTED_VALUE"""),46114.0)</f>
        <v>46114</v>
      </c>
      <c r="L222" s="74" t="str">
        <f>IFERROR(__xludf.DUMMYFUNCTION("""COMPUTED_VALUE"""),"Thursday")</f>
        <v>Thursday</v>
      </c>
      <c r="M222" s="74" t="str">
        <f>IFERROR(__xludf.DUMMYFUNCTION("""COMPUTED_VALUE"""),"BF")</f>
        <v>BF</v>
      </c>
      <c r="N222" s="114">
        <f>IFERROR(__xludf.DUMMYFUNCTION("""COMPUTED_VALUE"""),0.9002557544757033)</f>
        <v>0.9002557545</v>
      </c>
      <c r="O222" s="74">
        <f>IFERROR(__xludf.DUMMYFUNCTION("""COMPUTED_VALUE"""),70.0)</f>
        <v>70</v>
      </c>
      <c r="P222" s="74">
        <f>IFERROR(__xludf.DUMMYFUNCTION("""COMPUTED_VALUE"""),457.0)</f>
        <v>457</v>
      </c>
      <c r="Q222" s="82">
        <f>IFERROR(__xludf.DUMMYFUNCTION("""COMPUTED_VALUE"""),0.05208333333575865)</f>
        <v>0.05208333334</v>
      </c>
      <c r="R222" s="82">
        <f>IFERROR(__xludf.DUMMYFUNCTION("""COMPUTED_VALUE"""),0.4826388888832298)</f>
        <v>0.4826388889</v>
      </c>
      <c r="S222" s="84">
        <f>IFERROR(__xludf.DUMMYFUNCTION("""COMPUTED_VALUE"""),55.999999997392294)</f>
        <v>56</v>
      </c>
      <c r="T222" s="84">
        <f>IFERROR(__xludf.DUMMYFUNCTION("""COMPUTED_VALUE"""),35.363094002356775)</f>
        <v>35.363094</v>
      </c>
      <c r="U222" s="74">
        <f>IFERROR(__xludf.DUMMYFUNCTION("""COMPUTED_VALUE"""),527.0)</f>
        <v>527</v>
      </c>
      <c r="V222" s="82">
        <f>IFERROR(__xludf.DUMMYFUNCTION("""COMPUTED_VALUE"""),0.5347222222189885)</f>
        <v>0.5347222222</v>
      </c>
      <c r="W222" s="64">
        <f>IFERROR(__xludf.DUMMYFUNCTION("""COMPUTED_VALUE"""),41.064935065183406)</f>
        <v>41.06493507</v>
      </c>
      <c r="X222" s="84">
        <f>IFERROR(__xludf.DUMMYFUNCTION("""COMPUTED_VALUE"""),39.49047520136388)</f>
        <v>39.4904752</v>
      </c>
      <c r="Y222" s="114">
        <f>IFERROR(__xludf.DUMMYFUNCTION("""COMPUTED_VALUE"""),0.613407604139632)</f>
        <v>0.6134076041</v>
      </c>
    </row>
    <row r="223">
      <c r="A223" s="109">
        <f>IFERROR(__xludf.DUMMYFUNCTION("""COMPUTED_VALUE"""),46115.438240937496)</f>
        <v>46115.43824</v>
      </c>
      <c r="B223" s="81" t="str">
        <f>IFERROR(__xludf.DUMMYFUNCTION("""COMPUTED_VALUE"""),"Kaylie Forgue")</f>
        <v>Kaylie Forgue</v>
      </c>
      <c r="C223" s="74" t="b">
        <f>IFERROR(__xludf.DUMMYFUNCTION("""COMPUTED_VALUE"""),FALSE)</f>
        <v>0</v>
      </c>
      <c r="D223" s="137">
        <f>IFERROR(__xludf.DUMMYFUNCTION("""COMPUTED_VALUE"""),0.37152777778101154)</f>
        <v>0.3715277778</v>
      </c>
      <c r="E223" s="82">
        <f>IFERROR(__xludf.DUMMYFUNCTION("""COMPUTED_VALUE"""),0.0625)</f>
        <v>0.0625</v>
      </c>
      <c r="F223" s="137">
        <f>IFERROR(__xludf.DUMMYFUNCTION("""COMPUTED_VALUE"""),0.43402777778101154)</f>
        <v>0.4340277778</v>
      </c>
      <c r="G223" s="82">
        <f>IFERROR(__xludf.DUMMYFUNCTION("""COMPUTED_VALUE"""),0.0625)</f>
        <v>0.0625</v>
      </c>
      <c r="H223" s="74">
        <f>IFERROR(__xludf.DUMMYFUNCTION("""COMPUTED_VALUE"""),53.0)</f>
        <v>53</v>
      </c>
      <c r="I223" s="84">
        <f>IFERROR(__xludf.DUMMYFUNCTION("""COMPUTED_VALUE"""),35.333333333333336)</f>
        <v>35.33333333</v>
      </c>
      <c r="J223" s="74" t="str">
        <f>IFERROR(__xludf.DUMMYFUNCTION("""COMPUTED_VALUE"""),"Breakfast")</f>
        <v>Breakfast</v>
      </c>
      <c r="K223" s="113">
        <f>IFERROR(__xludf.DUMMYFUNCTION("""COMPUTED_VALUE"""),46115.0)</f>
        <v>46115</v>
      </c>
      <c r="L223" s="74" t="str">
        <f>IFERROR(__xludf.DUMMYFUNCTION("""COMPUTED_VALUE"""),"Friday")</f>
        <v>Friday</v>
      </c>
      <c r="M223" s="74" t="str">
        <f>IFERROR(__xludf.DUMMYFUNCTION("""COMPUTED_VALUE"""),"BF")</f>
        <v>BF</v>
      </c>
      <c r="N223" s="114">
        <f>IFERROR(__xludf.DUMMYFUNCTION("""COMPUTED_VALUE"""),1.246297144628068)</f>
        <v>1.246297145</v>
      </c>
      <c r="O223" s="74" t="str">
        <f>IFERROR(__xludf.DUMMYFUNCTION("""COMPUTED_VALUE"""),"")</f>
        <v/>
      </c>
      <c r="P223" s="74" t="str">
        <f>IFERROR(__xludf.DUMMYFUNCTION("""COMPUTED_VALUE"""),"")</f>
        <v/>
      </c>
      <c r="Q223" s="82" t="str">
        <f>IFERROR(__xludf.DUMMYFUNCTION("""COMPUTED_VALUE"""),"")</f>
        <v/>
      </c>
      <c r="R223" s="82" t="str">
        <f>IFERROR(__xludf.DUMMYFUNCTION("""COMPUTED_VALUE"""),"")</f>
        <v/>
      </c>
      <c r="S223" s="84" t="str">
        <f>IFERROR(__xludf.DUMMYFUNCTION("""COMPUTED_VALUE"""),"")</f>
        <v/>
      </c>
      <c r="T223" s="84" t="str">
        <f>IFERROR(__xludf.DUMMYFUNCTION("""COMPUTED_VALUE"""),"")</f>
        <v/>
      </c>
      <c r="U223" s="74" t="str">
        <f>IFERROR(__xludf.DUMMYFUNCTION("""COMPUTED_VALUE"""),"")</f>
        <v/>
      </c>
      <c r="V223" s="82" t="str">
        <f>IFERROR(__xludf.DUMMYFUNCTION("""COMPUTED_VALUE"""),"")</f>
        <v/>
      </c>
      <c r="W223" s="64" t="str">
        <f>IFERROR(__xludf.DUMMYFUNCTION("""COMPUTED_VALUE"""),"")</f>
        <v/>
      </c>
      <c r="X223" s="84" t="str">
        <f>IFERROR(__xludf.DUMMYFUNCTION("""COMPUTED_VALUE"""),"")</f>
        <v/>
      </c>
      <c r="Y223" s="114" t="str">
        <f>IFERROR(__xludf.DUMMYFUNCTION("""COMPUTED_VALUE"""),"")</f>
        <v/>
      </c>
    </row>
    <row r="224">
      <c r="A224" s="109">
        <f>IFERROR(__xludf.DUMMYFUNCTION("""COMPUTED_VALUE"""),46115.57690940972)</f>
        <v>46115.57691</v>
      </c>
      <c r="B224" s="81" t="str">
        <f>IFERROR(__xludf.DUMMYFUNCTION("""COMPUTED_VALUE"""),"Brynn Hornig")</f>
        <v>Brynn Hornig</v>
      </c>
      <c r="C224" s="74" t="b">
        <f>IFERROR(__xludf.DUMMYFUNCTION("""COMPUTED_VALUE"""),FALSE)</f>
        <v>0</v>
      </c>
      <c r="D224" s="137">
        <f>IFERROR(__xludf.DUMMYFUNCTION("""COMPUTED_VALUE"""),0.45833333333575865)</f>
        <v>0.4583333333</v>
      </c>
      <c r="E224" s="82">
        <f>IFERROR(__xludf.DUMMYFUNCTION("""COMPUTED_VALUE"""),0.125)</f>
        <v>0.125</v>
      </c>
      <c r="F224" s="137">
        <f>IFERROR(__xludf.DUMMYFUNCTION("""COMPUTED_VALUE"""),0.5833333333357587)</f>
        <v>0.5833333333</v>
      </c>
      <c r="G224" s="82">
        <f>IFERROR(__xludf.DUMMYFUNCTION("""COMPUTED_VALUE"""),0.125)</f>
        <v>0.125</v>
      </c>
      <c r="H224" s="74">
        <f>IFERROR(__xludf.DUMMYFUNCTION("""COMPUTED_VALUE"""),44.0)</f>
        <v>44</v>
      </c>
      <c r="I224" s="84">
        <f>IFERROR(__xludf.DUMMYFUNCTION("""COMPUTED_VALUE"""),14.666666666666666)</f>
        <v>14.66666667</v>
      </c>
      <c r="J224" s="74" t="str">
        <f>IFERROR(__xludf.DUMMYFUNCTION("""COMPUTED_VALUE"""),"Lunch")</f>
        <v>Lunch</v>
      </c>
      <c r="K224" s="113">
        <f>IFERROR(__xludf.DUMMYFUNCTION("""COMPUTED_VALUE"""),46115.0)</f>
        <v>46115</v>
      </c>
      <c r="L224" s="74" t="str">
        <f>IFERROR(__xludf.DUMMYFUNCTION("""COMPUTED_VALUE"""),"Friday")</f>
        <v>Friday</v>
      </c>
      <c r="M224" s="74" t="str">
        <f>IFERROR(__xludf.DUMMYFUNCTION("""COMPUTED_VALUE"""),"BF")</f>
        <v>BF</v>
      </c>
      <c r="N224" s="114">
        <f>IFERROR(__xludf.DUMMYFUNCTION("""COMPUTED_VALUE"""),0.5173308902229715)</f>
        <v>0.5173308902</v>
      </c>
      <c r="O224" s="74" t="str">
        <f>IFERROR(__xludf.DUMMYFUNCTION("""COMPUTED_VALUE"""),"")</f>
        <v/>
      </c>
      <c r="P224" s="74" t="str">
        <f>IFERROR(__xludf.DUMMYFUNCTION("""COMPUTED_VALUE"""),"")</f>
        <v/>
      </c>
      <c r="Q224" s="82" t="str">
        <f>IFERROR(__xludf.DUMMYFUNCTION("""COMPUTED_VALUE"""),"")</f>
        <v/>
      </c>
      <c r="R224" s="82" t="str">
        <f>IFERROR(__xludf.DUMMYFUNCTION("""COMPUTED_VALUE"""),"")</f>
        <v/>
      </c>
      <c r="S224" s="84" t="str">
        <f>IFERROR(__xludf.DUMMYFUNCTION("""COMPUTED_VALUE"""),"")</f>
        <v/>
      </c>
      <c r="T224" s="84" t="str">
        <f>IFERROR(__xludf.DUMMYFUNCTION("""COMPUTED_VALUE"""),"")</f>
        <v/>
      </c>
      <c r="U224" s="74" t="str">
        <f>IFERROR(__xludf.DUMMYFUNCTION("""COMPUTED_VALUE"""),"")</f>
        <v/>
      </c>
      <c r="V224" s="82" t="str">
        <f>IFERROR(__xludf.DUMMYFUNCTION("""COMPUTED_VALUE"""),"")</f>
        <v/>
      </c>
      <c r="W224" s="64" t="str">
        <f>IFERROR(__xludf.DUMMYFUNCTION("""COMPUTED_VALUE"""),"")</f>
        <v/>
      </c>
      <c r="X224" s="84" t="str">
        <f>IFERROR(__xludf.DUMMYFUNCTION("""COMPUTED_VALUE"""),"")</f>
        <v/>
      </c>
      <c r="Y224" s="114" t="str">
        <f>IFERROR(__xludf.DUMMYFUNCTION("""COMPUTED_VALUE"""),"")</f>
        <v/>
      </c>
    </row>
    <row r="225">
      <c r="A225" s="109">
        <f>IFERROR(__xludf.DUMMYFUNCTION("""COMPUTED_VALUE"""),46115.621983136574)</f>
        <v>46115.62198</v>
      </c>
      <c r="B225" s="81" t="str">
        <f>IFERROR(__xludf.DUMMYFUNCTION("""COMPUTED_VALUE"""),"Oluwatimilehin Shodipe")</f>
        <v>Oluwatimilehin Shodipe</v>
      </c>
      <c r="C225" s="74" t="b">
        <f>IFERROR(__xludf.DUMMYFUNCTION("""COMPUTED_VALUE"""),FALSE)</f>
        <v>0</v>
      </c>
      <c r="D225" s="137">
        <f>IFERROR(__xludf.DUMMYFUNCTION("""COMPUTED_VALUE"""),0.48263888889050577)</f>
        <v>0.4826388889</v>
      </c>
      <c r="E225" s="82">
        <f>IFERROR(__xludf.DUMMYFUNCTION("""COMPUTED_VALUE"""),0.13888888889050577)</f>
        <v>0.1388888889</v>
      </c>
      <c r="F225" s="137">
        <f>IFERROR(__xludf.DUMMYFUNCTION("""COMPUTED_VALUE"""),0.6215277777810115)</f>
        <v>0.6215277778</v>
      </c>
      <c r="G225" s="82">
        <f>IFERROR(__xludf.DUMMYFUNCTION("""COMPUTED_VALUE"""),0.13888888889050577)</f>
        <v>0.1388888889</v>
      </c>
      <c r="H225" s="74">
        <f>IFERROR(__xludf.DUMMYFUNCTION("""COMPUTED_VALUE"""),127.0)</f>
        <v>127</v>
      </c>
      <c r="I225" s="84">
        <f>IFERROR(__xludf.DUMMYFUNCTION("""COMPUTED_VALUE"""),38.09999999955646)</f>
        <v>38.1</v>
      </c>
      <c r="J225" s="74" t="str">
        <f>IFERROR(__xludf.DUMMYFUNCTION("""COMPUTED_VALUE"""),"Lunch")</f>
        <v>Lunch</v>
      </c>
      <c r="K225" s="113">
        <f>IFERROR(__xludf.DUMMYFUNCTION("""COMPUTED_VALUE"""),46115.0)</f>
        <v>46115</v>
      </c>
      <c r="L225" s="74" t="str">
        <f>IFERROR(__xludf.DUMMYFUNCTION("""COMPUTED_VALUE"""),"Friday")</f>
        <v>Friday</v>
      </c>
      <c r="M225" s="74" t="str">
        <f>IFERROR(__xludf.DUMMYFUNCTION("""COMPUTED_VALUE"""),"MF")</f>
        <v>MF</v>
      </c>
      <c r="N225" s="114">
        <f>IFERROR(__xludf.DUMMYFUNCTION("""COMPUTED_VALUE"""),0.7577943270727167)</f>
        <v>0.7577943271</v>
      </c>
      <c r="O225" s="74">
        <f>IFERROR(__xludf.DUMMYFUNCTION("""COMPUTED_VALUE"""),283.0)</f>
        <v>283</v>
      </c>
      <c r="P225" s="74">
        <f>IFERROR(__xludf.DUMMYFUNCTION("""COMPUTED_VALUE"""),97.0)</f>
        <v>97</v>
      </c>
      <c r="Q225" s="82">
        <f>IFERROR(__xludf.DUMMYFUNCTION("""COMPUTED_VALUE"""),0.28680555555183673)</f>
        <v>0.2868055556</v>
      </c>
      <c r="R225" s="82">
        <f>IFERROR(__xludf.DUMMYFUNCTION("""COMPUTED_VALUE"""),0.1875)</f>
        <v>0.1875</v>
      </c>
      <c r="S225" s="84">
        <f>IFERROR(__xludf.DUMMYFUNCTION("""COMPUTED_VALUE"""),41.911640212561515)</f>
        <v>41.91164021</v>
      </c>
      <c r="T225" s="84">
        <f>IFERROR(__xludf.DUMMYFUNCTION("""COMPUTED_VALUE"""),25.0)</f>
        <v>25</v>
      </c>
      <c r="U225" s="74">
        <f>IFERROR(__xludf.DUMMYFUNCTION("""COMPUTED_VALUE"""),380.0)</f>
        <v>380</v>
      </c>
      <c r="V225" s="82">
        <f>IFERROR(__xludf.DUMMYFUNCTION("""COMPUTED_VALUE"""),0.47430555555183673)</f>
        <v>0.4743055556</v>
      </c>
      <c r="W225" s="64">
        <f>IFERROR(__xludf.DUMMYFUNCTION("""COMPUTED_VALUE"""),33.38213762837301)</f>
        <v>33.38213763</v>
      </c>
      <c r="X225" s="84">
        <f>IFERROR(__xludf.DUMMYFUNCTION("""COMPUTED_VALUE"""),35.1469841275369)</f>
        <v>35.14698413</v>
      </c>
      <c r="Y225" s="114">
        <f>IFERROR(__xludf.DUMMYFUNCTION("""COMPUTED_VALUE"""),0.7366395487632419)</f>
        <v>0.7366395488</v>
      </c>
    </row>
    <row r="226">
      <c r="A226" s="109">
        <f>IFERROR(__xludf.DUMMYFUNCTION("""COMPUTED_VALUE"""),46115.746811516205)</f>
        <v>46115.74681</v>
      </c>
      <c r="B226" s="81" t="str">
        <f>IFERROR(__xludf.DUMMYFUNCTION("""COMPUTED_VALUE"""),"Denise Romanszysn")</f>
        <v>Denise Romanszysn</v>
      </c>
      <c r="C226" s="74" t="b">
        <f>IFERROR(__xludf.DUMMYFUNCTION("""COMPUTED_VALUE"""),FALSE)</f>
        <v>0</v>
      </c>
      <c r="D226" s="137">
        <f>IFERROR(__xludf.DUMMYFUNCTION("""COMPUTED_VALUE"""),0.44097222221898846)</f>
        <v>0.4409722222</v>
      </c>
      <c r="E226" s="82">
        <f>IFERROR(__xludf.DUMMYFUNCTION("""COMPUTED_VALUE"""),0.04513888889050577)</f>
        <v>0.04513888889</v>
      </c>
      <c r="F226" s="137">
        <f>IFERROR(__xludf.DUMMYFUNCTION("""COMPUTED_VALUE"""),0.48611111110949423)</f>
        <v>0.4861111111</v>
      </c>
      <c r="G226" s="82">
        <f>IFERROR(__xludf.DUMMYFUNCTION("""COMPUTED_VALUE"""),0.04513888889050577)</f>
        <v>0.04513888889</v>
      </c>
      <c r="H226" s="74">
        <f>IFERROR(__xludf.DUMMYFUNCTION("""COMPUTED_VALUE"""),86.0)</f>
        <v>86</v>
      </c>
      <c r="I226" s="84">
        <f>IFERROR(__xludf.DUMMYFUNCTION("""COMPUTED_VALUE"""),79.38461538177182)</f>
        <v>79.38461538</v>
      </c>
      <c r="J226" s="74" t="str">
        <f>IFERROR(__xludf.DUMMYFUNCTION("""COMPUTED_VALUE"""),"Breakfast/Lunch")</f>
        <v>Breakfast/Lunch</v>
      </c>
      <c r="K226" s="113">
        <f>IFERROR(__xludf.DUMMYFUNCTION("""COMPUTED_VALUE"""),46111.0)</f>
        <v>46111</v>
      </c>
      <c r="L226" s="74" t="str">
        <f>IFERROR(__xludf.DUMMYFUNCTION("""COMPUTED_VALUE"""),"Monday")</f>
        <v>Monday</v>
      </c>
      <c r="M226" s="74" t="str">
        <f>IFERROR(__xludf.DUMMYFUNCTION("""COMPUTED_VALUE"""),"BF")</f>
        <v>BF</v>
      </c>
      <c r="N226" s="114">
        <f>IFERROR(__xludf.DUMMYFUNCTION("""COMPUTED_VALUE"""),2.289464861497788)</f>
        <v>2.289464861</v>
      </c>
      <c r="O226" s="74" t="str">
        <f>IFERROR(__xludf.DUMMYFUNCTION("""COMPUTED_VALUE"""),"")</f>
        <v/>
      </c>
      <c r="P226" s="74" t="str">
        <f>IFERROR(__xludf.DUMMYFUNCTION("""COMPUTED_VALUE"""),"")</f>
        <v/>
      </c>
      <c r="Q226" s="82" t="str">
        <f>IFERROR(__xludf.DUMMYFUNCTION("""COMPUTED_VALUE"""),"")</f>
        <v/>
      </c>
      <c r="R226" s="82" t="str">
        <f>IFERROR(__xludf.DUMMYFUNCTION("""COMPUTED_VALUE"""),"")</f>
        <v/>
      </c>
      <c r="S226" s="84" t="str">
        <f>IFERROR(__xludf.DUMMYFUNCTION("""COMPUTED_VALUE"""),"")</f>
        <v/>
      </c>
      <c r="T226" s="84" t="str">
        <f>IFERROR(__xludf.DUMMYFUNCTION("""COMPUTED_VALUE"""),"")</f>
        <v/>
      </c>
      <c r="U226" s="74" t="str">
        <f>IFERROR(__xludf.DUMMYFUNCTION("""COMPUTED_VALUE"""),"")</f>
        <v/>
      </c>
      <c r="V226" s="82" t="str">
        <f>IFERROR(__xludf.DUMMYFUNCTION("""COMPUTED_VALUE"""),"")</f>
        <v/>
      </c>
      <c r="W226" s="64" t="str">
        <f>IFERROR(__xludf.DUMMYFUNCTION("""COMPUTED_VALUE"""),"")</f>
        <v/>
      </c>
      <c r="X226" s="84" t="str">
        <f>IFERROR(__xludf.DUMMYFUNCTION("""COMPUTED_VALUE"""),"")</f>
        <v/>
      </c>
      <c r="Y226" s="114" t="str">
        <f>IFERROR(__xludf.DUMMYFUNCTION("""COMPUTED_VALUE"""),"")</f>
        <v/>
      </c>
    </row>
    <row r="227">
      <c r="A227" s="109">
        <f>IFERROR(__xludf.DUMMYFUNCTION("""COMPUTED_VALUE"""),46115.74763619213)</f>
        <v>46115.74764</v>
      </c>
      <c r="B227" s="81" t="str">
        <f>IFERROR(__xludf.DUMMYFUNCTION("""COMPUTED_VALUE"""),"Denise Romanszysn")</f>
        <v>Denise Romanszysn</v>
      </c>
      <c r="C227" s="74" t="b">
        <f>IFERROR(__xludf.DUMMYFUNCTION("""COMPUTED_VALUE"""),FALSE)</f>
        <v>0</v>
      </c>
      <c r="D227" s="137">
        <f>IFERROR(__xludf.DUMMYFUNCTION("""COMPUTED_VALUE"""),0.547222222223354)</f>
        <v>0.5472222222</v>
      </c>
      <c r="E227" s="82">
        <f>IFERROR(__xludf.DUMMYFUNCTION("""COMPUTED_VALUE"""),0.0743055555576575)</f>
        <v>0.07430555556</v>
      </c>
      <c r="F227" s="137">
        <f>IFERROR(__xludf.DUMMYFUNCTION("""COMPUTED_VALUE"""),0.6215277777810115)</f>
        <v>0.6215277778</v>
      </c>
      <c r="G227" s="82">
        <f>IFERROR(__xludf.DUMMYFUNCTION("""COMPUTED_VALUE"""),0.0743055555576575)</f>
        <v>0.07430555556</v>
      </c>
      <c r="H227" s="74">
        <f>IFERROR(__xludf.DUMMYFUNCTION("""COMPUTED_VALUE"""),177.0)</f>
        <v>177</v>
      </c>
      <c r="I227" s="84">
        <f>IFERROR(__xludf.DUMMYFUNCTION("""COMPUTED_VALUE"""),99.25233644579049)</f>
        <v>99.25233645</v>
      </c>
      <c r="J227" s="74" t="str">
        <f>IFERROR(__xludf.DUMMYFUNCTION("""COMPUTED_VALUE"""),"Lunch")</f>
        <v>Lunch</v>
      </c>
      <c r="K227" s="113">
        <f>IFERROR(__xludf.DUMMYFUNCTION("""COMPUTED_VALUE"""),46111.0)</f>
        <v>46111</v>
      </c>
      <c r="L227" s="74" t="str">
        <f>IFERROR(__xludf.DUMMYFUNCTION("""COMPUTED_VALUE"""),"Monday")</f>
        <v>Monday</v>
      </c>
      <c r="M227" s="74" t="str">
        <f>IFERROR(__xludf.DUMMYFUNCTION("""COMPUTED_VALUE"""),"MF")</f>
        <v>MF</v>
      </c>
      <c r="N227" s="114">
        <f>IFERROR(__xludf.DUMMYFUNCTION("""COMPUTED_VALUE"""),1.974090748246936)</f>
        <v>1.974090748</v>
      </c>
      <c r="O227" s="74">
        <f>IFERROR(__xludf.DUMMYFUNCTION("""COMPUTED_VALUE"""),494.0)</f>
        <v>494</v>
      </c>
      <c r="P227" s="74">
        <f>IFERROR(__xludf.DUMMYFUNCTION("""COMPUTED_VALUE"""),179.0)</f>
        <v>179</v>
      </c>
      <c r="Q227" s="82">
        <f>IFERROR(__xludf.DUMMYFUNCTION("""COMPUTED_VALUE"""),0.2750000000014552)</f>
        <v>0.275</v>
      </c>
      <c r="R227" s="82">
        <f>IFERROR(__xludf.DUMMYFUNCTION("""COMPUTED_VALUE"""),0.17013888889050577)</f>
        <v>0.1701388889</v>
      </c>
      <c r="S227" s="84">
        <f>IFERROR(__xludf.DUMMYFUNCTION("""COMPUTED_VALUE"""),77.78747606317529)</f>
        <v>77.78747606</v>
      </c>
      <c r="T227" s="84">
        <f>IFERROR(__xludf.DUMMYFUNCTION("""COMPUTED_VALUE"""),55.19230769088591)</f>
        <v>55.19230769</v>
      </c>
      <c r="U227" s="74">
        <f>IFERROR(__xludf.DUMMYFUNCTION("""COMPUTED_VALUE"""),673.0)</f>
        <v>673</v>
      </c>
      <c r="V227" s="82">
        <f>IFERROR(__xludf.DUMMYFUNCTION("""COMPUTED_VALUE"""),0.44513888889196096)</f>
        <v>0.4451388889</v>
      </c>
      <c r="W227" s="64">
        <f>IFERROR(__xludf.DUMMYFUNCTION("""COMPUTED_VALUE"""),62.99531981235776)</f>
        <v>62.99531981</v>
      </c>
      <c r="X227" s="84">
        <f>IFERROR(__xludf.DUMMYFUNCTION("""COMPUTED_VALUE"""),68.74940871425954)</f>
        <v>68.74940871</v>
      </c>
      <c r="Y227" s="114">
        <f>IFERROR(__xludf.DUMMYFUNCTION("""COMPUTED_VALUE"""),1.2673374825385708)</f>
        <v>1.267337483</v>
      </c>
    </row>
    <row r="228">
      <c r="A228" s="109">
        <f>IFERROR(__xludf.DUMMYFUNCTION("""COMPUTED_VALUE"""),46115.74847489584)</f>
        <v>46115.74847</v>
      </c>
      <c r="B228" s="81" t="str">
        <f>IFERROR(__xludf.DUMMYFUNCTION("""COMPUTED_VALUE"""),"Denise Romanszysn")</f>
        <v>Denise Romanszysn</v>
      </c>
      <c r="C228" s="74" t="b">
        <f>IFERROR(__xludf.DUMMYFUNCTION("""COMPUTED_VALUE"""),FALSE)</f>
        <v>0</v>
      </c>
      <c r="D228" s="137">
        <f>IFERROR(__xludf.DUMMYFUNCTION("""COMPUTED_VALUE"""),0.29861111110949423)</f>
        <v>0.2986111111</v>
      </c>
      <c r="E228" s="82">
        <f>IFERROR(__xludf.DUMMYFUNCTION("""COMPUTED_VALUE"""),0.14583333333575865)</f>
        <v>0.1458333333</v>
      </c>
      <c r="F228" s="137">
        <f>IFERROR(__xludf.DUMMYFUNCTION("""COMPUTED_VALUE"""),0.4444444444452529)</f>
        <v>0.4444444444</v>
      </c>
      <c r="G228" s="82">
        <f>IFERROR(__xludf.DUMMYFUNCTION("""COMPUTED_VALUE"""),0.14583333333575865)</f>
        <v>0.1458333333</v>
      </c>
      <c r="H228" s="74">
        <f>IFERROR(__xludf.DUMMYFUNCTION("""COMPUTED_VALUE"""),157.0)</f>
        <v>157</v>
      </c>
      <c r="I228" s="84">
        <f>IFERROR(__xludf.DUMMYFUNCTION("""COMPUTED_VALUE"""),44.85714285639685)</f>
        <v>44.85714286</v>
      </c>
      <c r="J228" s="74" t="str">
        <f>IFERROR(__xludf.DUMMYFUNCTION("""COMPUTED_VALUE"""),"Breakfast")</f>
        <v>Breakfast</v>
      </c>
      <c r="K228" s="113">
        <f>IFERROR(__xludf.DUMMYFUNCTION("""COMPUTED_VALUE"""),46112.0)</f>
        <v>46112</v>
      </c>
      <c r="L228" s="74" t="str">
        <f>IFERROR(__xludf.DUMMYFUNCTION("""COMPUTED_VALUE"""),"Tuesday")</f>
        <v>Tuesday</v>
      </c>
      <c r="M228" s="74" t="str">
        <f>IFERROR(__xludf.DUMMYFUNCTION("""COMPUTED_VALUE"""),"BF")</f>
        <v>BF</v>
      </c>
      <c r="N228" s="114">
        <f>IFERROR(__xludf.DUMMYFUNCTION("""COMPUTED_VALUE"""),1.5822262940971903)</f>
        <v>1.582226294</v>
      </c>
      <c r="O228" s="74">
        <f>IFERROR(__xludf.DUMMYFUNCTION("""COMPUTED_VALUE"""),414.0)</f>
        <v>414</v>
      </c>
      <c r="P228" s="74">
        <f>IFERROR(__xludf.DUMMYFUNCTION("""COMPUTED_VALUE"""),325.0)</f>
        <v>325</v>
      </c>
      <c r="Q228" s="82">
        <f>IFERROR(__xludf.DUMMYFUNCTION("""COMPUTED_VALUE"""),0.24999999999272404)</f>
        <v>0.25</v>
      </c>
      <c r="R228" s="82">
        <f>IFERROR(__xludf.DUMMYFUNCTION("""COMPUTED_VALUE"""),0.2618055555576575)</f>
        <v>0.2618055556</v>
      </c>
      <c r="S228" s="84">
        <f>IFERROR(__xludf.DUMMYFUNCTION("""COMPUTED_VALUE"""),67.8896585868206)</f>
        <v>67.88965859</v>
      </c>
      <c r="T228" s="84">
        <f>IFERROR(__xludf.DUMMYFUNCTION("""COMPUTED_VALUE"""),52.50378282143985)</f>
        <v>52.50378282</v>
      </c>
      <c r="U228" s="74">
        <f>IFERROR(__xludf.DUMMYFUNCTION("""COMPUTED_VALUE"""),739.0)</f>
        <v>739</v>
      </c>
      <c r="V228" s="82">
        <f>IFERROR(__xludf.DUMMYFUNCTION("""COMPUTED_VALUE"""),0.5118055555503815)</f>
        <v>0.5118055556</v>
      </c>
      <c r="W228" s="64">
        <f>IFERROR(__xludf.DUMMYFUNCTION("""COMPUTED_VALUE"""),60.1628222529827)</f>
        <v>60.16282225</v>
      </c>
      <c r="X228" s="84">
        <f>IFERROR(__xludf.DUMMYFUNCTION("""COMPUTED_VALUE"""),58.658133127592144)</f>
        <v>58.65813313</v>
      </c>
      <c r="Y228" s="114">
        <f>IFERROR(__xludf.DUMMYFUNCTION("""COMPUTED_VALUE"""),0.8582482687343285)</f>
        <v>0.8582482687</v>
      </c>
    </row>
    <row r="229">
      <c r="A229" s="109">
        <f>IFERROR(__xludf.DUMMYFUNCTION("""COMPUTED_VALUE"""),46115.749628958336)</f>
        <v>46115.74963</v>
      </c>
      <c r="B229" s="81" t="str">
        <f>IFERROR(__xludf.DUMMYFUNCTION("""COMPUTED_VALUE"""),"Leah Bucci")</f>
        <v>Leah Bucci</v>
      </c>
      <c r="C229" s="74" t="b">
        <f>IFERROR(__xludf.DUMMYFUNCTION("""COMPUTED_VALUE"""),FALSE)</f>
        <v>0</v>
      </c>
      <c r="D229" s="137">
        <f>IFERROR(__xludf.DUMMYFUNCTION("""COMPUTED_VALUE"""),0.6701388888905058)</f>
        <v>0.6701388889</v>
      </c>
      <c r="E229" s="82">
        <f>IFERROR(__xludf.DUMMYFUNCTION("""COMPUTED_VALUE"""),0.07291666666424135)</f>
        <v>0.07291666666</v>
      </c>
      <c r="F229" s="137">
        <f>IFERROR(__xludf.DUMMYFUNCTION("""COMPUTED_VALUE"""),0.7430555555547471)</f>
        <v>0.7430555556</v>
      </c>
      <c r="G229" s="82">
        <f>IFERROR(__xludf.DUMMYFUNCTION("""COMPUTED_VALUE"""),0.07291666666424135)</f>
        <v>0.07291666666</v>
      </c>
      <c r="H229" s="74">
        <f>IFERROR(__xludf.DUMMYFUNCTION("""COMPUTED_VALUE"""),61.0)</f>
        <v>61</v>
      </c>
      <c r="I229" s="84">
        <f>IFERROR(__xludf.DUMMYFUNCTION("""COMPUTED_VALUE"""),34.85714285830226)</f>
        <v>34.85714286</v>
      </c>
      <c r="J229" s="74" t="str">
        <f>IFERROR(__xludf.DUMMYFUNCTION("""COMPUTED_VALUE"""),"Dinner")</f>
        <v>Dinner</v>
      </c>
      <c r="K229" s="113">
        <f>IFERROR(__xludf.DUMMYFUNCTION("""COMPUTED_VALUE"""),46115.0)</f>
        <v>46115</v>
      </c>
      <c r="L229" s="74" t="str">
        <f>IFERROR(__xludf.DUMMYFUNCTION("""COMPUTED_VALUE"""),"Friday")</f>
        <v>Friday</v>
      </c>
      <c r="M229" s="74" t="str">
        <f>IFERROR(__xludf.DUMMYFUNCTION("""COMPUTED_VALUE"""),"MF")</f>
        <v>MF</v>
      </c>
      <c r="N229" s="114">
        <f>IFERROR(__xludf.DUMMYFUNCTION("""COMPUTED_VALUE"""),0.7515606604436268)</f>
        <v>0.7515606604</v>
      </c>
      <c r="O229" s="74" t="str">
        <f>IFERROR(__xludf.DUMMYFUNCTION("""COMPUTED_VALUE"""),"")</f>
        <v/>
      </c>
      <c r="P229" s="74" t="str">
        <f>IFERROR(__xludf.DUMMYFUNCTION("""COMPUTED_VALUE"""),"")</f>
        <v/>
      </c>
      <c r="Q229" s="82" t="str">
        <f>IFERROR(__xludf.DUMMYFUNCTION("""COMPUTED_VALUE"""),"")</f>
        <v/>
      </c>
      <c r="R229" s="82" t="str">
        <f>IFERROR(__xludf.DUMMYFUNCTION("""COMPUTED_VALUE"""),"")</f>
        <v/>
      </c>
      <c r="S229" s="84" t="str">
        <f>IFERROR(__xludf.DUMMYFUNCTION("""COMPUTED_VALUE"""),"")</f>
        <v/>
      </c>
      <c r="T229" s="84" t="str">
        <f>IFERROR(__xludf.DUMMYFUNCTION("""COMPUTED_VALUE"""),"")</f>
        <v/>
      </c>
      <c r="U229" s="74" t="str">
        <f>IFERROR(__xludf.DUMMYFUNCTION("""COMPUTED_VALUE"""),"")</f>
        <v/>
      </c>
      <c r="V229" s="82" t="str">
        <f>IFERROR(__xludf.DUMMYFUNCTION("""COMPUTED_VALUE"""),"")</f>
        <v/>
      </c>
      <c r="W229" s="64" t="str">
        <f>IFERROR(__xludf.DUMMYFUNCTION("""COMPUTED_VALUE"""),"")</f>
        <v/>
      </c>
      <c r="X229" s="84" t="str">
        <f>IFERROR(__xludf.DUMMYFUNCTION("""COMPUTED_VALUE"""),"")</f>
        <v/>
      </c>
      <c r="Y229" s="114" t="str">
        <f>IFERROR(__xludf.DUMMYFUNCTION("""COMPUTED_VALUE"""),"")</f>
        <v/>
      </c>
    </row>
    <row r="230">
      <c r="A230" s="109">
        <f>IFERROR(__xludf.DUMMYFUNCTION("""COMPUTED_VALUE"""),46115.83054920139)</f>
        <v>46115.83055</v>
      </c>
      <c r="B230" s="81" t="str">
        <f>IFERROR(__xludf.DUMMYFUNCTION("""COMPUTED_VALUE"""),"Orpheus Wilson")</f>
        <v>Orpheus Wilson</v>
      </c>
      <c r="C230" s="74" t="b">
        <f>IFERROR(__xludf.DUMMYFUNCTION("""COMPUTED_VALUE"""),FALSE)</f>
        <v>0</v>
      </c>
      <c r="D230" s="137">
        <f>IFERROR(__xludf.DUMMYFUNCTION("""COMPUTED_VALUE"""),0.7548611111124046)</f>
        <v>0.7548611111</v>
      </c>
      <c r="E230" s="82">
        <f>IFERROR(__xludf.DUMMYFUNCTION("""COMPUTED_VALUE"""),0.07499999999708962)</f>
        <v>0.075</v>
      </c>
      <c r="F230" s="137">
        <f>IFERROR(__xludf.DUMMYFUNCTION("""COMPUTED_VALUE"""),0.8298611111094942)</f>
        <v>0.8298611111</v>
      </c>
      <c r="G230" s="82">
        <f>IFERROR(__xludf.DUMMYFUNCTION("""COMPUTED_VALUE"""),0.07499999999708962)</f>
        <v>0.075</v>
      </c>
      <c r="H230" s="74">
        <f>IFERROR(__xludf.DUMMYFUNCTION("""COMPUTED_VALUE"""),95.0)</f>
        <v>95</v>
      </c>
      <c r="I230" s="84">
        <f>IFERROR(__xludf.DUMMYFUNCTION("""COMPUTED_VALUE"""),52.777777779825826)</f>
        <v>52.77777778</v>
      </c>
      <c r="J230" s="74" t="str">
        <f>IFERROR(__xludf.DUMMYFUNCTION("""COMPUTED_VALUE"""),"Dinner")</f>
        <v>Dinner</v>
      </c>
      <c r="K230" s="113">
        <f>IFERROR(__xludf.DUMMYFUNCTION("""COMPUTED_VALUE"""),46115.0)</f>
        <v>46115</v>
      </c>
      <c r="L230" s="74" t="str">
        <f>IFERROR(__xludf.DUMMYFUNCTION("""COMPUTED_VALUE"""),"Friday")</f>
        <v>Friday</v>
      </c>
      <c r="M230" s="74" t="str">
        <f>IFERROR(__xludf.DUMMYFUNCTION("""COMPUTED_VALUE"""),"MF")</f>
        <v>MF</v>
      </c>
      <c r="N230" s="114">
        <f>IFERROR(__xludf.DUMMYFUNCTION("""COMPUTED_VALUE"""),1.1379504535468634)</f>
        <v>1.137950454</v>
      </c>
      <c r="O230" s="74">
        <f>IFERROR(__xludf.DUMMYFUNCTION("""COMPUTED_VALUE"""),283.0)</f>
        <v>283</v>
      </c>
      <c r="P230" s="74">
        <f>IFERROR(__xludf.DUMMYFUNCTION("""COMPUTED_VALUE"""),97.0)</f>
        <v>97</v>
      </c>
      <c r="Q230" s="82">
        <f>IFERROR(__xludf.DUMMYFUNCTION("""COMPUTED_VALUE"""),0.28680555555183673)</f>
        <v>0.2868055556</v>
      </c>
      <c r="R230" s="82">
        <f>IFERROR(__xludf.DUMMYFUNCTION("""COMPUTED_VALUE"""),0.1875)</f>
        <v>0.1875</v>
      </c>
      <c r="S230" s="84">
        <f>IFERROR(__xludf.DUMMYFUNCTION("""COMPUTED_VALUE"""),41.911640212561515)</f>
        <v>41.91164021</v>
      </c>
      <c r="T230" s="84">
        <f>IFERROR(__xludf.DUMMYFUNCTION("""COMPUTED_VALUE"""),25.0)</f>
        <v>25</v>
      </c>
      <c r="U230" s="74">
        <f>IFERROR(__xludf.DUMMYFUNCTION("""COMPUTED_VALUE"""),380.0)</f>
        <v>380</v>
      </c>
      <c r="V230" s="82">
        <f>IFERROR(__xludf.DUMMYFUNCTION("""COMPUTED_VALUE"""),0.47430555555183673)</f>
        <v>0.4743055556</v>
      </c>
      <c r="W230" s="64">
        <f>IFERROR(__xludf.DUMMYFUNCTION("""COMPUTED_VALUE"""),33.38213762837301)</f>
        <v>33.38213763</v>
      </c>
      <c r="X230" s="84">
        <f>IFERROR(__xludf.DUMMYFUNCTION("""COMPUTED_VALUE"""),35.1469841275369)</f>
        <v>35.14698413</v>
      </c>
      <c r="Y230" s="114">
        <f>IFERROR(__xludf.DUMMYFUNCTION("""COMPUTED_VALUE"""),0.7366395487632419)</f>
        <v>0.7366395488</v>
      </c>
    </row>
    <row r="231">
      <c r="A231" s="109">
        <f>IFERROR(__xludf.DUMMYFUNCTION("""COMPUTED_VALUE"""),46118.43577488426)</f>
        <v>46118.43577</v>
      </c>
      <c r="B231" s="81" t="str">
        <f>IFERROR(__xludf.DUMMYFUNCTION("""COMPUTED_VALUE"""),"Sophia Kluck")</f>
        <v>Sophia Kluck</v>
      </c>
      <c r="C231" s="74" t="b">
        <f>IFERROR(__xludf.DUMMYFUNCTION("""COMPUTED_VALUE"""),FALSE)</f>
        <v>0</v>
      </c>
      <c r="D231" s="137">
        <f>IFERROR(__xludf.DUMMYFUNCTION("""COMPUTED_VALUE"""),0.3687500000014552)</f>
        <v>0.36875</v>
      </c>
      <c r="E231" s="82">
        <f>IFERROR(__xludf.DUMMYFUNCTION("""COMPUTED_VALUE"""),0.06458333333284827)</f>
        <v>0.06458333333</v>
      </c>
      <c r="F231" s="137">
        <f>IFERROR(__xludf.DUMMYFUNCTION("""COMPUTED_VALUE"""),0.43333333333430346)</f>
        <v>0.4333333333</v>
      </c>
      <c r="G231" s="82">
        <f>IFERROR(__xludf.DUMMYFUNCTION("""COMPUTED_VALUE"""),0.06458333333284827)</f>
        <v>0.06458333333</v>
      </c>
      <c r="H231" s="74">
        <f>IFERROR(__xludf.DUMMYFUNCTION("""COMPUTED_VALUE"""),48.0)</f>
        <v>48</v>
      </c>
      <c r="I231" s="84">
        <f>IFERROR(__xludf.DUMMYFUNCTION("""COMPUTED_VALUE"""),30.96774193571646)</f>
        <v>30.96774194</v>
      </c>
      <c r="J231" s="74" t="str">
        <f>IFERROR(__xludf.DUMMYFUNCTION("""COMPUTED_VALUE"""),"Breakfast")</f>
        <v>Breakfast</v>
      </c>
      <c r="K231" s="113">
        <f>IFERROR(__xludf.DUMMYFUNCTION("""COMPUTED_VALUE"""),46118.0)</f>
        <v>46118</v>
      </c>
      <c r="L231" s="74" t="str">
        <f>IFERROR(__xludf.DUMMYFUNCTION("""COMPUTED_VALUE"""),"Monday")</f>
        <v>Monday</v>
      </c>
      <c r="M231" s="74" t="str">
        <f>IFERROR(__xludf.DUMMYFUNCTION("""COMPUTED_VALUE"""),"BF")</f>
        <v>BF</v>
      </c>
      <c r="N231" s="114">
        <f>IFERROR(__xludf.DUMMYFUNCTION("""COMPUTED_VALUE"""),1.0923115570772348)</f>
        <v>1.092311557</v>
      </c>
      <c r="O231" s="74" t="str">
        <f>IFERROR(__xludf.DUMMYFUNCTION("""COMPUTED_VALUE"""),"")</f>
        <v/>
      </c>
      <c r="P231" s="74" t="str">
        <f>IFERROR(__xludf.DUMMYFUNCTION("""COMPUTED_VALUE"""),"")</f>
        <v/>
      </c>
      <c r="Q231" s="82" t="str">
        <f>IFERROR(__xludf.DUMMYFUNCTION("""COMPUTED_VALUE"""),"")</f>
        <v/>
      </c>
      <c r="R231" s="82" t="str">
        <f>IFERROR(__xludf.DUMMYFUNCTION("""COMPUTED_VALUE"""),"")</f>
        <v/>
      </c>
      <c r="S231" s="84" t="str">
        <f>IFERROR(__xludf.DUMMYFUNCTION("""COMPUTED_VALUE"""),"")</f>
        <v/>
      </c>
      <c r="T231" s="84" t="str">
        <f>IFERROR(__xludf.DUMMYFUNCTION("""COMPUTED_VALUE"""),"")</f>
        <v/>
      </c>
      <c r="U231" s="74" t="str">
        <f>IFERROR(__xludf.DUMMYFUNCTION("""COMPUTED_VALUE"""),"")</f>
        <v/>
      </c>
      <c r="V231" s="82" t="str">
        <f>IFERROR(__xludf.DUMMYFUNCTION("""COMPUTED_VALUE"""),"")</f>
        <v/>
      </c>
      <c r="W231" s="64" t="str">
        <f>IFERROR(__xludf.DUMMYFUNCTION("""COMPUTED_VALUE"""),"")</f>
        <v/>
      </c>
      <c r="X231" s="84" t="str">
        <f>IFERROR(__xludf.DUMMYFUNCTION("""COMPUTED_VALUE"""),"")</f>
        <v/>
      </c>
      <c r="Y231" s="114" t="str">
        <f>IFERROR(__xludf.DUMMYFUNCTION("""COMPUTED_VALUE"""),"")</f>
        <v/>
      </c>
    </row>
    <row r="232">
      <c r="A232" s="109">
        <f>IFERROR(__xludf.DUMMYFUNCTION("""COMPUTED_VALUE"""),46118.64190699074)</f>
        <v>46118.64191</v>
      </c>
      <c r="B232" s="81" t="str">
        <f>IFERROR(__xludf.DUMMYFUNCTION("""COMPUTED_VALUE"""),"Brynn Hornig")</f>
        <v>Brynn Hornig</v>
      </c>
      <c r="C232" s="74" t="b">
        <f>IFERROR(__xludf.DUMMYFUNCTION("""COMPUTED_VALUE"""),FALSE)</f>
        <v>0</v>
      </c>
      <c r="D232" s="137">
        <f>IFERROR(__xludf.DUMMYFUNCTION("""COMPUTED_VALUE"""),0.5208333333357587)</f>
        <v>0.5208333333</v>
      </c>
      <c r="E232" s="82">
        <f>IFERROR(__xludf.DUMMYFUNCTION("""COMPUTED_VALUE"""),0.125)</f>
        <v>0.125</v>
      </c>
      <c r="F232" s="137">
        <f>IFERROR(__xludf.DUMMYFUNCTION("""COMPUTED_VALUE"""),0.6458333333357587)</f>
        <v>0.6458333333</v>
      </c>
      <c r="G232" s="82">
        <f>IFERROR(__xludf.DUMMYFUNCTION("""COMPUTED_VALUE"""),0.125)</f>
        <v>0.125</v>
      </c>
      <c r="H232" s="74">
        <f>IFERROR(__xludf.DUMMYFUNCTION("""COMPUTED_VALUE"""),111.0)</f>
        <v>111</v>
      </c>
      <c r="I232" s="84">
        <f>IFERROR(__xludf.DUMMYFUNCTION("""COMPUTED_VALUE"""),37.0)</f>
        <v>37</v>
      </c>
      <c r="J232" s="74" t="str">
        <f>IFERROR(__xludf.DUMMYFUNCTION("""COMPUTED_VALUE"""),"Lunch")</f>
        <v>Lunch</v>
      </c>
      <c r="K232" s="113">
        <f>IFERROR(__xludf.DUMMYFUNCTION("""COMPUTED_VALUE"""),46118.0)</f>
        <v>46118</v>
      </c>
      <c r="L232" s="74" t="str">
        <f>IFERROR(__xludf.DUMMYFUNCTION("""COMPUTED_VALUE"""),"Monday")</f>
        <v>Monday</v>
      </c>
      <c r="M232" s="74" t="str">
        <f>IFERROR(__xludf.DUMMYFUNCTION("""COMPUTED_VALUE"""),"BF")</f>
        <v>BF</v>
      </c>
      <c r="N232" s="114">
        <f>IFERROR(__xludf.DUMMYFUNCTION("""COMPUTED_VALUE"""),1.3050847457897692)</f>
        <v>1.305084746</v>
      </c>
      <c r="O232" s="74" t="str">
        <f>IFERROR(__xludf.DUMMYFUNCTION("""COMPUTED_VALUE"""),"")</f>
        <v/>
      </c>
      <c r="P232" s="74" t="str">
        <f>IFERROR(__xludf.DUMMYFUNCTION("""COMPUTED_VALUE"""),"")</f>
        <v/>
      </c>
      <c r="Q232" s="82" t="str">
        <f>IFERROR(__xludf.DUMMYFUNCTION("""COMPUTED_VALUE"""),"")</f>
        <v/>
      </c>
      <c r="R232" s="82" t="str">
        <f>IFERROR(__xludf.DUMMYFUNCTION("""COMPUTED_VALUE"""),"")</f>
        <v/>
      </c>
      <c r="S232" s="84" t="str">
        <f>IFERROR(__xludf.DUMMYFUNCTION("""COMPUTED_VALUE"""),"")</f>
        <v/>
      </c>
      <c r="T232" s="84" t="str">
        <f>IFERROR(__xludf.DUMMYFUNCTION("""COMPUTED_VALUE"""),"")</f>
        <v/>
      </c>
      <c r="U232" s="74" t="str">
        <f>IFERROR(__xludf.DUMMYFUNCTION("""COMPUTED_VALUE"""),"")</f>
        <v/>
      </c>
      <c r="V232" s="82" t="str">
        <f>IFERROR(__xludf.DUMMYFUNCTION("""COMPUTED_VALUE"""),"")</f>
        <v/>
      </c>
      <c r="W232" s="64" t="str">
        <f>IFERROR(__xludf.DUMMYFUNCTION("""COMPUTED_VALUE"""),"")</f>
        <v/>
      </c>
      <c r="X232" s="84" t="str">
        <f>IFERROR(__xludf.DUMMYFUNCTION("""COMPUTED_VALUE"""),"")</f>
        <v/>
      </c>
      <c r="Y232" s="114" t="str">
        <f>IFERROR(__xludf.DUMMYFUNCTION("""COMPUTED_VALUE"""),"")</f>
        <v/>
      </c>
    </row>
    <row r="233">
      <c r="A233" s="109">
        <f>IFERROR(__xludf.DUMMYFUNCTION("""COMPUTED_VALUE"""),46118.74560559027)</f>
        <v>46118.74561</v>
      </c>
      <c r="B233" s="81" t="str">
        <f>IFERROR(__xludf.DUMMYFUNCTION("""COMPUTED_VALUE"""),"Orpheus Wilson")</f>
        <v>Orpheus Wilson</v>
      </c>
      <c r="C233" s="74" t="b">
        <f>IFERROR(__xludf.DUMMYFUNCTION("""COMPUTED_VALUE"""),FALSE)</f>
        <v>0</v>
      </c>
      <c r="D233" s="137">
        <f>IFERROR(__xludf.DUMMYFUNCTION("""COMPUTED_VALUE"""),0.6701388888905058)</f>
        <v>0.6701388889</v>
      </c>
      <c r="E233" s="82">
        <f>IFERROR(__xludf.DUMMYFUNCTION("""COMPUTED_VALUE"""),0.07638888889050577)</f>
        <v>0.07638888889</v>
      </c>
      <c r="F233" s="137">
        <f>IFERROR(__xludf.DUMMYFUNCTION("""COMPUTED_VALUE"""),0.7465277777810115)</f>
        <v>0.7465277778</v>
      </c>
      <c r="G233" s="82">
        <f>IFERROR(__xludf.DUMMYFUNCTION("""COMPUTED_VALUE"""),0.07638888889050577)</f>
        <v>0.07638888889</v>
      </c>
      <c r="H233" s="74">
        <f>IFERROR(__xludf.DUMMYFUNCTION("""COMPUTED_VALUE"""),89.0)</f>
        <v>89</v>
      </c>
      <c r="I233" s="84">
        <f>IFERROR(__xludf.DUMMYFUNCTION("""COMPUTED_VALUE"""),48.54545454442701)</f>
        <v>48.54545454</v>
      </c>
      <c r="J233" s="74" t="str">
        <f>IFERROR(__xludf.DUMMYFUNCTION("""COMPUTED_VALUE"""),"Dinner")</f>
        <v>Dinner</v>
      </c>
      <c r="K233" s="113">
        <f>IFERROR(__xludf.DUMMYFUNCTION("""COMPUTED_VALUE"""),46118.0)</f>
        <v>46118</v>
      </c>
      <c r="L233" s="74" t="str">
        <f>IFERROR(__xludf.DUMMYFUNCTION("""COMPUTED_VALUE"""),"Monday")</f>
        <v>Monday</v>
      </c>
      <c r="M233" s="74" t="str">
        <f>IFERROR(__xludf.DUMMYFUNCTION("""COMPUTED_VALUE"""),"MF")</f>
        <v>MF</v>
      </c>
      <c r="N233" s="114">
        <f>IFERROR(__xludf.DUMMYFUNCTION("""COMPUTED_VALUE"""),1.0466966276398548)</f>
        <v>1.046696628</v>
      </c>
      <c r="O233" s="74" t="str">
        <f>IFERROR(__xludf.DUMMYFUNCTION("""COMPUTED_VALUE"""),"")</f>
        <v/>
      </c>
      <c r="P233" s="74" t="str">
        <f>IFERROR(__xludf.DUMMYFUNCTION("""COMPUTED_VALUE"""),"")</f>
        <v/>
      </c>
      <c r="Q233" s="82" t="str">
        <f>IFERROR(__xludf.DUMMYFUNCTION("""COMPUTED_VALUE"""),"")</f>
        <v/>
      </c>
      <c r="R233" s="82" t="str">
        <f>IFERROR(__xludf.DUMMYFUNCTION("""COMPUTED_VALUE"""),"")</f>
        <v/>
      </c>
      <c r="S233" s="84" t="str">
        <f>IFERROR(__xludf.DUMMYFUNCTION("""COMPUTED_VALUE"""),"")</f>
        <v/>
      </c>
      <c r="T233" s="84" t="str">
        <f>IFERROR(__xludf.DUMMYFUNCTION("""COMPUTED_VALUE"""),"")</f>
        <v/>
      </c>
      <c r="U233" s="74" t="str">
        <f>IFERROR(__xludf.DUMMYFUNCTION("""COMPUTED_VALUE"""),"")</f>
        <v/>
      </c>
      <c r="V233" s="82" t="str">
        <f>IFERROR(__xludf.DUMMYFUNCTION("""COMPUTED_VALUE"""),"")</f>
        <v/>
      </c>
      <c r="W233" s="64" t="str">
        <f>IFERROR(__xludf.DUMMYFUNCTION("""COMPUTED_VALUE"""),"")</f>
        <v/>
      </c>
      <c r="X233" s="84" t="str">
        <f>IFERROR(__xludf.DUMMYFUNCTION("""COMPUTED_VALUE"""),"")</f>
        <v/>
      </c>
      <c r="Y233" s="114" t="str">
        <f>IFERROR(__xludf.DUMMYFUNCTION("""COMPUTED_VALUE"""),"")</f>
        <v/>
      </c>
    </row>
    <row r="234">
      <c r="A234" s="109">
        <f>IFERROR(__xludf.DUMMYFUNCTION("""COMPUTED_VALUE"""),46118.86647631944)</f>
        <v>46118.86648</v>
      </c>
      <c r="B234" s="81" t="str">
        <f>IFERROR(__xludf.DUMMYFUNCTION("""COMPUTED_VALUE"""),"Maureen Surgot")</f>
        <v>Maureen Surgot</v>
      </c>
      <c r="C234" s="74" t="b">
        <f>IFERROR(__xludf.DUMMYFUNCTION("""COMPUTED_VALUE"""),FALSE)</f>
        <v>0</v>
      </c>
      <c r="D234" s="137">
        <f>IFERROR(__xludf.DUMMYFUNCTION("""COMPUTED_VALUE"""),0.75)</f>
        <v>0.75</v>
      </c>
      <c r="E234" s="82">
        <f>IFERROR(__xludf.DUMMYFUNCTION("""COMPUTED_VALUE"""),0.125)</f>
        <v>0.125</v>
      </c>
      <c r="F234" s="137">
        <f>IFERROR(__xludf.DUMMYFUNCTION("""COMPUTED_VALUE"""),0.875)</f>
        <v>0.875</v>
      </c>
      <c r="G234" s="82">
        <f>IFERROR(__xludf.DUMMYFUNCTION("""COMPUTED_VALUE"""),0.125)</f>
        <v>0.125</v>
      </c>
      <c r="H234" s="74">
        <f>IFERROR(__xludf.DUMMYFUNCTION("""COMPUTED_VALUE"""),134.0)</f>
        <v>134</v>
      </c>
      <c r="I234" s="84">
        <f>IFERROR(__xludf.DUMMYFUNCTION("""COMPUTED_VALUE"""),44.666666666666664)</f>
        <v>44.66666667</v>
      </c>
      <c r="J234" s="74" t="str">
        <f>IFERROR(__xludf.DUMMYFUNCTION("""COMPUTED_VALUE"""),"Dinner")</f>
        <v>Dinner</v>
      </c>
      <c r="K234" s="113">
        <f>IFERROR(__xludf.DUMMYFUNCTION("""COMPUTED_VALUE"""),46118.0)</f>
        <v>46118</v>
      </c>
      <c r="L234" s="74" t="str">
        <f>IFERROR(__xludf.DUMMYFUNCTION("""COMPUTED_VALUE"""),"Monday")</f>
        <v>Monday</v>
      </c>
      <c r="M234" s="74" t="str">
        <f>IFERROR(__xludf.DUMMYFUNCTION("""COMPUTED_VALUE"""),"MF")</f>
        <v>MF</v>
      </c>
      <c r="N234" s="114">
        <f>IFERROR(__xludf.DUMMYFUNCTION("""COMPUTED_VALUE"""),0.9630654364380788)</f>
        <v>0.9630654364</v>
      </c>
      <c r="O234" s="74">
        <f>IFERROR(__xludf.DUMMYFUNCTION("""COMPUTED_VALUE"""),328.0)</f>
        <v>328</v>
      </c>
      <c r="P234" s="74">
        <f>IFERROR(__xludf.DUMMYFUNCTION("""COMPUTED_VALUE"""),235.0)</f>
        <v>235</v>
      </c>
      <c r="Q234" s="82">
        <f>IFERROR(__xludf.DUMMYFUNCTION("""COMPUTED_VALUE"""),0.27083333333575865)</f>
        <v>0.2708333333</v>
      </c>
      <c r="R234" s="82">
        <f>IFERROR(__xludf.DUMMYFUNCTION("""COMPUTED_VALUE"""),0.23472222222335404)</f>
        <v>0.2347222222</v>
      </c>
      <c r="S234" s="84">
        <f>IFERROR(__xludf.DUMMYFUNCTION("""COMPUTED_VALUE"""),52.070707070120086)</f>
        <v>52.07070707</v>
      </c>
      <c r="T234" s="84">
        <f>IFERROR(__xludf.DUMMYFUNCTION("""COMPUTED_VALUE"""),46.0405293623499)</f>
        <v>46.04052936</v>
      </c>
      <c r="U234" s="74">
        <f>IFERROR(__xludf.DUMMYFUNCTION("""COMPUTED_VALUE"""),563.0)</f>
        <v>563</v>
      </c>
      <c r="V234" s="82">
        <f>IFERROR(__xludf.DUMMYFUNCTION("""COMPUTED_VALUE"""),0.5055555555591127)</f>
        <v>0.5055555556</v>
      </c>
      <c r="W234" s="64">
        <f>IFERROR(__xludf.DUMMYFUNCTION("""COMPUTED_VALUE"""),46.40109890077242)</f>
        <v>46.4010989</v>
      </c>
      <c r="X234" s="84">
        <f>IFERROR(__xludf.DUMMYFUNCTION("""COMPUTED_VALUE"""),49.055618216235)</f>
        <v>49.05561822</v>
      </c>
      <c r="Y234" s="114">
        <f>IFERROR(__xludf.DUMMYFUNCTION("""COMPUTED_VALUE"""),0.9645776160444223)</f>
        <v>0.964577616</v>
      </c>
    </row>
    <row r="235">
      <c r="A235" s="109">
        <f>IFERROR(__xludf.DUMMYFUNCTION("""COMPUTED_VALUE"""),46119.49595016203)</f>
        <v>46119.49595</v>
      </c>
      <c r="B235" s="81" t="str">
        <f>IFERROR(__xludf.DUMMYFUNCTION("""COMPUTED_VALUE"""),"Kaylie Forgue")</f>
        <v>Kaylie Forgue</v>
      </c>
      <c r="C235" s="74" t="b">
        <f>IFERROR(__xludf.DUMMYFUNCTION("""COMPUTED_VALUE"""),FALSE)</f>
        <v>0</v>
      </c>
      <c r="D235" s="137">
        <f>IFERROR(__xludf.DUMMYFUNCTION("""COMPUTED_VALUE"""),0.4430555555591127)</f>
        <v>0.4430555556</v>
      </c>
      <c r="E235" s="82">
        <f>IFERROR(__xludf.DUMMYFUNCTION("""COMPUTED_VALUE"""),0.049999999995634425)</f>
        <v>0.05</v>
      </c>
      <c r="F235" s="137">
        <f>IFERROR(__xludf.DUMMYFUNCTION("""COMPUTED_VALUE"""),0.4930555555547471)</f>
        <v>0.4930555556</v>
      </c>
      <c r="G235" s="82">
        <f>IFERROR(__xludf.DUMMYFUNCTION("""COMPUTED_VALUE"""),0.049999999995634425)</f>
        <v>0.05</v>
      </c>
      <c r="H235" s="74">
        <f>IFERROR(__xludf.DUMMYFUNCTION("""COMPUTED_VALUE"""),142.0)</f>
        <v>142</v>
      </c>
      <c r="I235" s="84">
        <f>IFERROR(__xludf.DUMMYFUNCTION("""COMPUTED_VALUE"""),118.33333334366519)</f>
        <v>118.3333333</v>
      </c>
      <c r="J235" s="74" t="str">
        <f>IFERROR(__xludf.DUMMYFUNCTION("""COMPUTED_VALUE"""),"Breakfast/Lunch")</f>
        <v>Breakfast/Lunch</v>
      </c>
      <c r="K235" s="113">
        <f>IFERROR(__xludf.DUMMYFUNCTION("""COMPUTED_VALUE"""),46119.0)</f>
        <v>46119</v>
      </c>
      <c r="L235" s="74" t="str">
        <f>IFERROR(__xludf.DUMMYFUNCTION("""COMPUTED_VALUE"""),"Tuesday")</f>
        <v>Tuesday</v>
      </c>
      <c r="M235" s="74" t="str">
        <f>IFERROR(__xludf.DUMMYFUNCTION("""COMPUTED_VALUE"""),"BF")</f>
        <v>BF</v>
      </c>
      <c r="N235" s="114">
        <f>IFERROR(__xludf.DUMMYFUNCTION("""COMPUTED_VALUE"""),3.545663676893902)</f>
        <v>3.545663677</v>
      </c>
      <c r="O235" s="74" t="str">
        <f>IFERROR(__xludf.DUMMYFUNCTION("""COMPUTED_VALUE"""),"")</f>
        <v/>
      </c>
      <c r="P235" s="74" t="str">
        <f>IFERROR(__xludf.DUMMYFUNCTION("""COMPUTED_VALUE"""),"")</f>
        <v/>
      </c>
      <c r="Q235" s="82" t="str">
        <f>IFERROR(__xludf.DUMMYFUNCTION("""COMPUTED_VALUE"""),"")</f>
        <v/>
      </c>
      <c r="R235" s="82" t="str">
        <f>IFERROR(__xludf.DUMMYFUNCTION("""COMPUTED_VALUE"""),"")</f>
        <v/>
      </c>
      <c r="S235" s="84" t="str">
        <f>IFERROR(__xludf.DUMMYFUNCTION("""COMPUTED_VALUE"""),"")</f>
        <v/>
      </c>
      <c r="T235" s="84" t="str">
        <f>IFERROR(__xludf.DUMMYFUNCTION("""COMPUTED_VALUE"""),"")</f>
        <v/>
      </c>
      <c r="U235" s="74" t="str">
        <f>IFERROR(__xludf.DUMMYFUNCTION("""COMPUTED_VALUE"""),"")</f>
        <v/>
      </c>
      <c r="V235" s="82" t="str">
        <f>IFERROR(__xludf.DUMMYFUNCTION("""COMPUTED_VALUE"""),"")</f>
        <v/>
      </c>
      <c r="W235" s="64" t="str">
        <f>IFERROR(__xludf.DUMMYFUNCTION("""COMPUTED_VALUE"""),"")</f>
        <v/>
      </c>
      <c r="X235" s="84" t="str">
        <f>IFERROR(__xludf.DUMMYFUNCTION("""COMPUTED_VALUE"""),"")</f>
        <v/>
      </c>
      <c r="Y235" s="114" t="str">
        <f>IFERROR(__xludf.DUMMYFUNCTION("""COMPUTED_VALUE"""),"")</f>
        <v/>
      </c>
    </row>
    <row r="236">
      <c r="A236" s="109">
        <f>IFERROR(__xludf.DUMMYFUNCTION("""COMPUTED_VALUE"""),46119.54399613426)</f>
        <v>46119.544</v>
      </c>
      <c r="B236" s="81" t="str">
        <f>IFERROR(__xludf.DUMMYFUNCTION("""COMPUTED_VALUE"""),"Kyra Turner")</f>
        <v>Kyra Turner</v>
      </c>
      <c r="C236" s="74" t="b">
        <f>IFERROR(__xludf.DUMMYFUNCTION("""COMPUTED_VALUE"""),FALSE)</f>
        <v>0</v>
      </c>
      <c r="D236" s="137">
        <f>IFERROR(__xludf.DUMMYFUNCTION("""COMPUTED_VALUE"""),0.48333333333721384)</f>
        <v>0.4833333333</v>
      </c>
      <c r="E236" s="82">
        <f>IFERROR(__xludf.DUMMYFUNCTION("""COMPUTED_VALUE"""),0.0583333333270275)</f>
        <v>0.05833333333</v>
      </c>
      <c r="F236" s="137">
        <f>IFERROR(__xludf.DUMMYFUNCTION("""COMPUTED_VALUE"""),0.5416666666642413)</f>
        <v>0.5416666667</v>
      </c>
      <c r="G236" s="82">
        <f>IFERROR(__xludf.DUMMYFUNCTION("""COMPUTED_VALUE"""),0.1312499999985448)</f>
        <v>0.13125</v>
      </c>
      <c r="H236" s="74">
        <f>IFERROR(__xludf.DUMMYFUNCTION("""COMPUTED_VALUE"""),183.0)</f>
        <v>183</v>
      </c>
      <c r="I236" s="84">
        <f>IFERROR(__xludf.DUMMYFUNCTION("""COMPUTED_VALUE"""),110.1587301599515)</f>
        <v>110.1587302</v>
      </c>
      <c r="J236" s="74" t="str">
        <f>IFERROR(__xludf.DUMMYFUNCTION("""COMPUTED_VALUE"""),"Lunch")</f>
        <v>Lunch</v>
      </c>
      <c r="K236" s="113">
        <f>IFERROR(__xludf.DUMMYFUNCTION("""COMPUTED_VALUE"""),46119.0)</f>
        <v>46119</v>
      </c>
      <c r="L236" s="74" t="str">
        <f>IFERROR(__xludf.DUMMYFUNCTION("""COMPUTED_VALUE"""),"Tuesday")</f>
        <v>Tuesday</v>
      </c>
      <c r="M236" s="74" t="str">
        <f>IFERROR(__xludf.DUMMYFUNCTION("""COMPUTED_VALUE"""),"MF")</f>
        <v>MF</v>
      </c>
      <c r="N236" s="114">
        <f>IFERROR(__xludf.DUMMYFUNCTION("""COMPUTED_VALUE"""),2.191014718995203)</f>
        <v>2.191014719</v>
      </c>
      <c r="O236" s="74" t="str">
        <f>IFERROR(__xludf.DUMMYFUNCTION("""COMPUTED_VALUE"""),"")</f>
        <v/>
      </c>
      <c r="P236" s="74" t="str">
        <f>IFERROR(__xludf.DUMMYFUNCTION("""COMPUTED_VALUE"""),"")</f>
        <v/>
      </c>
      <c r="Q236" s="82" t="str">
        <f>IFERROR(__xludf.DUMMYFUNCTION("""COMPUTED_VALUE"""),"")</f>
        <v/>
      </c>
      <c r="R236" s="82" t="str">
        <f>IFERROR(__xludf.DUMMYFUNCTION("""COMPUTED_VALUE"""),"")</f>
        <v/>
      </c>
      <c r="S236" s="84" t="str">
        <f>IFERROR(__xludf.DUMMYFUNCTION("""COMPUTED_VALUE"""),"")</f>
        <v/>
      </c>
      <c r="T236" s="84" t="str">
        <f>IFERROR(__xludf.DUMMYFUNCTION("""COMPUTED_VALUE"""),"")</f>
        <v/>
      </c>
      <c r="U236" s="74" t="str">
        <f>IFERROR(__xludf.DUMMYFUNCTION("""COMPUTED_VALUE"""),"")</f>
        <v/>
      </c>
      <c r="V236" s="82" t="str">
        <f>IFERROR(__xludf.DUMMYFUNCTION("""COMPUTED_VALUE"""),"")</f>
        <v/>
      </c>
      <c r="W236" s="64" t="str">
        <f>IFERROR(__xludf.DUMMYFUNCTION("""COMPUTED_VALUE"""),"")</f>
        <v/>
      </c>
      <c r="X236" s="84" t="str">
        <f>IFERROR(__xludf.DUMMYFUNCTION("""COMPUTED_VALUE"""),"")</f>
        <v/>
      </c>
      <c r="Y236" s="114" t="str">
        <f>IFERROR(__xludf.DUMMYFUNCTION("""COMPUTED_VALUE"""),"")</f>
        <v/>
      </c>
    </row>
    <row r="237">
      <c r="A237" s="109">
        <f>IFERROR(__xludf.DUMMYFUNCTION("""COMPUTED_VALUE"""),46119.62545090278)</f>
        <v>46119.62545</v>
      </c>
      <c r="B237" s="81" t="str">
        <f>IFERROR(__xludf.DUMMYFUNCTION("""COMPUTED_VALUE"""),"Kyra Turner")</f>
        <v>Kyra Turner</v>
      </c>
      <c r="C237" s="74" t="b">
        <f>IFERROR(__xludf.DUMMYFUNCTION("""COMPUTED_VALUE"""),TRUE)</f>
        <v>1</v>
      </c>
      <c r="D237" s="137">
        <f>IFERROR(__xludf.DUMMYFUNCTION("""COMPUTED_VALUE"""),0.5486111111094942)</f>
        <v>0.5486111111</v>
      </c>
      <c r="E237" s="82">
        <f>IFERROR(__xludf.DUMMYFUNCTION("""COMPUTED_VALUE"""),0.0729166666715173)</f>
        <v>0.07291666667</v>
      </c>
      <c r="F237" s="137">
        <f>IFERROR(__xludf.DUMMYFUNCTION("""COMPUTED_VALUE"""),0.6215277777810115)</f>
        <v>0.6215277778</v>
      </c>
      <c r="G237" s="82" t="str">
        <f>IFERROR(__xludf.DUMMYFUNCTION("""COMPUTED_VALUE"""),"")</f>
        <v/>
      </c>
      <c r="H237" s="74">
        <f>IFERROR(__xludf.DUMMYFUNCTION("""COMPUTED_VALUE"""),164.0)</f>
        <v>164</v>
      </c>
      <c r="I237" s="84" t="str">
        <f>IFERROR(__xludf.DUMMYFUNCTION("""COMPUTED_VALUE"""),"")</f>
        <v/>
      </c>
      <c r="J237" s="74" t="str">
        <f>IFERROR(__xludf.DUMMYFUNCTION("""COMPUTED_VALUE"""),"Lunch")</f>
        <v>Lunch</v>
      </c>
      <c r="K237" s="113">
        <f>IFERROR(__xludf.DUMMYFUNCTION("""COMPUTED_VALUE"""),46119.0)</f>
        <v>46119</v>
      </c>
      <c r="L237" s="74" t="str">
        <f>IFERROR(__xludf.DUMMYFUNCTION("""COMPUTED_VALUE"""),"Tuesday")</f>
        <v>Tuesday</v>
      </c>
      <c r="M237" s="74" t="str">
        <f>IFERROR(__xludf.DUMMYFUNCTION("""COMPUTED_VALUE"""),"MF")</f>
        <v>MF</v>
      </c>
      <c r="N237" s="114" t="str">
        <f>IFERROR(__xludf.DUMMYFUNCTION("""COMPUTED_VALUE"""),"")</f>
        <v/>
      </c>
      <c r="O237" s="74" t="str">
        <f>IFERROR(__xludf.DUMMYFUNCTION("""COMPUTED_VALUE"""),"")</f>
        <v/>
      </c>
      <c r="P237" s="74" t="str">
        <f>IFERROR(__xludf.DUMMYFUNCTION("""COMPUTED_VALUE"""),"")</f>
        <v/>
      </c>
      <c r="Q237" s="82" t="str">
        <f>IFERROR(__xludf.DUMMYFUNCTION("""COMPUTED_VALUE"""),"")</f>
        <v/>
      </c>
      <c r="R237" s="82" t="str">
        <f>IFERROR(__xludf.DUMMYFUNCTION("""COMPUTED_VALUE"""),"")</f>
        <v/>
      </c>
      <c r="S237" s="84" t="str">
        <f>IFERROR(__xludf.DUMMYFUNCTION("""COMPUTED_VALUE"""),"")</f>
        <v/>
      </c>
      <c r="T237" s="84" t="str">
        <f>IFERROR(__xludf.DUMMYFUNCTION("""COMPUTED_VALUE"""),"")</f>
        <v/>
      </c>
      <c r="U237" s="74" t="str">
        <f>IFERROR(__xludf.DUMMYFUNCTION("""COMPUTED_VALUE"""),"")</f>
        <v/>
      </c>
      <c r="V237" s="82" t="str">
        <f>IFERROR(__xludf.DUMMYFUNCTION("""COMPUTED_VALUE"""),"")</f>
        <v/>
      </c>
      <c r="W237" s="64" t="str">
        <f>IFERROR(__xludf.DUMMYFUNCTION("""COMPUTED_VALUE"""),"")</f>
        <v/>
      </c>
      <c r="X237" s="84" t="str">
        <f>IFERROR(__xludf.DUMMYFUNCTION("""COMPUTED_VALUE"""),"")</f>
        <v/>
      </c>
      <c r="Y237" s="114" t="str">
        <f>IFERROR(__xludf.DUMMYFUNCTION("""COMPUTED_VALUE"""),"")</f>
        <v/>
      </c>
    </row>
    <row r="238">
      <c r="A238" s="109">
        <f>IFERROR(__xludf.DUMMYFUNCTION("""COMPUTED_VALUE"""),46119.85352056713)</f>
        <v>46119.85352</v>
      </c>
      <c r="B238" s="81" t="str">
        <f>IFERROR(__xludf.DUMMYFUNCTION("""COMPUTED_VALUE"""),"Leah Bucci")</f>
        <v>Leah Bucci</v>
      </c>
      <c r="C238" s="74" t="b">
        <f>IFERROR(__xludf.DUMMYFUNCTION("""COMPUTED_VALUE"""),FALSE)</f>
        <v>0</v>
      </c>
      <c r="D238" s="137">
        <f>IFERROR(__xludf.DUMMYFUNCTION("""COMPUTED_VALUE"""),0.6875)</f>
        <v>0.6875</v>
      </c>
      <c r="E238" s="82">
        <f>IFERROR(__xludf.DUMMYFUNCTION("""COMPUTED_VALUE"""),0.16111111111240461)</f>
        <v>0.1611111111</v>
      </c>
      <c r="F238" s="137">
        <f>IFERROR(__xludf.DUMMYFUNCTION("""COMPUTED_VALUE"""),0.8486111111124046)</f>
        <v>0.8486111111</v>
      </c>
      <c r="G238" s="82">
        <f>IFERROR(__xludf.DUMMYFUNCTION("""COMPUTED_VALUE"""),0.16111111111240461)</f>
        <v>0.1611111111</v>
      </c>
      <c r="H238" s="74">
        <f>IFERROR(__xludf.DUMMYFUNCTION("""COMPUTED_VALUE"""),173.0)</f>
        <v>173</v>
      </c>
      <c r="I238" s="84">
        <f>IFERROR(__xludf.DUMMYFUNCTION("""COMPUTED_VALUE"""),44.74137930998562)</f>
        <v>44.74137931</v>
      </c>
      <c r="J238" s="74" t="str">
        <f>IFERROR(__xludf.DUMMYFUNCTION("""COMPUTED_VALUE"""),"Dinner")</f>
        <v>Dinner</v>
      </c>
      <c r="K238" s="113">
        <f>IFERROR(__xludf.DUMMYFUNCTION("""COMPUTED_VALUE"""),46119.0)</f>
        <v>46119</v>
      </c>
      <c r="L238" s="74" t="str">
        <f>IFERROR(__xludf.DUMMYFUNCTION("""COMPUTED_VALUE"""),"Tuesday")</f>
        <v>Tuesday</v>
      </c>
      <c r="M238" s="74" t="str">
        <f>IFERROR(__xludf.DUMMYFUNCTION("""COMPUTED_VALUE"""),"BF")</f>
        <v>BF</v>
      </c>
      <c r="N238" s="114">
        <f>IFERROR(__xludf.DUMMYFUNCTION("""COMPUTED_VALUE"""),1.0069671046602147)</f>
        <v>1.006967105</v>
      </c>
      <c r="O238" s="74" t="str">
        <f>IFERROR(__xludf.DUMMYFUNCTION("""COMPUTED_VALUE"""),"")</f>
        <v/>
      </c>
      <c r="P238" s="74" t="str">
        <f>IFERROR(__xludf.DUMMYFUNCTION("""COMPUTED_VALUE"""),"")</f>
        <v/>
      </c>
      <c r="Q238" s="82" t="str">
        <f>IFERROR(__xludf.DUMMYFUNCTION("""COMPUTED_VALUE"""),"")</f>
        <v/>
      </c>
      <c r="R238" s="82" t="str">
        <f>IFERROR(__xludf.DUMMYFUNCTION("""COMPUTED_VALUE"""),"")</f>
        <v/>
      </c>
      <c r="S238" s="84" t="str">
        <f>IFERROR(__xludf.DUMMYFUNCTION("""COMPUTED_VALUE"""),"")</f>
        <v/>
      </c>
      <c r="T238" s="84" t="str">
        <f>IFERROR(__xludf.DUMMYFUNCTION("""COMPUTED_VALUE"""),"")</f>
        <v/>
      </c>
      <c r="U238" s="74" t="str">
        <f>IFERROR(__xludf.DUMMYFUNCTION("""COMPUTED_VALUE"""),"")</f>
        <v/>
      </c>
      <c r="V238" s="82" t="str">
        <f>IFERROR(__xludf.DUMMYFUNCTION("""COMPUTED_VALUE"""),"")</f>
        <v/>
      </c>
      <c r="W238" s="64" t="str">
        <f>IFERROR(__xludf.DUMMYFUNCTION("""COMPUTED_VALUE"""),"")</f>
        <v/>
      </c>
      <c r="X238" s="84" t="str">
        <f>IFERROR(__xludf.DUMMYFUNCTION("""COMPUTED_VALUE"""),"")</f>
        <v/>
      </c>
      <c r="Y238" s="114" t="str">
        <f>IFERROR(__xludf.DUMMYFUNCTION("""COMPUTED_VALUE"""),"")</f>
        <v/>
      </c>
    </row>
    <row r="239">
      <c r="A239" s="109">
        <f>IFERROR(__xludf.DUMMYFUNCTION("""COMPUTED_VALUE"""),46119.87106096065)</f>
        <v>46119.87106</v>
      </c>
      <c r="B239" s="81" t="str">
        <f>IFERROR(__xludf.DUMMYFUNCTION("""COMPUTED_VALUE"""),"Laila Maisuria")</f>
        <v>Laila Maisuria</v>
      </c>
      <c r="C239" s="74" t="b">
        <f>IFERROR(__xludf.DUMMYFUNCTION("""COMPUTED_VALUE"""),FALSE)</f>
        <v>0</v>
      </c>
      <c r="D239" s="137">
        <f>IFERROR(__xludf.DUMMYFUNCTION("""COMPUTED_VALUE"""),0.75)</f>
        <v>0.75</v>
      </c>
      <c r="E239" s="82">
        <f>IFERROR(__xludf.DUMMYFUNCTION("""COMPUTED_VALUE"""),0.12013888888759539)</f>
        <v>0.1201388889</v>
      </c>
      <c r="F239" s="137">
        <f>IFERROR(__xludf.DUMMYFUNCTION("""COMPUTED_VALUE"""),0.8701388888875954)</f>
        <v>0.8701388889</v>
      </c>
      <c r="G239" s="82">
        <f>IFERROR(__xludf.DUMMYFUNCTION("""COMPUTED_VALUE"""),0.12013888888759539)</f>
        <v>0.1201388889</v>
      </c>
      <c r="H239" s="74">
        <f>IFERROR(__xludf.DUMMYFUNCTION("""COMPUTED_VALUE"""),149.0)</f>
        <v>149</v>
      </c>
      <c r="I239" s="84">
        <f>IFERROR(__xludf.DUMMYFUNCTION("""COMPUTED_VALUE"""),51.67630057859107)</f>
        <v>51.67630058</v>
      </c>
      <c r="J239" s="74" t="str">
        <f>IFERROR(__xludf.DUMMYFUNCTION("""COMPUTED_VALUE"""),"Dinner")</f>
        <v>Dinner</v>
      </c>
      <c r="K239" s="113">
        <f>IFERROR(__xludf.DUMMYFUNCTION("""COMPUTED_VALUE"""),46119.0)</f>
        <v>46119</v>
      </c>
      <c r="L239" s="74" t="str">
        <f>IFERROR(__xludf.DUMMYFUNCTION("""COMPUTED_VALUE"""),"Tuesday")</f>
        <v>Tuesday</v>
      </c>
      <c r="M239" s="74" t="str">
        <f>IFERROR(__xludf.DUMMYFUNCTION("""COMPUTED_VALUE"""),"MF")</f>
        <v>MF</v>
      </c>
      <c r="N239" s="114">
        <f>IFERROR(__xludf.DUMMYFUNCTION("""COMPUTED_VALUE"""),1.1142013202289438)</f>
        <v>1.11420132</v>
      </c>
      <c r="O239" s="74">
        <f>IFERROR(__xludf.DUMMYFUNCTION("""COMPUTED_VALUE"""),496.0)</f>
        <v>496</v>
      </c>
      <c r="P239" s="74">
        <f>IFERROR(__xludf.DUMMYFUNCTION("""COMPUTED_VALUE"""),315.0)</f>
        <v>315</v>
      </c>
      <c r="Q239" s="82">
        <f>IFERROR(__xludf.DUMMYFUNCTION("""COMPUTED_VALUE"""),0.2513888888861402)</f>
        <v>0.2513888889</v>
      </c>
      <c r="R239" s="82">
        <f>IFERROR(__xludf.DUMMYFUNCTION("""COMPUTED_VALUE"""),0.21111111110803904)</f>
        <v>0.2111111111</v>
      </c>
      <c r="S239" s="84">
        <f>IFERROR(__xludf.DUMMYFUNCTION("""COMPUTED_VALUE"""),80.91751536927129)</f>
        <v>80.91751537</v>
      </c>
      <c r="T239" s="84">
        <f>IFERROR(__xludf.DUMMYFUNCTION("""COMPUTED_VALUE"""),81.5373563268254)</f>
        <v>81.53735633</v>
      </c>
      <c r="U239" s="74">
        <f>IFERROR(__xludf.DUMMYFUNCTION("""COMPUTED_VALUE"""),811.0)</f>
        <v>811</v>
      </c>
      <c r="V239" s="82">
        <f>IFERROR(__xludf.DUMMYFUNCTION("""COMPUTED_VALUE"""),0.46249999999417923)</f>
        <v>0.4625</v>
      </c>
      <c r="W239" s="64">
        <f>IFERROR(__xludf.DUMMYFUNCTION("""COMPUTED_VALUE"""),73.0630630639826)</f>
        <v>73.06306306</v>
      </c>
      <c r="X239" s="84">
        <f>IFERROR(__xludf.DUMMYFUNCTION("""COMPUTED_VALUE"""),81.22743584804834)</f>
        <v>81.22743585</v>
      </c>
      <c r="Y239" s="114">
        <f>IFERROR(__xludf.DUMMYFUNCTION("""COMPUTED_VALUE"""),1.1864545767191577)</f>
        <v>1.186454577</v>
      </c>
    </row>
    <row r="240">
      <c r="A240" s="109">
        <f>IFERROR(__xludf.DUMMYFUNCTION("""COMPUTED_VALUE"""),46120.39920733796)</f>
        <v>46120.39921</v>
      </c>
      <c r="B240" s="81" t="str">
        <f>IFERROR(__xludf.DUMMYFUNCTION("""COMPUTED_VALUE"""),"Kaylie Forgue")</f>
        <v>Kaylie Forgue</v>
      </c>
      <c r="C240" s="74" t="b">
        <f>IFERROR(__xludf.DUMMYFUNCTION("""COMPUTED_VALUE"""),FALSE)</f>
        <v>0</v>
      </c>
      <c r="D240" s="137">
        <f>IFERROR(__xludf.DUMMYFUNCTION("""COMPUTED_VALUE"""),0.31597222221898846)</f>
        <v>0.3159722222</v>
      </c>
      <c r="E240" s="82">
        <f>IFERROR(__xludf.DUMMYFUNCTION("""COMPUTED_VALUE"""),0.07986111111677019)</f>
        <v>0.07986111112</v>
      </c>
      <c r="F240" s="137">
        <f>IFERROR(__xludf.DUMMYFUNCTION("""COMPUTED_VALUE"""),0.39583333333575865)</f>
        <v>0.3958333333</v>
      </c>
      <c r="G240" s="82">
        <f>IFERROR(__xludf.DUMMYFUNCTION("""COMPUTED_VALUE"""),0.11111111111677019)</f>
        <v>0.1111111111</v>
      </c>
      <c r="H240" s="74">
        <f>IFERROR(__xludf.DUMMYFUNCTION("""COMPUTED_VALUE"""),156.0)</f>
        <v>156</v>
      </c>
      <c r="I240" s="84">
        <f>IFERROR(__xludf.DUMMYFUNCTION("""COMPUTED_VALUE"""),74.24999999621832)</f>
        <v>74.25</v>
      </c>
      <c r="J240" s="74" t="str">
        <f>IFERROR(__xludf.DUMMYFUNCTION("""COMPUTED_VALUE"""),"Breakfast")</f>
        <v>Breakfast</v>
      </c>
      <c r="K240" s="113">
        <f>IFERROR(__xludf.DUMMYFUNCTION("""COMPUTED_VALUE"""),46120.0)</f>
        <v>46120</v>
      </c>
      <c r="L240" s="74" t="str">
        <f>IFERROR(__xludf.DUMMYFUNCTION("""COMPUTED_VALUE"""),"Wednesday")</f>
        <v>Wednesday</v>
      </c>
      <c r="M240" s="74" t="str">
        <f>IFERROR(__xludf.DUMMYFUNCTION("""COMPUTED_VALUE"""),"BF")</f>
        <v>BF</v>
      </c>
      <c r="N240" s="114">
        <f>IFERROR(__xludf.DUMMYFUNCTION("""COMPUTED_VALUE"""),2.6189876316204037)</f>
        <v>2.618987632</v>
      </c>
      <c r="O240" s="74" t="str">
        <f>IFERROR(__xludf.DUMMYFUNCTION("""COMPUTED_VALUE"""),"")</f>
        <v/>
      </c>
      <c r="P240" s="74" t="str">
        <f>IFERROR(__xludf.DUMMYFUNCTION("""COMPUTED_VALUE"""),"")</f>
        <v/>
      </c>
      <c r="Q240" s="82" t="str">
        <f>IFERROR(__xludf.DUMMYFUNCTION("""COMPUTED_VALUE"""),"")</f>
        <v/>
      </c>
      <c r="R240" s="82" t="str">
        <f>IFERROR(__xludf.DUMMYFUNCTION("""COMPUTED_VALUE"""),"")</f>
        <v/>
      </c>
      <c r="S240" s="84" t="str">
        <f>IFERROR(__xludf.DUMMYFUNCTION("""COMPUTED_VALUE"""),"")</f>
        <v/>
      </c>
      <c r="T240" s="84" t="str">
        <f>IFERROR(__xludf.DUMMYFUNCTION("""COMPUTED_VALUE"""),"")</f>
        <v/>
      </c>
      <c r="U240" s="74" t="str">
        <f>IFERROR(__xludf.DUMMYFUNCTION("""COMPUTED_VALUE"""),"")</f>
        <v/>
      </c>
      <c r="V240" s="82" t="str">
        <f>IFERROR(__xludf.DUMMYFUNCTION("""COMPUTED_VALUE"""),"")</f>
        <v/>
      </c>
      <c r="W240" s="64" t="str">
        <f>IFERROR(__xludf.DUMMYFUNCTION("""COMPUTED_VALUE"""),"")</f>
        <v/>
      </c>
      <c r="X240" s="84" t="str">
        <f>IFERROR(__xludf.DUMMYFUNCTION("""COMPUTED_VALUE"""),"")</f>
        <v/>
      </c>
      <c r="Y240" s="114" t="str">
        <f>IFERROR(__xludf.DUMMYFUNCTION("""COMPUTED_VALUE"""),"")</f>
        <v/>
      </c>
    </row>
    <row r="241">
      <c r="A241" s="109">
        <f>IFERROR(__xludf.DUMMYFUNCTION("""COMPUTED_VALUE"""),46120.4317004051)</f>
        <v>46120.4317</v>
      </c>
      <c r="B241" s="81" t="str">
        <f>IFERROR(__xludf.DUMMYFUNCTION("""COMPUTED_VALUE"""),"Kaylie Forgue")</f>
        <v>Kaylie Forgue</v>
      </c>
      <c r="C241" s="74" t="b">
        <f>IFERROR(__xludf.DUMMYFUNCTION("""COMPUTED_VALUE"""),TRUE)</f>
        <v>1</v>
      </c>
      <c r="D241" s="137">
        <f>IFERROR(__xludf.DUMMYFUNCTION("""COMPUTED_VALUE"""),0.39722222222189885)</f>
        <v>0.3972222222</v>
      </c>
      <c r="E241" s="82">
        <f>IFERROR(__xludf.DUMMYFUNCTION("""COMPUTED_VALUE"""),0.03125)</f>
        <v>0.03125</v>
      </c>
      <c r="F241" s="137">
        <f>IFERROR(__xludf.DUMMYFUNCTION("""COMPUTED_VALUE"""),0.42847222222189885)</f>
        <v>0.4284722222</v>
      </c>
      <c r="G241" s="82" t="str">
        <f>IFERROR(__xludf.DUMMYFUNCTION("""COMPUTED_VALUE"""),"")</f>
        <v/>
      </c>
      <c r="H241" s="74">
        <f>IFERROR(__xludf.DUMMYFUNCTION("""COMPUTED_VALUE"""),42.0)</f>
        <v>42</v>
      </c>
      <c r="I241" s="84" t="str">
        <f>IFERROR(__xludf.DUMMYFUNCTION("""COMPUTED_VALUE"""),"")</f>
        <v/>
      </c>
      <c r="J241" s="74" t="str">
        <f>IFERROR(__xludf.DUMMYFUNCTION("""COMPUTED_VALUE"""),"Breakfast")</f>
        <v>Breakfast</v>
      </c>
      <c r="K241" s="113">
        <f>IFERROR(__xludf.DUMMYFUNCTION("""COMPUTED_VALUE"""),46120.0)</f>
        <v>46120</v>
      </c>
      <c r="L241" s="74" t="str">
        <f>IFERROR(__xludf.DUMMYFUNCTION("""COMPUTED_VALUE"""),"Wednesday")</f>
        <v>Wednesday</v>
      </c>
      <c r="M241" s="74" t="str">
        <f>IFERROR(__xludf.DUMMYFUNCTION("""COMPUTED_VALUE"""),"BF")</f>
        <v>BF</v>
      </c>
      <c r="N241" s="114" t="str">
        <f>IFERROR(__xludf.DUMMYFUNCTION("""COMPUTED_VALUE"""),"")</f>
        <v/>
      </c>
      <c r="O241" s="74" t="str">
        <f>IFERROR(__xludf.DUMMYFUNCTION("""COMPUTED_VALUE"""),"")</f>
        <v/>
      </c>
      <c r="P241" s="74" t="str">
        <f>IFERROR(__xludf.DUMMYFUNCTION("""COMPUTED_VALUE"""),"")</f>
        <v/>
      </c>
      <c r="Q241" s="82" t="str">
        <f>IFERROR(__xludf.DUMMYFUNCTION("""COMPUTED_VALUE"""),"")</f>
        <v/>
      </c>
      <c r="R241" s="82" t="str">
        <f>IFERROR(__xludf.DUMMYFUNCTION("""COMPUTED_VALUE"""),"")</f>
        <v/>
      </c>
      <c r="S241" s="84" t="str">
        <f>IFERROR(__xludf.DUMMYFUNCTION("""COMPUTED_VALUE"""),"")</f>
        <v/>
      </c>
      <c r="T241" s="84" t="str">
        <f>IFERROR(__xludf.DUMMYFUNCTION("""COMPUTED_VALUE"""),"")</f>
        <v/>
      </c>
      <c r="U241" s="74" t="str">
        <f>IFERROR(__xludf.DUMMYFUNCTION("""COMPUTED_VALUE"""),"")</f>
        <v/>
      </c>
      <c r="V241" s="82" t="str">
        <f>IFERROR(__xludf.DUMMYFUNCTION("""COMPUTED_VALUE"""),"")</f>
        <v/>
      </c>
      <c r="W241" s="64" t="str">
        <f>IFERROR(__xludf.DUMMYFUNCTION("""COMPUTED_VALUE"""),"")</f>
        <v/>
      </c>
      <c r="X241" s="84" t="str">
        <f>IFERROR(__xludf.DUMMYFUNCTION("""COMPUTED_VALUE"""),"")</f>
        <v/>
      </c>
      <c r="Y241" s="114" t="str">
        <f>IFERROR(__xludf.DUMMYFUNCTION("""COMPUTED_VALUE"""),"")</f>
        <v/>
      </c>
    </row>
    <row r="242">
      <c r="A242" s="109">
        <f>IFERROR(__xludf.DUMMYFUNCTION("""COMPUTED_VALUE"""),46120.47689122685)</f>
        <v>46120.47689</v>
      </c>
      <c r="B242" s="81" t="str">
        <f>IFERROR(__xludf.DUMMYFUNCTION("""COMPUTED_VALUE"""),"Oluwatimilehin Shodipe")</f>
        <v>Oluwatimilehin Shodipe</v>
      </c>
      <c r="C242" s="74" t="b">
        <f>IFERROR(__xludf.DUMMYFUNCTION("""COMPUTED_VALUE"""),FALSE)</f>
        <v>0</v>
      </c>
      <c r="D242" s="137">
        <f>IFERROR(__xludf.DUMMYFUNCTION("""COMPUTED_VALUE"""),0.4305555555547471)</f>
        <v>0.4305555556</v>
      </c>
      <c r="E242" s="82">
        <f>IFERROR(__xludf.DUMMYFUNCTION("""COMPUTED_VALUE"""),0.04861111110949423)</f>
        <v>0.04861111111</v>
      </c>
      <c r="F242" s="137">
        <f>IFERROR(__xludf.DUMMYFUNCTION("""COMPUTED_VALUE"""),0.47916666666424135)</f>
        <v>0.4791666667</v>
      </c>
      <c r="G242" s="82">
        <f>IFERROR(__xludf.DUMMYFUNCTION("""COMPUTED_VALUE"""),0.04861111110949423)</f>
        <v>0.04861111111</v>
      </c>
      <c r="H242" s="74">
        <f>IFERROR(__xludf.DUMMYFUNCTION("""COMPUTED_VALUE"""),84.0)</f>
        <v>84</v>
      </c>
      <c r="I242" s="84">
        <f>IFERROR(__xludf.DUMMYFUNCTION("""COMPUTED_VALUE"""),72.00000000239483)</f>
        <v>72</v>
      </c>
      <c r="J242" s="74" t="str">
        <f>IFERROR(__xludf.DUMMYFUNCTION("""COMPUTED_VALUE"""),"Breakfast/Lunch")</f>
        <v>Breakfast/Lunch</v>
      </c>
      <c r="K242" s="113">
        <f>IFERROR(__xludf.DUMMYFUNCTION("""COMPUTED_VALUE"""),46120.0)</f>
        <v>46120</v>
      </c>
      <c r="L242" s="74" t="str">
        <f>IFERROR(__xludf.DUMMYFUNCTION("""COMPUTED_VALUE"""),"Wednesday")</f>
        <v>Wednesday</v>
      </c>
      <c r="M242" s="74" t="str">
        <f>IFERROR(__xludf.DUMMYFUNCTION("""COMPUTED_VALUE"""),"BF")</f>
        <v>BF</v>
      </c>
      <c r="N242" s="114">
        <f>IFERROR(__xludf.DUMMYFUNCTION("""COMPUTED_VALUE"""),1.907529636736538)</f>
        <v>1.907529637</v>
      </c>
      <c r="O242" s="74" t="str">
        <f>IFERROR(__xludf.DUMMYFUNCTION("""COMPUTED_VALUE"""),"")</f>
        <v/>
      </c>
      <c r="P242" s="74" t="str">
        <f>IFERROR(__xludf.DUMMYFUNCTION("""COMPUTED_VALUE"""),"")</f>
        <v/>
      </c>
      <c r="Q242" s="82" t="str">
        <f>IFERROR(__xludf.DUMMYFUNCTION("""COMPUTED_VALUE"""),"")</f>
        <v/>
      </c>
      <c r="R242" s="82" t="str">
        <f>IFERROR(__xludf.DUMMYFUNCTION("""COMPUTED_VALUE"""),"")</f>
        <v/>
      </c>
      <c r="S242" s="84" t="str">
        <f>IFERROR(__xludf.DUMMYFUNCTION("""COMPUTED_VALUE"""),"")</f>
        <v/>
      </c>
      <c r="T242" s="84" t="str">
        <f>IFERROR(__xludf.DUMMYFUNCTION("""COMPUTED_VALUE"""),"")</f>
        <v/>
      </c>
      <c r="U242" s="74" t="str">
        <f>IFERROR(__xludf.DUMMYFUNCTION("""COMPUTED_VALUE"""),"")</f>
        <v/>
      </c>
      <c r="V242" s="82" t="str">
        <f>IFERROR(__xludf.DUMMYFUNCTION("""COMPUTED_VALUE"""),"")</f>
        <v/>
      </c>
      <c r="W242" s="64" t="str">
        <f>IFERROR(__xludf.DUMMYFUNCTION("""COMPUTED_VALUE"""),"")</f>
        <v/>
      </c>
      <c r="X242" s="84" t="str">
        <f>IFERROR(__xludf.DUMMYFUNCTION("""COMPUTED_VALUE"""),"")</f>
        <v/>
      </c>
      <c r="Y242" s="114" t="str">
        <f>IFERROR(__xludf.DUMMYFUNCTION("""COMPUTED_VALUE"""),"")</f>
        <v/>
      </c>
    </row>
    <row r="243">
      <c r="A243" s="109">
        <f>IFERROR(__xludf.DUMMYFUNCTION("""COMPUTED_VALUE"""),46120.50712494213)</f>
        <v>46120.50712</v>
      </c>
      <c r="B243" s="81" t="str">
        <f>IFERROR(__xludf.DUMMYFUNCTION("""COMPUTED_VALUE"""),"Oluwatimilehin Shodipe")</f>
        <v>Oluwatimilehin Shodipe</v>
      </c>
      <c r="C243" s="74" t="b">
        <f>IFERROR(__xludf.DUMMYFUNCTION("""COMPUTED_VALUE"""),FALSE)</f>
        <v>0</v>
      </c>
      <c r="D243" s="137">
        <f>IFERROR(__xludf.DUMMYFUNCTION("""COMPUTED_VALUE"""),0.48402777777664596)</f>
        <v>0.4840277778</v>
      </c>
      <c r="E243" s="82">
        <f>IFERROR(__xludf.DUMMYFUNCTION("""COMPUTED_VALUE"""),0.026388888887595385)</f>
        <v>0.02638888889</v>
      </c>
      <c r="F243" s="137">
        <f>IFERROR(__xludf.DUMMYFUNCTION("""COMPUTED_VALUE"""),0.5104166666642413)</f>
        <v>0.5104166667</v>
      </c>
      <c r="G243" s="82">
        <f>IFERROR(__xludf.DUMMYFUNCTION("""COMPUTED_VALUE"""),0.026388888887595385)</f>
        <v>0.02638888889</v>
      </c>
      <c r="H243" s="74">
        <f>IFERROR(__xludf.DUMMYFUNCTION("""COMPUTED_VALUE"""),22.0)</f>
        <v>22</v>
      </c>
      <c r="I243" s="84">
        <f>IFERROR(__xludf.DUMMYFUNCTION("""COMPUTED_VALUE"""),34.73684210696585)</f>
        <v>34.73684211</v>
      </c>
      <c r="J243" s="74" t="str">
        <f>IFERROR(__xludf.DUMMYFUNCTION("""COMPUTED_VALUE"""),"Lunch")</f>
        <v>Lunch</v>
      </c>
      <c r="K243" s="113">
        <f>IFERROR(__xludf.DUMMYFUNCTION("""COMPUTED_VALUE"""),46120.0)</f>
        <v>46120</v>
      </c>
      <c r="L243" s="74" t="str">
        <f>IFERROR(__xludf.DUMMYFUNCTION("""COMPUTED_VALUE"""),"Wednesday")</f>
        <v>Wednesday</v>
      </c>
      <c r="M243" s="74" t="str">
        <f>IFERROR(__xludf.DUMMYFUNCTION("""COMPUTED_VALUE"""),"MF")</f>
        <v>MF</v>
      </c>
      <c r="N243" s="114">
        <f>IFERROR(__xludf.DUMMYFUNCTION("""COMPUTED_VALUE"""),0.690902411794904)</f>
        <v>0.6909024118</v>
      </c>
      <c r="O243" s="74" t="str">
        <f>IFERROR(__xludf.DUMMYFUNCTION("""COMPUTED_VALUE"""),"")</f>
        <v/>
      </c>
      <c r="P243" s="74" t="str">
        <f>IFERROR(__xludf.DUMMYFUNCTION("""COMPUTED_VALUE"""),"")</f>
        <v/>
      </c>
      <c r="Q243" s="82" t="str">
        <f>IFERROR(__xludf.DUMMYFUNCTION("""COMPUTED_VALUE"""),"")</f>
        <v/>
      </c>
      <c r="R243" s="82" t="str">
        <f>IFERROR(__xludf.DUMMYFUNCTION("""COMPUTED_VALUE"""),"")</f>
        <v/>
      </c>
      <c r="S243" s="84" t="str">
        <f>IFERROR(__xludf.DUMMYFUNCTION("""COMPUTED_VALUE"""),"")</f>
        <v/>
      </c>
      <c r="T243" s="84" t="str">
        <f>IFERROR(__xludf.DUMMYFUNCTION("""COMPUTED_VALUE"""),"")</f>
        <v/>
      </c>
      <c r="U243" s="74" t="str">
        <f>IFERROR(__xludf.DUMMYFUNCTION("""COMPUTED_VALUE"""),"")</f>
        <v/>
      </c>
      <c r="V243" s="82" t="str">
        <f>IFERROR(__xludf.DUMMYFUNCTION("""COMPUTED_VALUE"""),"")</f>
        <v/>
      </c>
      <c r="W243" s="64" t="str">
        <f>IFERROR(__xludf.DUMMYFUNCTION("""COMPUTED_VALUE"""),"")</f>
        <v/>
      </c>
      <c r="X243" s="84" t="str">
        <f>IFERROR(__xludf.DUMMYFUNCTION("""COMPUTED_VALUE"""),"")</f>
        <v/>
      </c>
      <c r="Y243" s="114" t="str">
        <f>IFERROR(__xludf.DUMMYFUNCTION("""COMPUTED_VALUE"""),"")</f>
        <v/>
      </c>
    </row>
    <row r="244">
      <c r="A244" s="109">
        <f>IFERROR(__xludf.DUMMYFUNCTION("""COMPUTED_VALUE"""),46120.61914134259)</f>
        <v>46120.61914</v>
      </c>
      <c r="B244" s="81" t="str">
        <f>IFERROR(__xludf.DUMMYFUNCTION("""COMPUTED_VALUE"""),"Evan Morgan")</f>
        <v>Evan Morgan</v>
      </c>
      <c r="C244" s="74" t="b">
        <f>IFERROR(__xludf.DUMMYFUNCTION("""COMPUTED_VALUE"""),FALSE)</f>
        <v>0</v>
      </c>
      <c r="D244" s="137">
        <f>IFERROR(__xludf.DUMMYFUNCTION("""COMPUTED_VALUE"""),0.5416666666642413)</f>
        <v>0.5416666667</v>
      </c>
      <c r="E244" s="82">
        <f>IFERROR(__xludf.DUMMYFUNCTION("""COMPUTED_VALUE"""),0.08333333333575865)</f>
        <v>0.08333333334</v>
      </c>
      <c r="F244" s="137">
        <f>IFERROR(__xludf.DUMMYFUNCTION("""COMPUTED_VALUE"""),0.625)</f>
        <v>0.625</v>
      </c>
      <c r="G244" s="82">
        <f>IFERROR(__xludf.DUMMYFUNCTION("""COMPUTED_VALUE"""),0.08333333333575865)</f>
        <v>0.08333333334</v>
      </c>
      <c r="H244" s="74">
        <f>IFERROR(__xludf.DUMMYFUNCTION("""COMPUTED_VALUE"""),75.0)</f>
        <v>75</v>
      </c>
      <c r="I244" s="84">
        <f>IFERROR(__xludf.DUMMYFUNCTION("""COMPUTED_VALUE"""),37.499999998908606)</f>
        <v>37.5</v>
      </c>
      <c r="J244" s="74" t="str">
        <f>IFERROR(__xludf.DUMMYFUNCTION("""COMPUTED_VALUE"""),"Lunch")</f>
        <v>Lunch</v>
      </c>
      <c r="K244" s="113">
        <f>IFERROR(__xludf.DUMMYFUNCTION("""COMPUTED_VALUE"""),46120.0)</f>
        <v>46120</v>
      </c>
      <c r="L244" s="74" t="str">
        <f>IFERROR(__xludf.DUMMYFUNCTION("""COMPUTED_VALUE"""),"Wednesday")</f>
        <v>Wednesday</v>
      </c>
      <c r="M244" s="74" t="str">
        <f>IFERROR(__xludf.DUMMYFUNCTION("""COMPUTED_VALUE"""),"MF")</f>
        <v>MF</v>
      </c>
      <c r="N244" s="114">
        <f>IFERROR(__xludf.DUMMYFUNCTION("""COMPUTED_VALUE"""),0.7458605581294132)</f>
        <v>0.7458605581</v>
      </c>
      <c r="O244" s="74" t="str">
        <f>IFERROR(__xludf.DUMMYFUNCTION("""COMPUTED_VALUE"""),"")</f>
        <v/>
      </c>
      <c r="P244" s="74" t="str">
        <f>IFERROR(__xludf.DUMMYFUNCTION("""COMPUTED_VALUE"""),"")</f>
        <v/>
      </c>
      <c r="Q244" s="82" t="str">
        <f>IFERROR(__xludf.DUMMYFUNCTION("""COMPUTED_VALUE"""),"")</f>
        <v/>
      </c>
      <c r="R244" s="82" t="str">
        <f>IFERROR(__xludf.DUMMYFUNCTION("""COMPUTED_VALUE"""),"")</f>
        <v/>
      </c>
      <c r="S244" s="84" t="str">
        <f>IFERROR(__xludf.DUMMYFUNCTION("""COMPUTED_VALUE"""),"")</f>
        <v/>
      </c>
      <c r="T244" s="84" t="str">
        <f>IFERROR(__xludf.DUMMYFUNCTION("""COMPUTED_VALUE"""),"")</f>
        <v/>
      </c>
      <c r="U244" s="74" t="str">
        <f>IFERROR(__xludf.DUMMYFUNCTION("""COMPUTED_VALUE"""),"")</f>
        <v/>
      </c>
      <c r="V244" s="82" t="str">
        <f>IFERROR(__xludf.DUMMYFUNCTION("""COMPUTED_VALUE"""),"")</f>
        <v/>
      </c>
      <c r="W244" s="64" t="str">
        <f>IFERROR(__xludf.DUMMYFUNCTION("""COMPUTED_VALUE"""),"")</f>
        <v/>
      </c>
      <c r="X244" s="84" t="str">
        <f>IFERROR(__xludf.DUMMYFUNCTION("""COMPUTED_VALUE"""),"")</f>
        <v/>
      </c>
      <c r="Y244" s="114" t="str">
        <f>IFERROR(__xludf.DUMMYFUNCTION("""COMPUTED_VALUE"""),"")</f>
        <v/>
      </c>
    </row>
    <row r="245">
      <c r="A245" s="109">
        <f>IFERROR(__xludf.DUMMYFUNCTION("""COMPUTED_VALUE"""),46120.7420675926)</f>
        <v>46120.74207</v>
      </c>
      <c r="B245" s="81" t="str">
        <f>IFERROR(__xludf.DUMMYFUNCTION("""COMPUTED_VALUE"""),"Evan Morgan")</f>
        <v>Evan Morgan</v>
      </c>
      <c r="C245" s="74" t="b">
        <f>IFERROR(__xludf.DUMMYFUNCTION("""COMPUTED_VALUE"""),FALSE)</f>
        <v>0</v>
      </c>
      <c r="D245" s="137">
        <f>IFERROR(__xludf.DUMMYFUNCTION("""COMPUTED_VALUE"""),0.6666666666642413)</f>
        <v>0.6666666667</v>
      </c>
      <c r="E245" s="82">
        <f>IFERROR(__xludf.DUMMYFUNCTION("""COMPUTED_VALUE"""),0.06944444444525288)</f>
        <v>0.06944444445</v>
      </c>
      <c r="F245" s="137">
        <f>IFERROR(__xludf.DUMMYFUNCTION("""COMPUTED_VALUE"""),0.7361111111094942)</f>
        <v>0.7361111111</v>
      </c>
      <c r="G245" s="82">
        <f>IFERROR(__xludf.DUMMYFUNCTION("""COMPUTED_VALUE"""),0.06944444444525288)</f>
        <v>0.06944444445</v>
      </c>
      <c r="H245" s="74">
        <f>IFERROR(__xludf.DUMMYFUNCTION("""COMPUTED_VALUE"""),115.0)</f>
        <v>115</v>
      </c>
      <c r="I245" s="84">
        <f>IFERROR(__xludf.DUMMYFUNCTION("""COMPUTED_VALUE"""),68.99999999919673)</f>
        <v>69</v>
      </c>
      <c r="J245" s="74" t="str">
        <f>IFERROR(__xludf.DUMMYFUNCTION("""COMPUTED_VALUE"""),"Dinner")</f>
        <v>Dinner</v>
      </c>
      <c r="K245" s="113">
        <f>IFERROR(__xludf.DUMMYFUNCTION("""COMPUTED_VALUE"""),46120.0)</f>
        <v>46120</v>
      </c>
      <c r="L245" s="74" t="str">
        <f>IFERROR(__xludf.DUMMYFUNCTION("""COMPUTED_VALUE"""),"Wednesday")</f>
        <v>Wednesday</v>
      </c>
      <c r="M245" s="74" t="str">
        <f>IFERROR(__xludf.DUMMYFUNCTION("""COMPUTED_VALUE"""),"MF")</f>
        <v>MF</v>
      </c>
      <c r="N245" s="114">
        <f>IFERROR(__xludf.DUMMYFUNCTION("""COMPUTED_VALUE"""),1.4877204876146384)</f>
        <v>1.487720488</v>
      </c>
      <c r="O245" s="74" t="str">
        <f>IFERROR(__xludf.DUMMYFUNCTION("""COMPUTED_VALUE"""),"")</f>
        <v/>
      </c>
      <c r="P245" s="74" t="str">
        <f>IFERROR(__xludf.DUMMYFUNCTION("""COMPUTED_VALUE"""),"")</f>
        <v/>
      </c>
      <c r="Q245" s="82" t="str">
        <f>IFERROR(__xludf.DUMMYFUNCTION("""COMPUTED_VALUE"""),"")</f>
        <v/>
      </c>
      <c r="R245" s="82" t="str">
        <f>IFERROR(__xludf.DUMMYFUNCTION("""COMPUTED_VALUE"""),"")</f>
        <v/>
      </c>
      <c r="S245" s="84" t="str">
        <f>IFERROR(__xludf.DUMMYFUNCTION("""COMPUTED_VALUE"""),"")</f>
        <v/>
      </c>
      <c r="T245" s="84" t="str">
        <f>IFERROR(__xludf.DUMMYFUNCTION("""COMPUTED_VALUE"""),"")</f>
        <v/>
      </c>
      <c r="U245" s="74" t="str">
        <f>IFERROR(__xludf.DUMMYFUNCTION("""COMPUTED_VALUE"""),"")</f>
        <v/>
      </c>
      <c r="V245" s="82" t="str">
        <f>IFERROR(__xludf.DUMMYFUNCTION("""COMPUTED_VALUE"""),"")</f>
        <v/>
      </c>
      <c r="W245" s="64" t="str">
        <f>IFERROR(__xludf.DUMMYFUNCTION("""COMPUTED_VALUE"""),"")</f>
        <v/>
      </c>
      <c r="X245" s="84" t="str">
        <f>IFERROR(__xludf.DUMMYFUNCTION("""COMPUTED_VALUE"""),"")</f>
        <v/>
      </c>
      <c r="Y245" s="114" t="str">
        <f>IFERROR(__xludf.DUMMYFUNCTION("""COMPUTED_VALUE"""),"")</f>
        <v/>
      </c>
    </row>
    <row r="246">
      <c r="A246" s="109">
        <f>IFERROR(__xludf.DUMMYFUNCTION("""COMPUTED_VALUE"""),46120.84776052083)</f>
        <v>46120.84776</v>
      </c>
      <c r="B246" s="81" t="str">
        <f>IFERROR(__xludf.DUMMYFUNCTION("""COMPUTED_VALUE"""),"Maureen Surgot")</f>
        <v>Maureen Surgot</v>
      </c>
      <c r="C246" s="74" t="b">
        <f>IFERROR(__xludf.DUMMYFUNCTION("""COMPUTED_VALUE"""),FALSE)</f>
        <v>0</v>
      </c>
      <c r="D246" s="137">
        <f>IFERROR(__xludf.DUMMYFUNCTION("""COMPUTED_VALUE"""),0.6875)</f>
        <v>0.6875</v>
      </c>
      <c r="E246" s="82">
        <f>IFERROR(__xludf.DUMMYFUNCTION("""COMPUTED_VALUE"""),0.16666666666424135)</f>
        <v>0.1666666667</v>
      </c>
      <c r="F246" s="137">
        <f>IFERROR(__xludf.DUMMYFUNCTION("""COMPUTED_VALUE"""),0.8541666666642413)</f>
        <v>0.8541666667</v>
      </c>
      <c r="G246" s="82">
        <f>IFERROR(__xludf.DUMMYFUNCTION("""COMPUTED_VALUE"""),0.16666666666424135)</f>
        <v>0.1666666667</v>
      </c>
      <c r="H246" s="74">
        <f>IFERROR(__xludf.DUMMYFUNCTION("""COMPUTED_VALUE"""),135.0)</f>
        <v>135</v>
      </c>
      <c r="I246" s="84">
        <f>IFERROR(__xludf.DUMMYFUNCTION("""COMPUTED_VALUE"""),33.75000000049113)</f>
        <v>33.75</v>
      </c>
      <c r="J246" s="74" t="str">
        <f>IFERROR(__xludf.DUMMYFUNCTION("""COMPUTED_VALUE"""),"Dinner")</f>
        <v>Dinner</v>
      </c>
      <c r="K246" s="113">
        <f>IFERROR(__xludf.DUMMYFUNCTION("""COMPUTED_VALUE"""),46120.0)</f>
        <v>46120</v>
      </c>
      <c r="L246" s="74" t="str">
        <f>IFERROR(__xludf.DUMMYFUNCTION("""COMPUTED_VALUE"""),"Wednesday")</f>
        <v>Wednesday</v>
      </c>
      <c r="M246" s="74" t="str">
        <f>IFERROR(__xludf.DUMMYFUNCTION("""COMPUTED_VALUE"""),"BF")</f>
        <v>BF</v>
      </c>
      <c r="N246" s="114">
        <f>IFERROR(__xludf.DUMMYFUNCTION("""COMPUTED_VALUE"""),0.7595907928388747)</f>
        <v>0.7595907928</v>
      </c>
      <c r="O246" s="74">
        <f>IFERROR(__xludf.DUMMYFUNCTION("""COMPUTED_VALUE"""),212.0)</f>
        <v>212</v>
      </c>
      <c r="P246" s="74">
        <f>IFERROR(__xludf.DUMMYFUNCTION("""COMPUTED_VALUE"""),417.0)</f>
        <v>417</v>
      </c>
      <c r="Q246" s="82">
        <f>IFERROR(__xludf.DUMMYFUNCTION("""COMPUTED_VALUE"""),0.17916666666860692)</f>
        <v>0.1791666667</v>
      </c>
      <c r="R246" s="82">
        <f>IFERROR(__xludf.DUMMYFUNCTION("""COMPUTED_VALUE"""),0.32638888889050577)</f>
        <v>0.3263888889</v>
      </c>
      <c r="S246" s="84">
        <f>IFERROR(__xludf.DUMMYFUNCTION("""COMPUTED_VALUE"""),47.07894736835706)</f>
        <v>47.07894737</v>
      </c>
      <c r="T246" s="84">
        <f>IFERROR(__xludf.DUMMYFUNCTION("""COMPUTED_VALUE"""),59.99999999970142)</f>
        <v>60</v>
      </c>
      <c r="U246" s="74">
        <f>IFERROR(__xludf.DUMMYFUNCTION("""COMPUTED_VALUE"""),629.0)</f>
        <v>629</v>
      </c>
      <c r="V246" s="82">
        <f>IFERROR(__xludf.DUMMYFUNCTION("""COMPUTED_VALUE"""),0.5055555555591127)</f>
        <v>0.5055555556</v>
      </c>
      <c r="W246" s="64">
        <f>IFERROR(__xludf.DUMMYFUNCTION("""COMPUTED_VALUE"""),51.840659340294586)</f>
        <v>51.84065934</v>
      </c>
      <c r="X246" s="84">
        <f>IFERROR(__xludf.DUMMYFUNCTION("""COMPUTED_VALUE"""),53.53947368402925)</f>
        <v>53.53947368</v>
      </c>
      <c r="Y246" s="114">
        <f>IFERROR(__xludf.DUMMYFUNCTION("""COMPUTED_VALUE"""),0.9646858196589189)</f>
        <v>0.9646858197</v>
      </c>
    </row>
    <row r="247">
      <c r="A247" s="109">
        <f>IFERROR(__xludf.DUMMYFUNCTION("""COMPUTED_VALUE"""),46121.377390208334)</f>
        <v>46121.37739</v>
      </c>
      <c r="B247" s="81" t="str">
        <f>IFERROR(__xludf.DUMMYFUNCTION("""COMPUTED_VALUE"""),"Evan Morgan")</f>
        <v>Evan Morgan</v>
      </c>
      <c r="C247" s="74" t="b">
        <f>IFERROR(__xludf.DUMMYFUNCTION("""COMPUTED_VALUE"""),FALSE)</f>
        <v>0</v>
      </c>
      <c r="D247" s="137">
        <f>IFERROR(__xludf.DUMMYFUNCTION("""COMPUTED_VALUE"""),0.29166666666424135)</f>
        <v>0.2916666667</v>
      </c>
      <c r="E247" s="82">
        <f>IFERROR(__xludf.DUMMYFUNCTION("""COMPUTED_VALUE"""),0.0729166666715173)</f>
        <v>0.07291666667</v>
      </c>
      <c r="F247" s="137">
        <f>IFERROR(__xludf.DUMMYFUNCTION("""COMPUTED_VALUE"""),0.36458333333575865)</f>
        <v>0.3645833333</v>
      </c>
      <c r="G247" s="82">
        <f>IFERROR(__xludf.DUMMYFUNCTION("""COMPUTED_VALUE"""),0.0729166666715173)</f>
        <v>0.07291666667</v>
      </c>
      <c r="H247" s="74">
        <f>IFERROR(__xludf.DUMMYFUNCTION("""COMPUTED_VALUE"""),15.0)</f>
        <v>15</v>
      </c>
      <c r="I247" s="84">
        <f>IFERROR(__xludf.DUMMYFUNCTION("""COMPUTED_VALUE"""),8.571428570858373)</f>
        <v>8.571428571</v>
      </c>
      <c r="J247" s="74" t="str">
        <f>IFERROR(__xludf.DUMMYFUNCTION("""COMPUTED_VALUE"""),"Breakfast")</f>
        <v>Breakfast</v>
      </c>
      <c r="K247" s="113">
        <f>IFERROR(__xludf.DUMMYFUNCTION("""COMPUTED_VALUE"""),46121.0)</f>
        <v>46121</v>
      </c>
      <c r="L247" s="74" t="str">
        <f>IFERROR(__xludf.DUMMYFUNCTION("""COMPUTED_VALUE"""),"Thursday")</f>
        <v>Thursday</v>
      </c>
      <c r="M247" s="74" t="str">
        <f>IFERROR(__xludf.DUMMYFUNCTION("""COMPUTED_VALUE"""),"BF")</f>
        <v>BF</v>
      </c>
      <c r="N247" s="114">
        <f>IFERROR(__xludf.DUMMYFUNCTION("""COMPUTED_VALUE"""),0.3023362345257801)</f>
        <v>0.3023362345</v>
      </c>
      <c r="O247" s="74" t="str">
        <f>IFERROR(__xludf.DUMMYFUNCTION("""COMPUTED_VALUE"""),"")</f>
        <v/>
      </c>
      <c r="P247" s="74" t="str">
        <f>IFERROR(__xludf.DUMMYFUNCTION("""COMPUTED_VALUE"""),"")</f>
        <v/>
      </c>
      <c r="Q247" s="82" t="str">
        <f>IFERROR(__xludf.DUMMYFUNCTION("""COMPUTED_VALUE"""),"")</f>
        <v/>
      </c>
      <c r="R247" s="82" t="str">
        <f>IFERROR(__xludf.DUMMYFUNCTION("""COMPUTED_VALUE"""),"")</f>
        <v/>
      </c>
      <c r="S247" s="84" t="str">
        <f>IFERROR(__xludf.DUMMYFUNCTION("""COMPUTED_VALUE"""),"")</f>
        <v/>
      </c>
      <c r="T247" s="84" t="str">
        <f>IFERROR(__xludf.DUMMYFUNCTION("""COMPUTED_VALUE"""),"")</f>
        <v/>
      </c>
      <c r="U247" s="74" t="str">
        <f>IFERROR(__xludf.DUMMYFUNCTION("""COMPUTED_VALUE"""),"")</f>
        <v/>
      </c>
      <c r="V247" s="82" t="str">
        <f>IFERROR(__xludf.DUMMYFUNCTION("""COMPUTED_VALUE"""),"")</f>
        <v/>
      </c>
      <c r="W247" s="64" t="str">
        <f>IFERROR(__xludf.DUMMYFUNCTION("""COMPUTED_VALUE"""),"")</f>
        <v/>
      </c>
      <c r="X247" s="84" t="str">
        <f>IFERROR(__xludf.DUMMYFUNCTION("""COMPUTED_VALUE"""),"")</f>
        <v/>
      </c>
      <c r="Y247" s="114" t="str">
        <f>IFERROR(__xludf.DUMMYFUNCTION("""COMPUTED_VALUE"""),"")</f>
        <v/>
      </c>
    </row>
    <row r="248">
      <c r="A248" s="109">
        <f>IFERROR(__xludf.DUMMYFUNCTION("""COMPUTED_VALUE"""),46121.45251400463)</f>
        <v>46121.45251</v>
      </c>
      <c r="B248" s="81" t="str">
        <f>IFERROR(__xludf.DUMMYFUNCTION("""COMPUTED_VALUE"""),"Sophia Kluck")</f>
        <v>Sophia Kluck</v>
      </c>
      <c r="C248" s="74" t="b">
        <f>IFERROR(__xludf.DUMMYFUNCTION("""COMPUTED_VALUE"""),FALSE)</f>
        <v>0</v>
      </c>
      <c r="D248" s="137">
        <f>IFERROR(__xludf.DUMMYFUNCTION("""COMPUTED_VALUE"""),0.35972222222335404)</f>
        <v>0.3597222222</v>
      </c>
      <c r="E248" s="82">
        <f>IFERROR(__xludf.DUMMYFUNCTION("""COMPUTED_VALUE"""),0.08958333333430346)</f>
        <v>0.08958333333</v>
      </c>
      <c r="F248" s="137">
        <f>IFERROR(__xludf.DUMMYFUNCTION("""COMPUTED_VALUE"""),0.4493055555576575)</f>
        <v>0.4493055556</v>
      </c>
      <c r="G248" s="82">
        <f>IFERROR(__xludf.DUMMYFUNCTION("""COMPUTED_VALUE"""),0.1131944444423425)</f>
        <v>0.1131944444</v>
      </c>
      <c r="H248" s="74">
        <f>IFERROR(__xludf.DUMMYFUNCTION("""COMPUTED_VALUE"""),54.0)</f>
        <v>54</v>
      </c>
      <c r="I248" s="84">
        <f>IFERROR(__xludf.DUMMYFUNCTION("""COMPUTED_VALUE"""),26.50306748515472)</f>
        <v>26.50306749</v>
      </c>
      <c r="J248" s="74" t="str">
        <f>IFERROR(__xludf.DUMMYFUNCTION("""COMPUTED_VALUE"""),"Breakfast")</f>
        <v>Breakfast</v>
      </c>
      <c r="K248" s="113">
        <f>IFERROR(__xludf.DUMMYFUNCTION("""COMPUTED_VALUE"""),46121.0)</f>
        <v>46121</v>
      </c>
      <c r="L248" s="74" t="str">
        <f>IFERROR(__xludf.DUMMYFUNCTION("""COMPUTED_VALUE"""),"Thursday")</f>
        <v>Thursday</v>
      </c>
      <c r="M248" s="74" t="str">
        <f>IFERROR(__xludf.DUMMYFUNCTION("""COMPUTED_VALUE"""),"BF")</f>
        <v>BF</v>
      </c>
      <c r="N248" s="114">
        <f>IFERROR(__xludf.DUMMYFUNCTION("""COMPUTED_VALUE"""),0.9348310565273579)</f>
        <v>0.9348310565</v>
      </c>
      <c r="O248" s="74" t="str">
        <f>IFERROR(__xludf.DUMMYFUNCTION("""COMPUTED_VALUE"""),"")</f>
        <v/>
      </c>
      <c r="P248" s="74" t="str">
        <f>IFERROR(__xludf.DUMMYFUNCTION("""COMPUTED_VALUE"""),"")</f>
        <v/>
      </c>
      <c r="Q248" s="82" t="str">
        <f>IFERROR(__xludf.DUMMYFUNCTION("""COMPUTED_VALUE"""),"")</f>
        <v/>
      </c>
      <c r="R248" s="82" t="str">
        <f>IFERROR(__xludf.DUMMYFUNCTION("""COMPUTED_VALUE"""),"")</f>
        <v/>
      </c>
      <c r="S248" s="84" t="str">
        <f>IFERROR(__xludf.DUMMYFUNCTION("""COMPUTED_VALUE"""),"")</f>
        <v/>
      </c>
      <c r="T248" s="84" t="str">
        <f>IFERROR(__xludf.DUMMYFUNCTION("""COMPUTED_VALUE"""),"")</f>
        <v/>
      </c>
      <c r="U248" s="74" t="str">
        <f>IFERROR(__xludf.DUMMYFUNCTION("""COMPUTED_VALUE"""),"")</f>
        <v/>
      </c>
      <c r="V248" s="82" t="str">
        <f>IFERROR(__xludf.DUMMYFUNCTION("""COMPUTED_VALUE"""),"")</f>
        <v/>
      </c>
      <c r="W248" s="64" t="str">
        <f>IFERROR(__xludf.DUMMYFUNCTION("""COMPUTED_VALUE"""),"")</f>
        <v/>
      </c>
      <c r="X248" s="84" t="str">
        <f>IFERROR(__xludf.DUMMYFUNCTION("""COMPUTED_VALUE"""),"")</f>
        <v/>
      </c>
      <c r="Y248" s="114" t="str">
        <f>IFERROR(__xludf.DUMMYFUNCTION("""COMPUTED_VALUE"""),"")</f>
        <v/>
      </c>
    </row>
    <row r="249">
      <c r="A249" s="109">
        <f>IFERROR(__xludf.DUMMYFUNCTION("""COMPUTED_VALUE"""),46121.47539706019)</f>
        <v>46121.4754</v>
      </c>
      <c r="B249" s="81" t="str">
        <f>IFERROR(__xludf.DUMMYFUNCTION("""COMPUTED_VALUE"""),"Sophia Kluck")</f>
        <v>Sophia Kluck</v>
      </c>
      <c r="C249" s="74" t="b">
        <f>IFERROR(__xludf.DUMMYFUNCTION("""COMPUTED_VALUE"""),TRUE)</f>
        <v>1</v>
      </c>
      <c r="D249" s="137">
        <f>IFERROR(__xludf.DUMMYFUNCTION("""COMPUTED_VALUE"""),0.45138888889050577)</f>
        <v>0.4513888889</v>
      </c>
      <c r="E249" s="82">
        <f>IFERROR(__xludf.DUMMYFUNCTION("""COMPUTED_VALUE"""),0.02361111110803904)</f>
        <v>0.02361111111</v>
      </c>
      <c r="F249" s="137">
        <f>IFERROR(__xludf.DUMMYFUNCTION("""COMPUTED_VALUE"""),0.4749999999985448)</f>
        <v>0.475</v>
      </c>
      <c r="G249" s="82" t="str">
        <f>IFERROR(__xludf.DUMMYFUNCTION("""COMPUTED_VALUE"""),"")</f>
        <v/>
      </c>
      <c r="H249" s="74">
        <f>IFERROR(__xludf.DUMMYFUNCTION("""COMPUTED_VALUE"""),18.0)</f>
        <v>18</v>
      </c>
      <c r="I249" s="84" t="str">
        <f>IFERROR(__xludf.DUMMYFUNCTION("""COMPUTED_VALUE"""),"")</f>
        <v/>
      </c>
      <c r="J249" s="74" t="str">
        <f>IFERROR(__xludf.DUMMYFUNCTION("""COMPUTED_VALUE"""),"Breakfast/Lunch")</f>
        <v>Breakfast/Lunch</v>
      </c>
      <c r="K249" s="113">
        <f>IFERROR(__xludf.DUMMYFUNCTION("""COMPUTED_VALUE"""),46121.0)</f>
        <v>46121</v>
      </c>
      <c r="L249" s="74" t="str">
        <f>IFERROR(__xludf.DUMMYFUNCTION("""COMPUTED_VALUE"""),"Thursday")</f>
        <v>Thursday</v>
      </c>
      <c r="M249" s="74" t="str">
        <f>IFERROR(__xludf.DUMMYFUNCTION("""COMPUTED_VALUE"""),"BF")</f>
        <v>BF</v>
      </c>
      <c r="N249" s="114" t="str">
        <f>IFERROR(__xludf.DUMMYFUNCTION("""COMPUTED_VALUE"""),"")</f>
        <v/>
      </c>
      <c r="O249" s="74" t="str">
        <f>IFERROR(__xludf.DUMMYFUNCTION("""COMPUTED_VALUE"""),"")</f>
        <v/>
      </c>
      <c r="P249" s="74" t="str">
        <f>IFERROR(__xludf.DUMMYFUNCTION("""COMPUTED_VALUE"""),"")</f>
        <v/>
      </c>
      <c r="Q249" s="82" t="str">
        <f>IFERROR(__xludf.DUMMYFUNCTION("""COMPUTED_VALUE"""),"")</f>
        <v/>
      </c>
      <c r="R249" s="82" t="str">
        <f>IFERROR(__xludf.DUMMYFUNCTION("""COMPUTED_VALUE"""),"")</f>
        <v/>
      </c>
      <c r="S249" s="84" t="str">
        <f>IFERROR(__xludf.DUMMYFUNCTION("""COMPUTED_VALUE"""),"")</f>
        <v/>
      </c>
      <c r="T249" s="84" t="str">
        <f>IFERROR(__xludf.DUMMYFUNCTION("""COMPUTED_VALUE"""),"")</f>
        <v/>
      </c>
      <c r="U249" s="74" t="str">
        <f>IFERROR(__xludf.DUMMYFUNCTION("""COMPUTED_VALUE"""),"")</f>
        <v/>
      </c>
      <c r="V249" s="82" t="str">
        <f>IFERROR(__xludf.DUMMYFUNCTION("""COMPUTED_VALUE"""),"")</f>
        <v/>
      </c>
      <c r="W249" s="64" t="str">
        <f>IFERROR(__xludf.DUMMYFUNCTION("""COMPUTED_VALUE"""),"")</f>
        <v/>
      </c>
      <c r="X249" s="84" t="str">
        <f>IFERROR(__xludf.DUMMYFUNCTION("""COMPUTED_VALUE"""),"")</f>
        <v/>
      </c>
      <c r="Y249" s="114" t="str">
        <f>IFERROR(__xludf.DUMMYFUNCTION("""COMPUTED_VALUE"""),"")</f>
        <v/>
      </c>
    </row>
    <row r="250">
      <c r="A250" s="109">
        <f>IFERROR(__xludf.DUMMYFUNCTION("""COMPUTED_VALUE"""),46121.527727719906)</f>
        <v>46121.52773</v>
      </c>
      <c r="B250" s="81" t="str">
        <f>IFERROR(__xludf.DUMMYFUNCTION("""COMPUTED_VALUE"""),"Emmett Khan")</f>
        <v>Emmett Khan</v>
      </c>
      <c r="C250" s="74" t="b">
        <f>IFERROR(__xludf.DUMMYFUNCTION("""COMPUTED_VALUE"""),FALSE)</f>
        <v>0</v>
      </c>
      <c r="D250" s="137">
        <f>IFERROR(__xludf.DUMMYFUNCTION("""COMPUTED_VALUE"""),0.47916666666424135)</f>
        <v>0.4791666667</v>
      </c>
      <c r="E250" s="82">
        <f>IFERROR(__xludf.DUMMYFUNCTION("""COMPUTED_VALUE"""),0.05208333333575865)</f>
        <v>0.05208333334</v>
      </c>
      <c r="F250" s="137">
        <f>IFERROR(__xludf.DUMMYFUNCTION("""COMPUTED_VALUE"""),0.53125)</f>
        <v>0.53125</v>
      </c>
      <c r="G250" s="82">
        <f>IFERROR(__xludf.DUMMYFUNCTION("""COMPUTED_VALUE"""),0.05208333333575865)</f>
        <v>0.05208333334</v>
      </c>
      <c r="H250" s="74">
        <f>IFERROR(__xludf.DUMMYFUNCTION("""COMPUTED_VALUE"""),61.0)</f>
        <v>61</v>
      </c>
      <c r="I250" s="84">
        <f>IFERROR(__xludf.DUMMYFUNCTION("""COMPUTED_VALUE"""),48.799999997727575)</f>
        <v>48.8</v>
      </c>
      <c r="J250" s="74" t="str">
        <f>IFERROR(__xludf.DUMMYFUNCTION("""COMPUTED_VALUE"""),"Lunch")</f>
        <v>Lunch</v>
      </c>
      <c r="K250" s="113">
        <f>IFERROR(__xludf.DUMMYFUNCTION("""COMPUTED_VALUE"""),46121.0)</f>
        <v>46121</v>
      </c>
      <c r="L250" s="74" t="str">
        <f>IFERROR(__xludf.DUMMYFUNCTION("""COMPUTED_VALUE"""),"Thursday")</f>
        <v>Thursday</v>
      </c>
      <c r="M250" s="74" t="str">
        <f>IFERROR(__xludf.DUMMYFUNCTION("""COMPUTED_VALUE"""),"MF")</f>
        <v>MF</v>
      </c>
      <c r="N250" s="114">
        <f>IFERROR(__xludf.DUMMYFUNCTION("""COMPUTED_VALUE"""),0.9706132062954606)</f>
        <v>0.9706132063</v>
      </c>
      <c r="O250" s="74" t="str">
        <f>IFERROR(__xludf.DUMMYFUNCTION("""COMPUTED_VALUE"""),"")</f>
        <v/>
      </c>
      <c r="P250" s="74" t="str">
        <f>IFERROR(__xludf.DUMMYFUNCTION("""COMPUTED_VALUE"""),"")</f>
        <v/>
      </c>
      <c r="Q250" s="82" t="str">
        <f>IFERROR(__xludf.DUMMYFUNCTION("""COMPUTED_VALUE"""),"")</f>
        <v/>
      </c>
      <c r="R250" s="82" t="str">
        <f>IFERROR(__xludf.DUMMYFUNCTION("""COMPUTED_VALUE"""),"")</f>
        <v/>
      </c>
      <c r="S250" s="84" t="str">
        <f>IFERROR(__xludf.DUMMYFUNCTION("""COMPUTED_VALUE"""),"")</f>
        <v/>
      </c>
      <c r="T250" s="84" t="str">
        <f>IFERROR(__xludf.DUMMYFUNCTION("""COMPUTED_VALUE"""),"")</f>
        <v/>
      </c>
      <c r="U250" s="74" t="str">
        <f>IFERROR(__xludf.DUMMYFUNCTION("""COMPUTED_VALUE"""),"")</f>
        <v/>
      </c>
      <c r="V250" s="82" t="str">
        <f>IFERROR(__xludf.DUMMYFUNCTION("""COMPUTED_VALUE"""),"")</f>
        <v/>
      </c>
      <c r="W250" s="64" t="str">
        <f>IFERROR(__xludf.DUMMYFUNCTION("""COMPUTED_VALUE"""),"")</f>
        <v/>
      </c>
      <c r="X250" s="84" t="str">
        <f>IFERROR(__xludf.DUMMYFUNCTION("""COMPUTED_VALUE"""),"")</f>
        <v/>
      </c>
      <c r="Y250" s="114" t="str">
        <f>IFERROR(__xludf.DUMMYFUNCTION("""COMPUTED_VALUE"""),"")</f>
        <v/>
      </c>
    </row>
    <row r="251">
      <c r="A251" s="109">
        <f>IFERROR(__xludf.DUMMYFUNCTION("""COMPUTED_VALUE"""),46121.56785319444)</f>
        <v>46121.56785</v>
      </c>
      <c r="B251" s="81" t="str">
        <f>IFERROR(__xludf.DUMMYFUNCTION("""COMPUTED_VALUE"""),"Kyra Turner")</f>
        <v>Kyra Turner</v>
      </c>
      <c r="C251" s="74" t="b">
        <f>IFERROR(__xludf.DUMMYFUNCTION("""COMPUTED_VALUE"""),FALSE)</f>
        <v>0</v>
      </c>
      <c r="D251" s="137">
        <f>IFERROR(__xludf.DUMMYFUNCTION("""COMPUTED_VALUE"""),0.5020833333328483)</f>
        <v>0.5020833333</v>
      </c>
      <c r="E251" s="82">
        <f>IFERROR(__xludf.DUMMYFUNCTION("""COMPUTED_VALUE"""),0.06180555556056788)</f>
        <v>0.06180555556</v>
      </c>
      <c r="F251" s="137">
        <f>IFERROR(__xludf.DUMMYFUNCTION("""COMPUTED_VALUE"""),0.5638888888934162)</f>
        <v>0.5638888889</v>
      </c>
      <c r="G251" s="82">
        <f>IFERROR(__xludf.DUMMYFUNCTION("""COMPUTED_VALUE"""),0.13750000000436557)</f>
        <v>0.1375</v>
      </c>
      <c r="H251" s="74">
        <f>IFERROR(__xludf.DUMMYFUNCTION("""COMPUTED_VALUE"""),94.0)</f>
        <v>94</v>
      </c>
      <c r="I251" s="84">
        <f>IFERROR(__xludf.DUMMYFUNCTION("""COMPUTED_VALUE"""),46.06060605914365)</f>
        <v>46.06060606</v>
      </c>
      <c r="J251" s="74" t="str">
        <f>IFERROR(__xludf.DUMMYFUNCTION("""COMPUTED_VALUE"""),"Lunch")</f>
        <v>Lunch</v>
      </c>
      <c r="K251" s="113">
        <f>IFERROR(__xludf.DUMMYFUNCTION("""COMPUTED_VALUE"""),46121.0)</f>
        <v>46121</v>
      </c>
      <c r="L251" s="74" t="str">
        <f>IFERROR(__xludf.DUMMYFUNCTION("""COMPUTED_VALUE"""),"Thursday")</f>
        <v>Thursday</v>
      </c>
      <c r="M251" s="74" t="str">
        <f>IFERROR(__xludf.DUMMYFUNCTION("""COMPUTED_VALUE"""),"BF")</f>
        <v>BF</v>
      </c>
      <c r="N251" s="114">
        <f>IFERROR(__xludf.DUMMYFUNCTION("""COMPUTED_VALUE"""),1.624675522962708)</f>
        <v>1.624675523</v>
      </c>
      <c r="O251" s="74" t="str">
        <f>IFERROR(__xludf.DUMMYFUNCTION("""COMPUTED_VALUE"""),"")</f>
        <v/>
      </c>
      <c r="P251" s="74" t="str">
        <f>IFERROR(__xludf.DUMMYFUNCTION("""COMPUTED_VALUE"""),"")</f>
        <v/>
      </c>
      <c r="Q251" s="82" t="str">
        <f>IFERROR(__xludf.DUMMYFUNCTION("""COMPUTED_VALUE"""),"")</f>
        <v/>
      </c>
      <c r="R251" s="82" t="str">
        <f>IFERROR(__xludf.DUMMYFUNCTION("""COMPUTED_VALUE"""),"")</f>
        <v/>
      </c>
      <c r="S251" s="84" t="str">
        <f>IFERROR(__xludf.DUMMYFUNCTION("""COMPUTED_VALUE"""),"")</f>
        <v/>
      </c>
      <c r="T251" s="84" t="str">
        <f>IFERROR(__xludf.DUMMYFUNCTION("""COMPUTED_VALUE"""),"")</f>
        <v/>
      </c>
      <c r="U251" s="74" t="str">
        <f>IFERROR(__xludf.DUMMYFUNCTION("""COMPUTED_VALUE"""),"")</f>
        <v/>
      </c>
      <c r="V251" s="82" t="str">
        <f>IFERROR(__xludf.DUMMYFUNCTION("""COMPUTED_VALUE"""),"")</f>
        <v/>
      </c>
      <c r="W251" s="64" t="str">
        <f>IFERROR(__xludf.DUMMYFUNCTION("""COMPUTED_VALUE"""),"")</f>
        <v/>
      </c>
      <c r="X251" s="84" t="str">
        <f>IFERROR(__xludf.DUMMYFUNCTION("""COMPUTED_VALUE"""),"")</f>
        <v/>
      </c>
      <c r="Y251" s="114" t="str">
        <f>IFERROR(__xludf.DUMMYFUNCTION("""COMPUTED_VALUE"""),"")</f>
        <v/>
      </c>
    </row>
    <row r="252">
      <c r="A252" s="109">
        <f>IFERROR(__xludf.DUMMYFUNCTION("""COMPUTED_VALUE"""),46121.64300228009)</f>
        <v>46121.643</v>
      </c>
      <c r="B252" s="81" t="str">
        <f>IFERROR(__xludf.DUMMYFUNCTION("""COMPUTED_VALUE"""),"Kyra Turner")</f>
        <v>Kyra Turner</v>
      </c>
      <c r="C252" s="74" t="b">
        <f>IFERROR(__xludf.DUMMYFUNCTION("""COMPUTED_VALUE"""),TRUE)</f>
        <v>1</v>
      </c>
      <c r="D252" s="137">
        <f>IFERROR(__xludf.DUMMYFUNCTION("""COMPUTED_VALUE"""),0.5666666666656965)</f>
        <v>0.5666666667</v>
      </c>
      <c r="E252" s="82">
        <f>IFERROR(__xludf.DUMMYFUNCTION("""COMPUTED_VALUE"""),0.07569444444379769)</f>
        <v>0.07569444444</v>
      </c>
      <c r="F252" s="137">
        <f>IFERROR(__xludf.DUMMYFUNCTION("""COMPUTED_VALUE"""),0.6423611111094942)</f>
        <v>0.6423611111</v>
      </c>
      <c r="G252" s="82" t="str">
        <f>IFERROR(__xludf.DUMMYFUNCTION("""COMPUTED_VALUE"""),"")</f>
        <v/>
      </c>
      <c r="H252" s="74">
        <f>IFERROR(__xludf.DUMMYFUNCTION("""COMPUTED_VALUE"""),58.0)</f>
        <v>58</v>
      </c>
      <c r="I252" s="84" t="str">
        <f>IFERROR(__xludf.DUMMYFUNCTION("""COMPUTED_VALUE"""),"")</f>
        <v/>
      </c>
      <c r="J252" s="74" t="str">
        <f>IFERROR(__xludf.DUMMYFUNCTION("""COMPUTED_VALUE"""),"Lunch")</f>
        <v>Lunch</v>
      </c>
      <c r="K252" s="113">
        <f>IFERROR(__xludf.DUMMYFUNCTION("""COMPUTED_VALUE"""),46121.0)</f>
        <v>46121</v>
      </c>
      <c r="L252" s="74" t="str">
        <f>IFERROR(__xludf.DUMMYFUNCTION("""COMPUTED_VALUE"""),"Thursday")</f>
        <v>Thursday</v>
      </c>
      <c r="M252" s="74" t="str">
        <f>IFERROR(__xludf.DUMMYFUNCTION("""COMPUTED_VALUE"""),"BF")</f>
        <v>BF</v>
      </c>
      <c r="N252" s="114" t="str">
        <f>IFERROR(__xludf.DUMMYFUNCTION("""COMPUTED_VALUE"""),"")</f>
        <v/>
      </c>
      <c r="O252" s="74" t="str">
        <f>IFERROR(__xludf.DUMMYFUNCTION("""COMPUTED_VALUE"""),"")</f>
        <v/>
      </c>
      <c r="P252" s="74" t="str">
        <f>IFERROR(__xludf.DUMMYFUNCTION("""COMPUTED_VALUE"""),"")</f>
        <v/>
      </c>
      <c r="Q252" s="82" t="str">
        <f>IFERROR(__xludf.DUMMYFUNCTION("""COMPUTED_VALUE"""),"")</f>
        <v/>
      </c>
      <c r="R252" s="82" t="str">
        <f>IFERROR(__xludf.DUMMYFUNCTION("""COMPUTED_VALUE"""),"")</f>
        <v/>
      </c>
      <c r="S252" s="84" t="str">
        <f>IFERROR(__xludf.DUMMYFUNCTION("""COMPUTED_VALUE"""),"")</f>
        <v/>
      </c>
      <c r="T252" s="84" t="str">
        <f>IFERROR(__xludf.DUMMYFUNCTION("""COMPUTED_VALUE"""),"")</f>
        <v/>
      </c>
      <c r="U252" s="74" t="str">
        <f>IFERROR(__xludf.DUMMYFUNCTION("""COMPUTED_VALUE"""),"")</f>
        <v/>
      </c>
      <c r="V252" s="82" t="str">
        <f>IFERROR(__xludf.DUMMYFUNCTION("""COMPUTED_VALUE"""),"")</f>
        <v/>
      </c>
      <c r="W252" s="64" t="str">
        <f>IFERROR(__xludf.DUMMYFUNCTION("""COMPUTED_VALUE"""),"")</f>
        <v/>
      </c>
      <c r="X252" s="84" t="str">
        <f>IFERROR(__xludf.DUMMYFUNCTION("""COMPUTED_VALUE"""),"")</f>
        <v/>
      </c>
      <c r="Y252" s="114" t="str">
        <f>IFERROR(__xludf.DUMMYFUNCTION("""COMPUTED_VALUE"""),"")</f>
        <v/>
      </c>
    </row>
    <row r="253">
      <c r="A253" s="109">
        <f>IFERROR(__xludf.DUMMYFUNCTION("""COMPUTED_VALUE"""),46121.777981458334)</f>
        <v>46121.77798</v>
      </c>
      <c r="B253" s="81" t="str">
        <f>IFERROR(__xludf.DUMMYFUNCTION("""COMPUTED_VALUE"""),"Emmett Khan")</f>
        <v>Emmett Khan</v>
      </c>
      <c r="C253" s="74" t="b">
        <f>IFERROR(__xludf.DUMMYFUNCTION("""COMPUTED_VALUE"""),FALSE)</f>
        <v>0</v>
      </c>
      <c r="D253" s="137">
        <f>IFERROR(__xludf.DUMMYFUNCTION("""COMPUTED_VALUE"""),0.7083333333357587)</f>
        <v>0.7083333333</v>
      </c>
      <c r="E253" s="82">
        <f>IFERROR(__xludf.DUMMYFUNCTION("""COMPUTED_VALUE"""),0.07291666666424135)</f>
        <v>0.07291666666</v>
      </c>
      <c r="F253" s="137">
        <f>IFERROR(__xludf.DUMMYFUNCTION("""COMPUTED_VALUE"""),0.78125)</f>
        <v>0.78125</v>
      </c>
      <c r="G253" s="82">
        <f>IFERROR(__xludf.DUMMYFUNCTION("""COMPUTED_VALUE"""),0.07291666666424135)</f>
        <v>0.07291666666</v>
      </c>
      <c r="H253" s="74">
        <f>IFERROR(__xludf.DUMMYFUNCTION("""COMPUTED_VALUE"""),83.0)</f>
        <v>83</v>
      </c>
      <c r="I253" s="84">
        <f>IFERROR(__xludf.DUMMYFUNCTION("""COMPUTED_VALUE"""),47.42857143014898)</f>
        <v>47.42857143</v>
      </c>
      <c r="J253" s="74" t="str">
        <f>IFERROR(__xludf.DUMMYFUNCTION("""COMPUTED_VALUE"""),"Dinner")</f>
        <v>Dinner</v>
      </c>
      <c r="K253" s="113">
        <f>IFERROR(__xludf.DUMMYFUNCTION("""COMPUTED_VALUE"""),46121.0)</f>
        <v>46121</v>
      </c>
      <c r="L253" s="74" t="str">
        <f>IFERROR(__xludf.DUMMYFUNCTION("""COMPUTED_VALUE"""),"Thursday")</f>
        <v>Thursday</v>
      </c>
      <c r="M253" s="74" t="str">
        <f>IFERROR(__xludf.DUMMYFUNCTION("""COMPUTED_VALUE"""),"MF")</f>
        <v>MF</v>
      </c>
      <c r="N253" s="114">
        <f>IFERROR(__xludf.DUMMYFUNCTION("""COMPUTED_VALUE"""),1.0226153248659184)</f>
        <v>1.022615325</v>
      </c>
      <c r="O253" s="74" t="str">
        <f>IFERROR(__xludf.DUMMYFUNCTION("""COMPUTED_VALUE"""),"")</f>
        <v/>
      </c>
      <c r="P253" s="74" t="str">
        <f>IFERROR(__xludf.DUMMYFUNCTION("""COMPUTED_VALUE"""),"")</f>
        <v/>
      </c>
      <c r="Q253" s="82" t="str">
        <f>IFERROR(__xludf.DUMMYFUNCTION("""COMPUTED_VALUE"""),"")</f>
        <v/>
      </c>
      <c r="R253" s="82" t="str">
        <f>IFERROR(__xludf.DUMMYFUNCTION("""COMPUTED_VALUE"""),"")</f>
        <v/>
      </c>
      <c r="S253" s="84" t="str">
        <f>IFERROR(__xludf.DUMMYFUNCTION("""COMPUTED_VALUE"""),"")</f>
        <v/>
      </c>
      <c r="T253" s="84" t="str">
        <f>IFERROR(__xludf.DUMMYFUNCTION("""COMPUTED_VALUE"""),"")</f>
        <v/>
      </c>
      <c r="U253" s="74" t="str">
        <f>IFERROR(__xludf.DUMMYFUNCTION("""COMPUTED_VALUE"""),"")</f>
        <v/>
      </c>
      <c r="V253" s="82" t="str">
        <f>IFERROR(__xludf.DUMMYFUNCTION("""COMPUTED_VALUE"""),"")</f>
        <v/>
      </c>
      <c r="W253" s="64" t="str">
        <f>IFERROR(__xludf.DUMMYFUNCTION("""COMPUTED_VALUE"""),"")</f>
        <v/>
      </c>
      <c r="X253" s="84" t="str">
        <f>IFERROR(__xludf.DUMMYFUNCTION("""COMPUTED_VALUE"""),"")</f>
        <v/>
      </c>
      <c r="Y253" s="114" t="str">
        <f>IFERROR(__xludf.DUMMYFUNCTION("""COMPUTED_VALUE"""),"")</f>
        <v/>
      </c>
    </row>
    <row r="254">
      <c r="A254" s="109">
        <f>IFERROR(__xludf.DUMMYFUNCTION("""COMPUTED_VALUE"""),46121.84658378472)</f>
        <v>46121.84658</v>
      </c>
      <c r="B254" s="81" t="str">
        <f>IFERROR(__xludf.DUMMYFUNCTION("""COMPUTED_VALUE"""),"Leah Bucci")</f>
        <v>Leah Bucci</v>
      </c>
      <c r="C254" s="74" t="b">
        <f>IFERROR(__xludf.DUMMYFUNCTION("""COMPUTED_VALUE"""),FALSE)</f>
        <v>0</v>
      </c>
      <c r="D254" s="137">
        <f>IFERROR(__xludf.DUMMYFUNCTION("""COMPUTED_VALUE"""),0.6875)</f>
        <v>0.6875</v>
      </c>
      <c r="E254" s="82">
        <f>IFERROR(__xludf.DUMMYFUNCTION("""COMPUTED_VALUE"""),0.13541666666424135)</f>
        <v>0.1354166667</v>
      </c>
      <c r="F254" s="137">
        <f>IFERROR(__xludf.DUMMYFUNCTION("""COMPUTED_VALUE"""),0.8229166666642413)</f>
        <v>0.8229166667</v>
      </c>
      <c r="G254" s="82">
        <f>IFERROR(__xludf.DUMMYFUNCTION("""COMPUTED_VALUE"""),0.15972222221898846)</f>
        <v>0.1597222222</v>
      </c>
      <c r="H254" s="74">
        <f>IFERROR(__xludf.DUMMYFUNCTION("""COMPUTED_VALUE"""),162.0)</f>
        <v>162</v>
      </c>
      <c r="I254" s="84">
        <f>IFERROR(__xludf.DUMMYFUNCTION("""COMPUTED_VALUE"""),49.043478261862504)</f>
        <v>49.04347826</v>
      </c>
      <c r="J254" s="74" t="str">
        <f>IFERROR(__xludf.DUMMYFUNCTION("""COMPUTED_VALUE"""),"Dinner")</f>
        <v>Dinner</v>
      </c>
      <c r="K254" s="113">
        <f>IFERROR(__xludf.DUMMYFUNCTION("""COMPUTED_VALUE"""),46121.0)</f>
        <v>46121</v>
      </c>
      <c r="L254" s="74" t="str">
        <f>IFERROR(__xludf.DUMMYFUNCTION("""COMPUTED_VALUE"""),"Thursday")</f>
        <v>Thursday</v>
      </c>
      <c r="M254" s="74" t="str">
        <f>IFERROR(__xludf.DUMMYFUNCTION("""COMPUTED_VALUE"""),"BF")</f>
        <v>BF</v>
      </c>
      <c r="N254" s="114">
        <f>IFERROR(__xludf.DUMMYFUNCTION("""COMPUTED_VALUE"""),1.1037918381025822)</f>
        <v>1.103791838</v>
      </c>
      <c r="O254" s="74" t="str">
        <f>IFERROR(__xludf.DUMMYFUNCTION("""COMPUTED_VALUE"""),"")</f>
        <v/>
      </c>
      <c r="P254" s="74" t="str">
        <f>IFERROR(__xludf.DUMMYFUNCTION("""COMPUTED_VALUE"""),"")</f>
        <v/>
      </c>
      <c r="Q254" s="82" t="str">
        <f>IFERROR(__xludf.DUMMYFUNCTION("""COMPUTED_VALUE"""),"")</f>
        <v/>
      </c>
      <c r="R254" s="82" t="str">
        <f>IFERROR(__xludf.DUMMYFUNCTION("""COMPUTED_VALUE"""),"")</f>
        <v/>
      </c>
      <c r="S254" s="84" t="str">
        <f>IFERROR(__xludf.DUMMYFUNCTION("""COMPUTED_VALUE"""),"")</f>
        <v/>
      </c>
      <c r="T254" s="84" t="str">
        <f>IFERROR(__xludf.DUMMYFUNCTION("""COMPUTED_VALUE"""),"")</f>
        <v/>
      </c>
      <c r="U254" s="74" t="str">
        <f>IFERROR(__xludf.DUMMYFUNCTION("""COMPUTED_VALUE"""),"")</f>
        <v/>
      </c>
      <c r="V254" s="82" t="str">
        <f>IFERROR(__xludf.DUMMYFUNCTION("""COMPUTED_VALUE"""),"")</f>
        <v/>
      </c>
      <c r="W254" s="64" t="str">
        <f>IFERROR(__xludf.DUMMYFUNCTION("""COMPUTED_VALUE"""),"")</f>
        <v/>
      </c>
      <c r="X254" s="84" t="str">
        <f>IFERROR(__xludf.DUMMYFUNCTION("""COMPUTED_VALUE"""),"")</f>
        <v/>
      </c>
      <c r="Y254" s="114" t="str">
        <f>IFERROR(__xludf.DUMMYFUNCTION("""COMPUTED_VALUE"""),"")</f>
        <v/>
      </c>
    </row>
    <row r="255">
      <c r="A255" s="109">
        <f>IFERROR(__xludf.DUMMYFUNCTION("""COMPUTED_VALUE"""),46121.850836412035)</f>
        <v>46121.85084</v>
      </c>
      <c r="B255" s="81" t="str">
        <f>IFERROR(__xludf.DUMMYFUNCTION("""COMPUTED_VALUE"""),"Leah Bucci")</f>
        <v>Leah Bucci</v>
      </c>
      <c r="C255" s="74" t="b">
        <f>IFERROR(__xludf.DUMMYFUNCTION("""COMPUTED_VALUE"""),TRUE)</f>
        <v>1</v>
      </c>
      <c r="D255" s="137">
        <f>IFERROR(__xludf.DUMMYFUNCTION("""COMPUTED_VALUE"""),0.8263888888905058)</f>
        <v>0.8263888889</v>
      </c>
      <c r="E255" s="82">
        <f>IFERROR(__xludf.DUMMYFUNCTION("""COMPUTED_VALUE"""),0.024305555554747116)</f>
        <v>0.02430555555</v>
      </c>
      <c r="F255" s="137">
        <f>IFERROR(__xludf.DUMMYFUNCTION("""COMPUTED_VALUE"""),0.8506944444452529)</f>
        <v>0.8506944444</v>
      </c>
      <c r="G255" s="82" t="str">
        <f>IFERROR(__xludf.DUMMYFUNCTION("""COMPUTED_VALUE"""),"")</f>
        <v/>
      </c>
      <c r="H255" s="74">
        <f>IFERROR(__xludf.DUMMYFUNCTION("""COMPUTED_VALUE"""),26.0)</f>
        <v>26</v>
      </c>
      <c r="I255" s="84" t="str">
        <f>IFERROR(__xludf.DUMMYFUNCTION("""COMPUTED_VALUE"""),"")</f>
        <v/>
      </c>
      <c r="J255" s="74" t="str">
        <f>IFERROR(__xludf.DUMMYFUNCTION("""COMPUTED_VALUE"""),"Dinner")</f>
        <v>Dinner</v>
      </c>
      <c r="K255" s="113">
        <f>IFERROR(__xludf.DUMMYFUNCTION("""COMPUTED_VALUE"""),46121.0)</f>
        <v>46121</v>
      </c>
      <c r="L255" s="74" t="str">
        <f>IFERROR(__xludf.DUMMYFUNCTION("""COMPUTED_VALUE"""),"Thursday")</f>
        <v>Thursday</v>
      </c>
      <c r="M255" s="74" t="str">
        <f>IFERROR(__xludf.DUMMYFUNCTION("""COMPUTED_VALUE"""),"BF")</f>
        <v>BF</v>
      </c>
      <c r="N255" s="114" t="str">
        <f>IFERROR(__xludf.DUMMYFUNCTION("""COMPUTED_VALUE"""),"")</f>
        <v/>
      </c>
      <c r="O255" s="74">
        <f>IFERROR(__xludf.DUMMYFUNCTION("""COMPUTED_VALUE"""),144.0)</f>
        <v>144</v>
      </c>
      <c r="P255" s="74">
        <f>IFERROR(__xludf.DUMMYFUNCTION("""COMPUTED_VALUE"""),427.0)</f>
        <v>427</v>
      </c>
      <c r="Q255" s="82">
        <f>IFERROR(__xludf.DUMMYFUNCTION("""COMPUTED_VALUE"""),0.125)</f>
        <v>0.125</v>
      </c>
      <c r="R255" s="82">
        <f>IFERROR(__xludf.DUMMYFUNCTION("""COMPUTED_VALUE"""),0.48333333333721384)</f>
        <v>0.4833333333</v>
      </c>
      <c r="S255" s="84">
        <f>IFERROR(__xludf.DUMMYFUNCTION("""COMPUTED_VALUE"""),48.11428571393827)</f>
        <v>48.11428571</v>
      </c>
      <c r="T255" s="84">
        <f>IFERROR(__xludf.DUMMYFUNCTION("""COMPUTED_VALUE"""),32.54464509425481)</f>
        <v>32.54464509</v>
      </c>
      <c r="U255" s="74">
        <f>IFERROR(__xludf.DUMMYFUNCTION("""COMPUTED_VALUE"""),571.0)</f>
        <v>571</v>
      </c>
      <c r="V255" s="82">
        <f>IFERROR(__xludf.DUMMYFUNCTION("""COMPUTED_VALUE"""),0.6083333333372138)</f>
        <v>0.6083333333</v>
      </c>
      <c r="W255" s="64">
        <f>IFERROR(__xludf.DUMMYFUNCTION("""COMPUTED_VALUE"""),39.109589040846416)</f>
        <v>39.10958904</v>
      </c>
      <c r="X255" s="84">
        <f>IFERROR(__xludf.DUMMYFUNCTION("""COMPUTED_VALUE"""),37.73452530081597)</f>
        <v>37.7345253</v>
      </c>
      <c r="Y255" s="114">
        <f>IFERROR(__xludf.DUMMYFUNCTION("""COMPUTED_VALUE"""),0.5185003779713857)</f>
        <v>0.518500378</v>
      </c>
    </row>
    <row r="256">
      <c r="A256" s="109">
        <f>IFERROR(__xludf.DUMMYFUNCTION("""COMPUTED_VALUE"""),46121.97298421296)</f>
        <v>46121.97298</v>
      </c>
      <c r="B256" s="81" t="str">
        <f>IFERROR(__xludf.DUMMYFUNCTION("""COMPUTED_VALUE"""),"Denise Romanszysn")</f>
        <v>Denise Romanszysn</v>
      </c>
      <c r="C256" s="74" t="b">
        <f>IFERROR(__xludf.DUMMYFUNCTION("""COMPUTED_VALUE"""),FALSE)</f>
        <v>0</v>
      </c>
      <c r="D256" s="137">
        <f>IFERROR(__xludf.DUMMYFUNCTION("""COMPUTED_VALUE"""),0.44097222221898846)</f>
        <v>0.4409722222</v>
      </c>
      <c r="E256" s="82">
        <f>IFERROR(__xludf.DUMMYFUNCTION("""COMPUTED_VALUE"""),0.04513888889050577)</f>
        <v>0.04513888889</v>
      </c>
      <c r="F256" s="137">
        <f>IFERROR(__xludf.DUMMYFUNCTION("""COMPUTED_VALUE"""),0.48611111110949423)</f>
        <v>0.4861111111</v>
      </c>
      <c r="G256" s="82">
        <f>IFERROR(__xludf.DUMMYFUNCTION("""COMPUTED_VALUE"""),0.04513888889050577)</f>
        <v>0.04513888889</v>
      </c>
      <c r="H256" s="74">
        <f>IFERROR(__xludf.DUMMYFUNCTION("""COMPUTED_VALUE"""),76.0)</f>
        <v>76</v>
      </c>
      <c r="I256" s="84">
        <f>IFERROR(__xludf.DUMMYFUNCTION("""COMPUTED_VALUE"""),70.15384615133324)</f>
        <v>70.15384615</v>
      </c>
      <c r="J256" s="74" t="str">
        <f>IFERROR(__xludf.DUMMYFUNCTION("""COMPUTED_VALUE"""),"Breakfast/Lunch")</f>
        <v>Breakfast/Lunch</v>
      </c>
      <c r="K256" s="113">
        <f>IFERROR(__xludf.DUMMYFUNCTION("""COMPUTED_VALUE"""),46118.0)</f>
        <v>46118</v>
      </c>
      <c r="L256" s="74" t="str">
        <f>IFERROR(__xludf.DUMMYFUNCTION("""COMPUTED_VALUE"""),"Monday")</f>
        <v>Monday</v>
      </c>
      <c r="M256" s="74" t="str">
        <f>IFERROR(__xludf.DUMMYFUNCTION("""COMPUTED_VALUE"""),"BF")</f>
        <v>BF</v>
      </c>
      <c r="N256" s="114">
        <f>IFERROR(__xludf.DUMMYFUNCTION("""COMPUTED_VALUE"""),2.0232480171375804)</f>
        <v>2.023248017</v>
      </c>
      <c r="O256" s="74" t="str">
        <f>IFERROR(__xludf.DUMMYFUNCTION("""COMPUTED_VALUE"""),"")</f>
        <v/>
      </c>
      <c r="P256" s="74" t="str">
        <f>IFERROR(__xludf.DUMMYFUNCTION("""COMPUTED_VALUE"""),"")</f>
        <v/>
      </c>
      <c r="Q256" s="82" t="str">
        <f>IFERROR(__xludf.DUMMYFUNCTION("""COMPUTED_VALUE"""),"")</f>
        <v/>
      </c>
      <c r="R256" s="82" t="str">
        <f>IFERROR(__xludf.DUMMYFUNCTION("""COMPUTED_VALUE"""),"")</f>
        <v/>
      </c>
      <c r="S256" s="84" t="str">
        <f>IFERROR(__xludf.DUMMYFUNCTION("""COMPUTED_VALUE"""),"")</f>
        <v/>
      </c>
      <c r="T256" s="84" t="str">
        <f>IFERROR(__xludf.DUMMYFUNCTION("""COMPUTED_VALUE"""),"")</f>
        <v/>
      </c>
      <c r="U256" s="74" t="str">
        <f>IFERROR(__xludf.DUMMYFUNCTION("""COMPUTED_VALUE"""),"")</f>
        <v/>
      </c>
      <c r="V256" s="82" t="str">
        <f>IFERROR(__xludf.DUMMYFUNCTION("""COMPUTED_VALUE"""),"")</f>
        <v/>
      </c>
      <c r="W256" s="64" t="str">
        <f>IFERROR(__xludf.DUMMYFUNCTION("""COMPUTED_VALUE"""),"")</f>
        <v/>
      </c>
      <c r="X256" s="84" t="str">
        <f>IFERROR(__xludf.DUMMYFUNCTION("""COMPUTED_VALUE"""),"")</f>
        <v/>
      </c>
      <c r="Y256" s="114" t="str">
        <f>IFERROR(__xludf.DUMMYFUNCTION("""COMPUTED_VALUE"""),"")</f>
        <v/>
      </c>
    </row>
    <row r="257">
      <c r="A257" s="109">
        <f>IFERROR(__xludf.DUMMYFUNCTION("""COMPUTED_VALUE"""),46121.97365222222)</f>
        <v>46121.97365</v>
      </c>
      <c r="B257" s="81" t="str">
        <f>IFERROR(__xludf.DUMMYFUNCTION("""COMPUTED_VALUE"""),"Denise Romanszysn")</f>
        <v>Denise Romanszysn</v>
      </c>
      <c r="C257" s="74" t="b">
        <f>IFERROR(__xludf.DUMMYFUNCTION("""COMPUTED_VALUE"""),FALSE)</f>
        <v>0</v>
      </c>
      <c r="D257" s="137">
        <f>IFERROR(__xludf.DUMMYFUNCTION("""COMPUTED_VALUE"""),0.5520833333357587)</f>
        <v>0.5520833333</v>
      </c>
      <c r="E257" s="82">
        <f>IFERROR(__xludf.DUMMYFUNCTION("""COMPUTED_VALUE"""),0.06944444444525288)</f>
        <v>0.06944444445</v>
      </c>
      <c r="F257" s="137">
        <f>IFERROR(__xludf.DUMMYFUNCTION("""COMPUTED_VALUE"""),0.6215277777810115)</f>
        <v>0.6215277778</v>
      </c>
      <c r="G257" s="82">
        <f>IFERROR(__xludf.DUMMYFUNCTION("""COMPUTED_VALUE"""),0.06944444444525288)</f>
        <v>0.06944444445</v>
      </c>
      <c r="H257" s="74">
        <f>IFERROR(__xludf.DUMMYFUNCTION("""COMPUTED_VALUE"""),105.0)</f>
        <v>105</v>
      </c>
      <c r="I257" s="84">
        <f>IFERROR(__xludf.DUMMYFUNCTION("""COMPUTED_VALUE"""),62.999999999266585)</f>
        <v>63</v>
      </c>
      <c r="J257" s="74" t="str">
        <f>IFERROR(__xludf.DUMMYFUNCTION("""COMPUTED_VALUE"""),"Lunch")</f>
        <v>Lunch</v>
      </c>
      <c r="K257" s="113">
        <f>IFERROR(__xludf.DUMMYFUNCTION("""COMPUTED_VALUE"""),46118.0)</f>
        <v>46118</v>
      </c>
      <c r="L257" s="74" t="str">
        <f>IFERROR(__xludf.DUMMYFUNCTION("""COMPUTED_VALUE"""),"Monday")</f>
        <v>Monday</v>
      </c>
      <c r="M257" s="74" t="str">
        <f>IFERROR(__xludf.DUMMYFUNCTION("""COMPUTED_VALUE"""),"MF")</f>
        <v>MF</v>
      </c>
      <c r="N257" s="114">
        <f>IFERROR(__xludf.DUMMYFUNCTION("""COMPUTED_VALUE"""),1.2530457376792952)</f>
        <v>1.253045738</v>
      </c>
      <c r="O257" s="74">
        <f>IFERROR(__xludf.DUMMYFUNCTION("""COMPUTED_VALUE"""),328.0)</f>
        <v>328</v>
      </c>
      <c r="P257" s="74">
        <f>IFERROR(__xludf.DUMMYFUNCTION("""COMPUTED_VALUE"""),235.0)</f>
        <v>235</v>
      </c>
      <c r="Q257" s="82">
        <f>IFERROR(__xludf.DUMMYFUNCTION("""COMPUTED_VALUE"""),0.27083333333575865)</f>
        <v>0.2708333333</v>
      </c>
      <c r="R257" s="82">
        <f>IFERROR(__xludf.DUMMYFUNCTION("""COMPUTED_VALUE"""),0.23472222222335404)</f>
        <v>0.2347222222</v>
      </c>
      <c r="S257" s="84">
        <f>IFERROR(__xludf.DUMMYFUNCTION("""COMPUTED_VALUE"""),52.070707070120086)</f>
        <v>52.07070707</v>
      </c>
      <c r="T257" s="84">
        <f>IFERROR(__xludf.DUMMYFUNCTION("""COMPUTED_VALUE"""),46.0405293623499)</f>
        <v>46.04052936</v>
      </c>
      <c r="U257" s="74">
        <f>IFERROR(__xludf.DUMMYFUNCTION("""COMPUTED_VALUE"""),563.0)</f>
        <v>563</v>
      </c>
      <c r="V257" s="82">
        <f>IFERROR(__xludf.DUMMYFUNCTION("""COMPUTED_VALUE"""),0.5055555555591127)</f>
        <v>0.5055555556</v>
      </c>
      <c r="W257" s="64">
        <f>IFERROR(__xludf.DUMMYFUNCTION("""COMPUTED_VALUE"""),46.40109890077242)</f>
        <v>46.4010989</v>
      </c>
      <c r="X257" s="84">
        <f>IFERROR(__xludf.DUMMYFUNCTION("""COMPUTED_VALUE"""),49.055618216235)</f>
        <v>49.05561822</v>
      </c>
      <c r="Y257" s="114">
        <f>IFERROR(__xludf.DUMMYFUNCTION("""COMPUTED_VALUE"""),0.9645776160444223)</f>
        <v>0.964577616</v>
      </c>
    </row>
    <row r="258">
      <c r="A258" s="109">
        <f>IFERROR(__xludf.DUMMYFUNCTION("""COMPUTED_VALUE"""),46122.440165196764)</f>
        <v>46122.44017</v>
      </c>
      <c r="B258" s="81" t="str">
        <f>IFERROR(__xludf.DUMMYFUNCTION("""COMPUTED_VALUE"""),"Kaylie Forgue")</f>
        <v>Kaylie Forgue</v>
      </c>
      <c r="C258" s="74" t="b">
        <f>IFERROR(__xludf.DUMMYFUNCTION("""COMPUTED_VALUE"""),FALSE)</f>
        <v>0</v>
      </c>
      <c r="D258" s="137">
        <f>IFERROR(__xludf.DUMMYFUNCTION("""COMPUTED_VALUE"""),0.37361111110658385)</f>
        <v>0.3736111111</v>
      </c>
      <c r="E258" s="82">
        <f>IFERROR(__xludf.DUMMYFUNCTION("""COMPUTED_VALUE"""),0.0625)</f>
        <v>0.0625</v>
      </c>
      <c r="F258" s="137">
        <f>IFERROR(__xludf.DUMMYFUNCTION("""COMPUTED_VALUE"""),0.43611111110658385)</f>
        <v>0.4361111111</v>
      </c>
      <c r="G258" s="82">
        <f>IFERROR(__xludf.DUMMYFUNCTION("""COMPUTED_VALUE"""),0.0625)</f>
        <v>0.0625</v>
      </c>
      <c r="H258" s="74">
        <f>IFERROR(__xludf.DUMMYFUNCTION("""COMPUTED_VALUE"""),69.0)</f>
        <v>69</v>
      </c>
      <c r="I258" s="84">
        <f>IFERROR(__xludf.DUMMYFUNCTION("""COMPUTED_VALUE"""),46.0)</f>
        <v>46</v>
      </c>
      <c r="J258" s="74" t="str">
        <f>IFERROR(__xludf.DUMMYFUNCTION("""COMPUTED_VALUE"""),"Breakfast")</f>
        <v>Breakfast</v>
      </c>
      <c r="K258" s="113">
        <f>IFERROR(__xludf.DUMMYFUNCTION("""COMPUTED_VALUE"""),46122.0)</f>
        <v>46122</v>
      </c>
      <c r="L258" s="74" t="str">
        <f>IFERROR(__xludf.DUMMYFUNCTION("""COMPUTED_VALUE"""),"Friday")</f>
        <v>Friday</v>
      </c>
      <c r="M258" s="74" t="str">
        <f>IFERROR(__xludf.DUMMYFUNCTION("""COMPUTED_VALUE"""),"BF")</f>
        <v>BF</v>
      </c>
      <c r="N258" s="114">
        <f>IFERROR(__xludf.DUMMYFUNCTION("""COMPUTED_VALUE"""),1.6225377920629562)</f>
        <v>1.622537792</v>
      </c>
      <c r="O258" s="74" t="str">
        <f>IFERROR(__xludf.DUMMYFUNCTION("""COMPUTED_VALUE"""),"")</f>
        <v/>
      </c>
      <c r="P258" s="74" t="str">
        <f>IFERROR(__xludf.DUMMYFUNCTION("""COMPUTED_VALUE"""),"")</f>
        <v/>
      </c>
      <c r="Q258" s="82" t="str">
        <f>IFERROR(__xludf.DUMMYFUNCTION("""COMPUTED_VALUE"""),"")</f>
        <v/>
      </c>
      <c r="R258" s="82" t="str">
        <f>IFERROR(__xludf.DUMMYFUNCTION("""COMPUTED_VALUE"""),"")</f>
        <v/>
      </c>
      <c r="S258" s="84" t="str">
        <f>IFERROR(__xludf.DUMMYFUNCTION("""COMPUTED_VALUE"""),"")</f>
        <v/>
      </c>
      <c r="T258" s="84" t="str">
        <f>IFERROR(__xludf.DUMMYFUNCTION("""COMPUTED_VALUE"""),"")</f>
        <v/>
      </c>
      <c r="U258" s="74" t="str">
        <f>IFERROR(__xludf.DUMMYFUNCTION("""COMPUTED_VALUE"""),"")</f>
        <v/>
      </c>
      <c r="V258" s="82" t="str">
        <f>IFERROR(__xludf.DUMMYFUNCTION("""COMPUTED_VALUE"""),"")</f>
        <v/>
      </c>
      <c r="W258" s="64" t="str">
        <f>IFERROR(__xludf.DUMMYFUNCTION("""COMPUTED_VALUE"""),"")</f>
        <v/>
      </c>
      <c r="X258" s="84" t="str">
        <f>IFERROR(__xludf.DUMMYFUNCTION("""COMPUTED_VALUE"""),"")</f>
        <v/>
      </c>
      <c r="Y258" s="114" t="str">
        <f>IFERROR(__xludf.DUMMYFUNCTION("""COMPUTED_VALUE"""),"")</f>
        <v/>
      </c>
    </row>
    <row r="259">
      <c r="A259" s="109">
        <f>IFERROR(__xludf.DUMMYFUNCTION("""COMPUTED_VALUE"""),46122.57991917824)</f>
        <v>46122.57992</v>
      </c>
      <c r="B259" s="81" t="str">
        <f>IFERROR(__xludf.DUMMYFUNCTION("""COMPUTED_VALUE"""),"Brynn Hornig")</f>
        <v>Brynn Hornig</v>
      </c>
      <c r="C259" s="74" t="b">
        <f>IFERROR(__xludf.DUMMYFUNCTION("""COMPUTED_VALUE"""),FALSE)</f>
        <v>0</v>
      </c>
      <c r="D259" s="137">
        <f>IFERROR(__xludf.DUMMYFUNCTION("""COMPUTED_VALUE"""),0.45833333333575865)</f>
        <v>0.4583333333</v>
      </c>
      <c r="E259" s="82">
        <f>IFERROR(__xludf.DUMMYFUNCTION("""COMPUTED_VALUE"""),0.125)</f>
        <v>0.125</v>
      </c>
      <c r="F259" s="137">
        <f>IFERROR(__xludf.DUMMYFUNCTION("""COMPUTED_VALUE"""),0.5833333333357587)</f>
        <v>0.5833333333</v>
      </c>
      <c r="G259" s="82">
        <f>IFERROR(__xludf.DUMMYFUNCTION("""COMPUTED_VALUE"""),0.125)</f>
        <v>0.125</v>
      </c>
      <c r="H259" s="74">
        <f>IFERROR(__xludf.DUMMYFUNCTION("""COMPUTED_VALUE"""),76.0)</f>
        <v>76</v>
      </c>
      <c r="I259" s="84">
        <f>IFERROR(__xludf.DUMMYFUNCTION("""COMPUTED_VALUE"""),25.333333333333332)</f>
        <v>25.33333333</v>
      </c>
      <c r="J259" s="74" t="str">
        <f>IFERROR(__xludf.DUMMYFUNCTION("""COMPUTED_VALUE"""),"Lunch")</f>
        <v>Lunch</v>
      </c>
      <c r="K259" s="113">
        <f>IFERROR(__xludf.DUMMYFUNCTION("""COMPUTED_VALUE"""),46122.0)</f>
        <v>46122</v>
      </c>
      <c r="L259" s="74" t="str">
        <f>IFERROR(__xludf.DUMMYFUNCTION("""COMPUTED_VALUE"""),"Friday")</f>
        <v>Friday</v>
      </c>
      <c r="M259" s="74" t="str">
        <f>IFERROR(__xludf.DUMMYFUNCTION("""COMPUTED_VALUE"""),"BF")</f>
        <v>BF</v>
      </c>
      <c r="N259" s="114">
        <f>IFERROR(__xludf.DUMMYFUNCTION("""COMPUTED_VALUE"""),0.8935715376578599)</f>
        <v>0.8935715377</v>
      </c>
      <c r="O259" s="74" t="str">
        <f>IFERROR(__xludf.DUMMYFUNCTION("""COMPUTED_VALUE"""),"")</f>
        <v/>
      </c>
      <c r="P259" s="74" t="str">
        <f>IFERROR(__xludf.DUMMYFUNCTION("""COMPUTED_VALUE"""),"")</f>
        <v/>
      </c>
      <c r="Q259" s="82" t="str">
        <f>IFERROR(__xludf.DUMMYFUNCTION("""COMPUTED_VALUE"""),"")</f>
        <v/>
      </c>
      <c r="R259" s="82" t="str">
        <f>IFERROR(__xludf.DUMMYFUNCTION("""COMPUTED_VALUE"""),"")</f>
        <v/>
      </c>
      <c r="S259" s="84" t="str">
        <f>IFERROR(__xludf.DUMMYFUNCTION("""COMPUTED_VALUE"""),"")</f>
        <v/>
      </c>
      <c r="T259" s="84" t="str">
        <f>IFERROR(__xludf.DUMMYFUNCTION("""COMPUTED_VALUE"""),"")</f>
        <v/>
      </c>
      <c r="U259" s="74" t="str">
        <f>IFERROR(__xludf.DUMMYFUNCTION("""COMPUTED_VALUE"""),"")</f>
        <v/>
      </c>
      <c r="V259" s="82" t="str">
        <f>IFERROR(__xludf.DUMMYFUNCTION("""COMPUTED_VALUE"""),"")</f>
        <v/>
      </c>
      <c r="W259" s="64" t="str">
        <f>IFERROR(__xludf.DUMMYFUNCTION("""COMPUTED_VALUE"""),"")</f>
        <v/>
      </c>
      <c r="X259" s="84" t="str">
        <f>IFERROR(__xludf.DUMMYFUNCTION("""COMPUTED_VALUE"""),"")</f>
        <v/>
      </c>
      <c r="Y259" s="114" t="str">
        <f>IFERROR(__xludf.DUMMYFUNCTION("""COMPUTED_VALUE"""),"")</f>
        <v/>
      </c>
    </row>
    <row r="260">
      <c r="A260" s="109">
        <f>IFERROR(__xludf.DUMMYFUNCTION("""COMPUTED_VALUE"""),46122.62504946759)</f>
        <v>46122.62505</v>
      </c>
      <c r="B260" s="81" t="str">
        <f>IFERROR(__xludf.DUMMYFUNCTION("""COMPUTED_VALUE"""),"Oluwatimilehin Shodipe")</f>
        <v>Oluwatimilehin Shodipe</v>
      </c>
      <c r="C260" s="74" t="b">
        <f>IFERROR(__xludf.DUMMYFUNCTION("""COMPUTED_VALUE"""),FALSE)</f>
        <v>0</v>
      </c>
      <c r="D260" s="137">
        <f>IFERROR(__xludf.DUMMYFUNCTION("""COMPUTED_VALUE"""),0.48611111110949423)</f>
        <v>0.4861111111</v>
      </c>
      <c r="E260" s="82">
        <f>IFERROR(__xludf.DUMMYFUNCTION("""COMPUTED_VALUE"""),0.13888888889050577)</f>
        <v>0.1388888889</v>
      </c>
      <c r="F260" s="137">
        <f>IFERROR(__xludf.DUMMYFUNCTION("""COMPUTED_VALUE"""),0.625)</f>
        <v>0.625</v>
      </c>
      <c r="G260" s="82">
        <f>IFERROR(__xludf.DUMMYFUNCTION("""COMPUTED_VALUE"""),0.13888888889050577)</f>
        <v>0.1388888889</v>
      </c>
      <c r="H260" s="74">
        <f>IFERROR(__xludf.DUMMYFUNCTION("""COMPUTED_VALUE"""),182.0)</f>
        <v>182</v>
      </c>
      <c r="I260" s="84">
        <f>IFERROR(__xludf.DUMMYFUNCTION("""COMPUTED_VALUE"""),54.59999999936437)</f>
        <v>54.6</v>
      </c>
      <c r="J260" s="74" t="str">
        <f>IFERROR(__xludf.DUMMYFUNCTION("""COMPUTED_VALUE"""),"Lunch")</f>
        <v>Lunch</v>
      </c>
      <c r="K260" s="113">
        <f>IFERROR(__xludf.DUMMYFUNCTION("""COMPUTED_VALUE"""),46122.0)</f>
        <v>46122</v>
      </c>
      <c r="L260" s="74" t="str">
        <f>IFERROR(__xludf.DUMMYFUNCTION("""COMPUTED_VALUE"""),"Friday")</f>
        <v>Friday</v>
      </c>
      <c r="M260" s="74" t="str">
        <f>IFERROR(__xludf.DUMMYFUNCTION("""COMPUTED_VALUE"""),"MF")</f>
        <v>MF</v>
      </c>
      <c r="N260" s="114">
        <f>IFERROR(__xludf.DUMMYFUNCTION("""COMPUTED_VALUE"""),1.085972972655389)</f>
        <v>1.085972973</v>
      </c>
      <c r="O260" s="74" t="str">
        <f>IFERROR(__xludf.DUMMYFUNCTION("""COMPUTED_VALUE"""),"")</f>
        <v/>
      </c>
      <c r="P260" s="74" t="str">
        <f>IFERROR(__xludf.DUMMYFUNCTION("""COMPUTED_VALUE"""),"")</f>
        <v/>
      </c>
      <c r="Q260" s="82" t="str">
        <f>IFERROR(__xludf.DUMMYFUNCTION("""COMPUTED_VALUE"""),"")</f>
        <v/>
      </c>
      <c r="R260" s="82" t="str">
        <f>IFERROR(__xludf.DUMMYFUNCTION("""COMPUTED_VALUE"""),"")</f>
        <v/>
      </c>
      <c r="S260" s="84" t="str">
        <f>IFERROR(__xludf.DUMMYFUNCTION("""COMPUTED_VALUE"""),"")</f>
        <v/>
      </c>
      <c r="T260" s="84" t="str">
        <f>IFERROR(__xludf.DUMMYFUNCTION("""COMPUTED_VALUE"""),"")</f>
        <v/>
      </c>
      <c r="U260" s="74" t="str">
        <f>IFERROR(__xludf.DUMMYFUNCTION("""COMPUTED_VALUE"""),"")</f>
        <v/>
      </c>
      <c r="V260" s="82" t="str">
        <f>IFERROR(__xludf.DUMMYFUNCTION("""COMPUTED_VALUE"""),"")</f>
        <v/>
      </c>
      <c r="W260" s="64" t="str">
        <f>IFERROR(__xludf.DUMMYFUNCTION("""COMPUTED_VALUE"""),"")</f>
        <v/>
      </c>
      <c r="X260" s="84" t="str">
        <f>IFERROR(__xludf.DUMMYFUNCTION("""COMPUTED_VALUE"""),"")</f>
        <v/>
      </c>
      <c r="Y260" s="114" t="str">
        <f>IFERROR(__xludf.DUMMYFUNCTION("""COMPUTED_VALUE"""),"")</f>
        <v/>
      </c>
    </row>
    <row r="261">
      <c r="A261" s="109">
        <f>IFERROR(__xludf.DUMMYFUNCTION("""COMPUTED_VALUE"""),46122.74988512731)</f>
        <v>46122.74989</v>
      </c>
      <c r="B261" s="81" t="str">
        <f>IFERROR(__xludf.DUMMYFUNCTION("""COMPUTED_VALUE"""),"Leah Bucci")</f>
        <v>Leah Bucci</v>
      </c>
      <c r="C261" s="74" t="b">
        <f>IFERROR(__xludf.DUMMYFUNCTION("""COMPUTED_VALUE"""),FALSE)</f>
        <v>0</v>
      </c>
      <c r="D261" s="137">
        <f>IFERROR(__xludf.DUMMYFUNCTION("""COMPUTED_VALUE"""),0.6666666666642413)</f>
        <v>0.6666666667</v>
      </c>
      <c r="E261" s="82">
        <f>IFERROR(__xludf.DUMMYFUNCTION("""COMPUTED_VALUE"""),0.07986111111677019)</f>
        <v>0.07986111112</v>
      </c>
      <c r="F261" s="137">
        <f>IFERROR(__xludf.DUMMYFUNCTION("""COMPUTED_VALUE"""),0.7465277777810115)</f>
        <v>0.7465277778</v>
      </c>
      <c r="G261" s="82">
        <f>IFERROR(__xludf.DUMMYFUNCTION("""COMPUTED_VALUE"""),0.07986111111677019)</f>
        <v>0.07986111112</v>
      </c>
      <c r="H261" s="74">
        <f>IFERROR(__xludf.DUMMYFUNCTION("""COMPUTED_VALUE"""),101.0)</f>
        <v>101</v>
      </c>
      <c r="I261" s="84">
        <f>IFERROR(__xludf.DUMMYFUNCTION("""COMPUTED_VALUE"""),52.69565217017895)</f>
        <v>52.69565217</v>
      </c>
      <c r="J261" s="74" t="str">
        <f>IFERROR(__xludf.DUMMYFUNCTION("""COMPUTED_VALUE"""),"Dinner")</f>
        <v>Dinner</v>
      </c>
      <c r="K261" s="113">
        <f>IFERROR(__xludf.DUMMYFUNCTION("""COMPUTED_VALUE"""),46122.0)</f>
        <v>46122</v>
      </c>
      <c r="L261" s="74" t="str">
        <f>IFERROR(__xludf.DUMMYFUNCTION("""COMPUTED_VALUE"""),"Friday")</f>
        <v>Friday</v>
      </c>
      <c r="M261" s="74" t="str">
        <f>IFERROR(__xludf.DUMMYFUNCTION("""COMPUTED_VALUE"""),"MF")</f>
        <v>MF</v>
      </c>
      <c r="N261" s="114">
        <f>IFERROR(__xludf.DUMMYFUNCTION("""COMPUTED_VALUE"""),1.1361797296043865)</f>
        <v>1.13617973</v>
      </c>
      <c r="O261" s="74" t="str">
        <f>IFERROR(__xludf.DUMMYFUNCTION("""COMPUTED_VALUE"""),"")</f>
        <v/>
      </c>
      <c r="P261" s="74" t="str">
        <f>IFERROR(__xludf.DUMMYFUNCTION("""COMPUTED_VALUE"""),"")</f>
        <v/>
      </c>
      <c r="Q261" s="82" t="str">
        <f>IFERROR(__xludf.DUMMYFUNCTION("""COMPUTED_VALUE"""),"")</f>
        <v/>
      </c>
      <c r="R261" s="82" t="str">
        <f>IFERROR(__xludf.DUMMYFUNCTION("""COMPUTED_VALUE"""),"")</f>
        <v/>
      </c>
      <c r="S261" s="84" t="str">
        <f>IFERROR(__xludf.DUMMYFUNCTION("""COMPUTED_VALUE"""),"")</f>
        <v/>
      </c>
      <c r="T261" s="84" t="str">
        <f>IFERROR(__xludf.DUMMYFUNCTION("""COMPUTED_VALUE"""),"")</f>
        <v/>
      </c>
      <c r="U261" s="74" t="str">
        <f>IFERROR(__xludf.DUMMYFUNCTION("""COMPUTED_VALUE"""),"")</f>
        <v/>
      </c>
      <c r="V261" s="82" t="str">
        <f>IFERROR(__xludf.DUMMYFUNCTION("""COMPUTED_VALUE"""),"")</f>
        <v/>
      </c>
      <c r="W261" s="64" t="str">
        <f>IFERROR(__xludf.DUMMYFUNCTION("""COMPUTED_VALUE"""),"")</f>
        <v/>
      </c>
      <c r="X261" s="84" t="str">
        <f>IFERROR(__xludf.DUMMYFUNCTION("""COMPUTED_VALUE"""),"")</f>
        <v/>
      </c>
      <c r="Y261" s="114" t="str">
        <f>IFERROR(__xludf.DUMMYFUNCTION("""COMPUTED_VALUE"""),"")</f>
        <v/>
      </c>
    </row>
    <row r="262">
      <c r="A262" s="109">
        <f>IFERROR(__xludf.DUMMYFUNCTION("""COMPUTED_VALUE"""),46122.7889766088)</f>
        <v>46122.78898</v>
      </c>
      <c r="B262" s="81" t="str">
        <f>IFERROR(__xludf.DUMMYFUNCTION("""COMPUTED_VALUE"""),"Orpheus Wilson")</f>
        <v>Orpheus Wilson</v>
      </c>
      <c r="C262" s="74" t="b">
        <f>IFERROR(__xludf.DUMMYFUNCTION("""COMPUTED_VALUE"""),FALSE)</f>
        <v>0</v>
      </c>
      <c r="D262" s="137">
        <f>IFERROR(__xludf.DUMMYFUNCTION("""COMPUTED_VALUE"""),0.7513888888934162)</f>
        <v>0.7513888889</v>
      </c>
      <c r="E262" s="82">
        <f>IFERROR(__xludf.DUMMYFUNCTION("""COMPUTED_VALUE"""),0.03402777777228039)</f>
        <v>0.03402777777</v>
      </c>
      <c r="F262" s="137">
        <f>IFERROR(__xludf.DUMMYFUNCTION("""COMPUTED_VALUE"""),0.7854166666656965)</f>
        <v>0.7854166667</v>
      </c>
      <c r="G262" s="82">
        <f>IFERROR(__xludf.DUMMYFUNCTION("""COMPUTED_VALUE"""),0.070138888884685)</f>
        <v>0.07013888888</v>
      </c>
      <c r="H262" s="74">
        <f>IFERROR(__xludf.DUMMYFUNCTION("""COMPUTED_VALUE"""),59.0)</f>
        <v>59</v>
      </c>
      <c r="I262" s="84">
        <f>IFERROR(__xludf.DUMMYFUNCTION("""COMPUTED_VALUE"""),73.6633663410488)</f>
        <v>73.66336634</v>
      </c>
      <c r="J262" s="74" t="str">
        <f>IFERROR(__xludf.DUMMYFUNCTION("""COMPUTED_VALUE"""),"Dinner")</f>
        <v>Dinner</v>
      </c>
      <c r="K262" s="113">
        <f>IFERROR(__xludf.DUMMYFUNCTION("""COMPUTED_VALUE"""),46122.0)</f>
        <v>46122</v>
      </c>
      <c r="L262" s="74" t="str">
        <f>IFERROR(__xludf.DUMMYFUNCTION("""COMPUTED_VALUE"""),"Friday")</f>
        <v>Friday</v>
      </c>
      <c r="M262" s="74" t="str">
        <f>IFERROR(__xludf.DUMMYFUNCTION("""COMPUTED_VALUE"""),"MF")</f>
        <v>MF</v>
      </c>
      <c r="N262" s="114">
        <f>IFERROR(__xludf.DUMMYFUNCTION("""COMPUTED_VALUE"""),1.58826810570314)</f>
        <v>1.588268106</v>
      </c>
      <c r="O262" s="74" t="str">
        <f>IFERROR(__xludf.DUMMYFUNCTION("""COMPUTED_VALUE"""),"")</f>
        <v/>
      </c>
      <c r="P262" s="74" t="str">
        <f>IFERROR(__xludf.DUMMYFUNCTION("""COMPUTED_VALUE"""),"")</f>
        <v/>
      </c>
      <c r="Q262" s="82" t="str">
        <f>IFERROR(__xludf.DUMMYFUNCTION("""COMPUTED_VALUE"""),"")</f>
        <v/>
      </c>
      <c r="R262" s="82" t="str">
        <f>IFERROR(__xludf.DUMMYFUNCTION("""COMPUTED_VALUE"""),"")</f>
        <v/>
      </c>
      <c r="S262" s="84" t="str">
        <f>IFERROR(__xludf.DUMMYFUNCTION("""COMPUTED_VALUE"""),"")</f>
        <v/>
      </c>
      <c r="T262" s="84" t="str">
        <f>IFERROR(__xludf.DUMMYFUNCTION("""COMPUTED_VALUE"""),"")</f>
        <v/>
      </c>
      <c r="U262" s="74" t="str">
        <f>IFERROR(__xludf.DUMMYFUNCTION("""COMPUTED_VALUE"""),"")</f>
        <v/>
      </c>
      <c r="V262" s="82" t="str">
        <f>IFERROR(__xludf.DUMMYFUNCTION("""COMPUTED_VALUE"""),"")</f>
        <v/>
      </c>
      <c r="W262" s="64" t="str">
        <f>IFERROR(__xludf.DUMMYFUNCTION("""COMPUTED_VALUE"""),"")</f>
        <v/>
      </c>
      <c r="X262" s="84" t="str">
        <f>IFERROR(__xludf.DUMMYFUNCTION("""COMPUTED_VALUE"""),"")</f>
        <v/>
      </c>
      <c r="Y262" s="114" t="str">
        <f>IFERROR(__xludf.DUMMYFUNCTION("""COMPUTED_VALUE"""),"")</f>
        <v/>
      </c>
    </row>
    <row r="263">
      <c r="A263" s="109">
        <f>IFERROR(__xludf.DUMMYFUNCTION("""COMPUTED_VALUE"""),46122.83097618056)</f>
        <v>46122.83098</v>
      </c>
      <c r="B263" s="81" t="str">
        <f>IFERROR(__xludf.DUMMYFUNCTION("""COMPUTED_VALUE"""),"Orpheus Wilson")</f>
        <v>Orpheus Wilson</v>
      </c>
      <c r="C263" s="74" t="b">
        <f>IFERROR(__xludf.DUMMYFUNCTION("""COMPUTED_VALUE"""),TRUE)</f>
        <v>1</v>
      </c>
      <c r="D263" s="137">
        <f>IFERROR(__xludf.DUMMYFUNCTION("""COMPUTED_VALUE"""),0.7909722222248092)</f>
        <v>0.7909722222</v>
      </c>
      <c r="E263" s="82">
        <f>IFERROR(__xludf.DUMMYFUNCTION("""COMPUTED_VALUE"""),0.036111111112404615)</f>
        <v>0.03611111111</v>
      </c>
      <c r="F263" s="137">
        <f>IFERROR(__xludf.DUMMYFUNCTION("""COMPUTED_VALUE"""),0.8270833333372138)</f>
        <v>0.8270833333</v>
      </c>
      <c r="G263" s="82" t="str">
        <f>IFERROR(__xludf.DUMMYFUNCTION("""COMPUTED_VALUE"""),"")</f>
        <v/>
      </c>
      <c r="H263" s="74">
        <f>IFERROR(__xludf.DUMMYFUNCTION("""COMPUTED_VALUE"""),65.0)</f>
        <v>65</v>
      </c>
      <c r="I263" s="84" t="str">
        <f>IFERROR(__xludf.DUMMYFUNCTION("""COMPUTED_VALUE"""),"")</f>
        <v/>
      </c>
      <c r="J263" s="74" t="str">
        <f>IFERROR(__xludf.DUMMYFUNCTION("""COMPUTED_VALUE"""),"Dinner")</f>
        <v>Dinner</v>
      </c>
      <c r="K263" s="113">
        <f>IFERROR(__xludf.DUMMYFUNCTION("""COMPUTED_VALUE"""),46122.0)</f>
        <v>46122</v>
      </c>
      <c r="L263" s="74" t="str">
        <f>IFERROR(__xludf.DUMMYFUNCTION("""COMPUTED_VALUE"""),"Friday")</f>
        <v>Friday</v>
      </c>
      <c r="M263" s="74" t="str">
        <f>IFERROR(__xludf.DUMMYFUNCTION("""COMPUTED_VALUE"""),"MF")</f>
        <v>MF</v>
      </c>
      <c r="N263" s="114" t="str">
        <f>IFERROR(__xludf.DUMMYFUNCTION("""COMPUTED_VALUE"""),"")</f>
        <v/>
      </c>
      <c r="O263" s="74">
        <f>IFERROR(__xludf.DUMMYFUNCTION("""COMPUTED_VALUE"""),407.0)</f>
        <v>407</v>
      </c>
      <c r="P263" s="74">
        <f>IFERROR(__xludf.DUMMYFUNCTION("""COMPUTED_VALUE"""),145.0)</f>
        <v>145</v>
      </c>
      <c r="Q263" s="82">
        <f>IFERROR(__xludf.DUMMYFUNCTION("""COMPUTED_VALUE"""),0.28888888889196096)</f>
        <v>0.2888888889</v>
      </c>
      <c r="R263" s="82">
        <f>IFERROR(__xludf.DUMMYFUNCTION("""COMPUTED_VALUE"""),0.1875)</f>
        <v>0.1875</v>
      </c>
      <c r="S263" s="84">
        <f>IFERROR(__xludf.DUMMYFUNCTION("""COMPUTED_VALUE"""),60.319672836864044)</f>
        <v>60.31967284</v>
      </c>
      <c r="T263" s="84">
        <f>IFERROR(__xludf.DUMMYFUNCTION("""COMPUTED_VALUE"""),35.666666666666664)</f>
        <v>35.66666667</v>
      </c>
      <c r="U263" s="74">
        <f>IFERROR(__xludf.DUMMYFUNCTION("""COMPUTED_VALUE"""),552.0)</f>
        <v>552</v>
      </c>
      <c r="V263" s="82">
        <f>IFERROR(__xludf.DUMMYFUNCTION("""COMPUTED_VALUE"""),0.47638888889196096)</f>
        <v>0.4763888889</v>
      </c>
      <c r="W263" s="64">
        <f>IFERROR(__xludf.DUMMYFUNCTION("""COMPUTED_VALUE"""),48.279883381612855)</f>
        <v>48.27988338</v>
      </c>
      <c r="X263" s="84">
        <f>IFERROR(__xludf.DUMMYFUNCTION("""COMPUTED_VALUE"""),50.458470368785086)</f>
        <v>50.45847037</v>
      </c>
      <c r="Y263" s="114">
        <f>IFERROR(__xludf.DUMMYFUNCTION("""COMPUTED_VALUE"""),0.8728202769382759)</f>
        <v>0.8728202769</v>
      </c>
    </row>
    <row r="264">
      <c r="A264" s="109">
        <f>IFERROR(__xludf.DUMMYFUNCTION("""COMPUTED_VALUE"""),46125.43694049769)</f>
        <v>46125.43694</v>
      </c>
      <c r="B264" s="81" t="str">
        <f>IFERROR(__xludf.DUMMYFUNCTION("""COMPUTED_VALUE"""),"Sophia Kluck")</f>
        <v>Sophia Kluck</v>
      </c>
      <c r="C264" s="74" t="b">
        <f>IFERROR(__xludf.DUMMYFUNCTION("""COMPUTED_VALUE"""),FALSE)</f>
        <v>0</v>
      </c>
      <c r="D264" s="137">
        <f>IFERROR(__xludf.DUMMYFUNCTION("""COMPUTED_VALUE"""),0.3687500000014552)</f>
        <v>0.36875</v>
      </c>
      <c r="E264" s="82">
        <f>IFERROR(__xludf.DUMMYFUNCTION("""COMPUTED_VALUE"""),0.06597222221898846)</f>
        <v>0.06597222222</v>
      </c>
      <c r="F264" s="137">
        <f>IFERROR(__xludf.DUMMYFUNCTION("""COMPUTED_VALUE"""),0.43472222222044365)</f>
        <v>0.4347222222</v>
      </c>
      <c r="G264" s="82">
        <f>IFERROR(__xludf.DUMMYFUNCTION("""COMPUTED_VALUE"""),0.06597222221898846)</f>
        <v>0.06597222222</v>
      </c>
      <c r="H264" s="74">
        <f>IFERROR(__xludf.DUMMYFUNCTION("""COMPUTED_VALUE"""),49.0)</f>
        <v>49</v>
      </c>
      <c r="I264" s="84">
        <f>IFERROR(__xludf.DUMMYFUNCTION("""COMPUTED_VALUE"""),30.94736842256958)</f>
        <v>30.94736842</v>
      </c>
      <c r="J264" s="74" t="str">
        <f>IFERROR(__xludf.DUMMYFUNCTION("""COMPUTED_VALUE"""),"Breakfast")</f>
        <v>Breakfast</v>
      </c>
      <c r="K264" s="113">
        <f>IFERROR(__xludf.DUMMYFUNCTION("""COMPUTED_VALUE"""),46125.0)</f>
        <v>46125</v>
      </c>
      <c r="L264" s="74" t="str">
        <f>IFERROR(__xludf.DUMMYFUNCTION("""COMPUTED_VALUE"""),"Monday")</f>
        <v>Monday</v>
      </c>
      <c r="M264" s="74" t="str">
        <f>IFERROR(__xludf.DUMMYFUNCTION("""COMPUTED_VALUE"""),"BF")</f>
        <v>BF</v>
      </c>
      <c r="N264" s="114">
        <f>IFERROR(__xludf.DUMMYFUNCTION("""COMPUTED_VALUE"""),1.0915929310981498)</f>
        <v>1.091592931</v>
      </c>
      <c r="O264" s="74" t="str">
        <f>IFERROR(__xludf.DUMMYFUNCTION("""COMPUTED_VALUE"""),"")</f>
        <v/>
      </c>
      <c r="P264" s="74" t="str">
        <f>IFERROR(__xludf.DUMMYFUNCTION("""COMPUTED_VALUE"""),"")</f>
        <v/>
      </c>
      <c r="Q264" s="82" t="str">
        <f>IFERROR(__xludf.DUMMYFUNCTION("""COMPUTED_VALUE"""),"")</f>
        <v/>
      </c>
      <c r="R264" s="82" t="str">
        <f>IFERROR(__xludf.DUMMYFUNCTION("""COMPUTED_VALUE"""),"")</f>
        <v/>
      </c>
      <c r="S264" s="84" t="str">
        <f>IFERROR(__xludf.DUMMYFUNCTION("""COMPUTED_VALUE"""),"")</f>
        <v/>
      </c>
      <c r="T264" s="84" t="str">
        <f>IFERROR(__xludf.DUMMYFUNCTION("""COMPUTED_VALUE"""),"")</f>
        <v/>
      </c>
      <c r="U264" s="74" t="str">
        <f>IFERROR(__xludf.DUMMYFUNCTION("""COMPUTED_VALUE"""),"")</f>
        <v/>
      </c>
      <c r="V264" s="82" t="str">
        <f>IFERROR(__xludf.DUMMYFUNCTION("""COMPUTED_VALUE"""),"")</f>
        <v/>
      </c>
      <c r="W264" s="64" t="str">
        <f>IFERROR(__xludf.DUMMYFUNCTION("""COMPUTED_VALUE"""),"")</f>
        <v/>
      </c>
      <c r="X264" s="84" t="str">
        <f>IFERROR(__xludf.DUMMYFUNCTION("""COMPUTED_VALUE"""),"")</f>
        <v/>
      </c>
      <c r="Y264" s="114" t="str">
        <f>IFERROR(__xludf.DUMMYFUNCTION("""COMPUTED_VALUE"""),"")</f>
        <v/>
      </c>
    </row>
    <row r="265">
      <c r="A265" s="109">
        <f>IFERROR(__xludf.DUMMYFUNCTION("""COMPUTED_VALUE"""),46125.6412055324)</f>
        <v>46125.64121</v>
      </c>
      <c r="B265" s="81" t="str">
        <f>IFERROR(__xludf.DUMMYFUNCTION("""COMPUTED_VALUE"""),"Brynn Hornig")</f>
        <v>Brynn Hornig</v>
      </c>
      <c r="C265" s="74" t="b">
        <f>IFERROR(__xludf.DUMMYFUNCTION("""COMPUTED_VALUE"""),FALSE)</f>
        <v>0</v>
      </c>
      <c r="D265" s="137">
        <f>IFERROR(__xludf.DUMMYFUNCTION("""COMPUTED_VALUE"""),0.5208333333357587)</f>
        <v>0.5208333333</v>
      </c>
      <c r="E265" s="82">
        <f>IFERROR(__xludf.DUMMYFUNCTION("""COMPUTED_VALUE"""),0.125)</f>
        <v>0.125</v>
      </c>
      <c r="F265" s="137">
        <f>IFERROR(__xludf.DUMMYFUNCTION("""COMPUTED_VALUE"""),0.6458333333357587)</f>
        <v>0.6458333333</v>
      </c>
      <c r="G265" s="82">
        <f>IFERROR(__xludf.DUMMYFUNCTION("""COMPUTED_VALUE"""),0.125)</f>
        <v>0.125</v>
      </c>
      <c r="H265" s="74">
        <f>IFERROR(__xludf.DUMMYFUNCTION("""COMPUTED_VALUE"""),144.0)</f>
        <v>144</v>
      </c>
      <c r="I265" s="84">
        <f>IFERROR(__xludf.DUMMYFUNCTION("""COMPUTED_VALUE"""),48.0)</f>
        <v>48</v>
      </c>
      <c r="J265" s="74" t="str">
        <f>IFERROR(__xludf.DUMMYFUNCTION("""COMPUTED_VALUE"""),"Lunch")</f>
        <v>Lunch</v>
      </c>
      <c r="K265" s="113">
        <f>IFERROR(__xludf.DUMMYFUNCTION("""COMPUTED_VALUE"""),46125.0)</f>
        <v>46125</v>
      </c>
      <c r="L265" s="74" t="str">
        <f>IFERROR(__xludf.DUMMYFUNCTION("""COMPUTED_VALUE"""),"Monday")</f>
        <v>Monday</v>
      </c>
      <c r="M265" s="74" t="str">
        <f>IFERROR(__xludf.DUMMYFUNCTION("""COMPUTED_VALUE"""),"BF")</f>
        <v>BF</v>
      </c>
      <c r="N265" s="114">
        <f>IFERROR(__xludf.DUMMYFUNCTION("""COMPUTED_VALUE"""),1.6930829134569978)</f>
        <v>1.693082913</v>
      </c>
      <c r="O265" s="74" t="str">
        <f>IFERROR(__xludf.DUMMYFUNCTION("""COMPUTED_VALUE"""),"")</f>
        <v/>
      </c>
      <c r="P265" s="74" t="str">
        <f>IFERROR(__xludf.DUMMYFUNCTION("""COMPUTED_VALUE"""),"")</f>
        <v/>
      </c>
      <c r="Q265" s="82" t="str">
        <f>IFERROR(__xludf.DUMMYFUNCTION("""COMPUTED_VALUE"""),"")</f>
        <v/>
      </c>
      <c r="R265" s="82" t="str">
        <f>IFERROR(__xludf.DUMMYFUNCTION("""COMPUTED_VALUE"""),"")</f>
        <v/>
      </c>
      <c r="S265" s="84" t="str">
        <f>IFERROR(__xludf.DUMMYFUNCTION("""COMPUTED_VALUE"""),"")</f>
        <v/>
      </c>
      <c r="T265" s="84" t="str">
        <f>IFERROR(__xludf.DUMMYFUNCTION("""COMPUTED_VALUE"""),"")</f>
        <v/>
      </c>
      <c r="U265" s="74" t="str">
        <f>IFERROR(__xludf.DUMMYFUNCTION("""COMPUTED_VALUE"""),"")</f>
        <v/>
      </c>
      <c r="V265" s="82" t="str">
        <f>IFERROR(__xludf.DUMMYFUNCTION("""COMPUTED_VALUE"""),"")</f>
        <v/>
      </c>
      <c r="W265" s="64" t="str">
        <f>IFERROR(__xludf.DUMMYFUNCTION("""COMPUTED_VALUE"""),"")</f>
        <v/>
      </c>
      <c r="X265" s="84" t="str">
        <f>IFERROR(__xludf.DUMMYFUNCTION("""COMPUTED_VALUE"""),"")</f>
        <v/>
      </c>
      <c r="Y265" s="114" t="str">
        <f>IFERROR(__xludf.DUMMYFUNCTION("""COMPUTED_VALUE"""),"")</f>
        <v/>
      </c>
    </row>
    <row r="266">
      <c r="A266" s="109">
        <f>IFERROR(__xludf.DUMMYFUNCTION("""COMPUTED_VALUE"""),46125.75994054398)</f>
        <v>46125.75994</v>
      </c>
      <c r="B266" s="81" t="str">
        <f>IFERROR(__xludf.DUMMYFUNCTION("""COMPUTED_VALUE"""),"Orpheus Wilson")</f>
        <v>Orpheus Wilson</v>
      </c>
      <c r="C266" s="74" t="b">
        <f>IFERROR(__xludf.DUMMYFUNCTION("""COMPUTED_VALUE"""),FALSE)</f>
        <v>0</v>
      </c>
      <c r="D266" s="137">
        <f>IFERROR(__xludf.DUMMYFUNCTION("""COMPUTED_VALUE"""),0.6687499999970896)</f>
        <v>0.66875</v>
      </c>
      <c r="E266" s="82">
        <f>IFERROR(__xludf.DUMMYFUNCTION("""COMPUTED_VALUE"""),0.07638888889050577)</f>
        <v>0.07638888889</v>
      </c>
      <c r="F266" s="137">
        <f>IFERROR(__xludf.DUMMYFUNCTION("""COMPUTED_VALUE"""),0.7451388888875954)</f>
        <v>0.7451388889</v>
      </c>
      <c r="G266" s="82">
        <f>IFERROR(__xludf.DUMMYFUNCTION("""COMPUTED_VALUE"""),0.07638888889050577)</f>
        <v>0.07638888889</v>
      </c>
      <c r="H266" s="74">
        <f>IFERROR(__xludf.DUMMYFUNCTION("""COMPUTED_VALUE"""),110.0)</f>
        <v>110</v>
      </c>
      <c r="I266" s="84">
        <f>IFERROR(__xludf.DUMMYFUNCTION("""COMPUTED_VALUE"""),59.99999999873001)</f>
        <v>60</v>
      </c>
      <c r="J266" s="74" t="str">
        <f>IFERROR(__xludf.DUMMYFUNCTION("""COMPUTED_VALUE"""),"Dinner")</f>
        <v>Dinner</v>
      </c>
      <c r="K266" s="113">
        <f>IFERROR(__xludf.DUMMYFUNCTION("""COMPUTED_VALUE"""),46125.0)</f>
        <v>46125</v>
      </c>
      <c r="L266" s="74" t="str">
        <f>IFERROR(__xludf.DUMMYFUNCTION("""COMPUTED_VALUE"""),"Monday")</f>
        <v>Monday</v>
      </c>
      <c r="M266" s="74" t="str">
        <f>IFERROR(__xludf.DUMMYFUNCTION("""COMPUTED_VALUE"""),"MF")</f>
        <v>MF</v>
      </c>
      <c r="N266" s="114">
        <f>IFERROR(__xludf.DUMMYFUNCTION("""COMPUTED_VALUE"""),1.293669989217798)</f>
        <v>1.293669989</v>
      </c>
      <c r="O266" s="74" t="str">
        <f>IFERROR(__xludf.DUMMYFUNCTION("""COMPUTED_VALUE"""),"")</f>
        <v/>
      </c>
      <c r="P266" s="74" t="str">
        <f>IFERROR(__xludf.DUMMYFUNCTION("""COMPUTED_VALUE"""),"")</f>
        <v/>
      </c>
      <c r="Q266" s="82" t="str">
        <f>IFERROR(__xludf.DUMMYFUNCTION("""COMPUTED_VALUE"""),"")</f>
        <v/>
      </c>
      <c r="R266" s="82" t="str">
        <f>IFERROR(__xludf.DUMMYFUNCTION("""COMPUTED_VALUE"""),"")</f>
        <v/>
      </c>
      <c r="S266" s="84" t="str">
        <f>IFERROR(__xludf.DUMMYFUNCTION("""COMPUTED_VALUE"""),"")</f>
        <v/>
      </c>
      <c r="T266" s="84" t="str">
        <f>IFERROR(__xludf.DUMMYFUNCTION("""COMPUTED_VALUE"""),"")</f>
        <v/>
      </c>
      <c r="U266" s="74" t="str">
        <f>IFERROR(__xludf.DUMMYFUNCTION("""COMPUTED_VALUE"""),"")</f>
        <v/>
      </c>
      <c r="V266" s="82" t="str">
        <f>IFERROR(__xludf.DUMMYFUNCTION("""COMPUTED_VALUE"""),"")</f>
        <v/>
      </c>
      <c r="W266" s="64" t="str">
        <f>IFERROR(__xludf.DUMMYFUNCTION("""COMPUTED_VALUE"""),"")</f>
        <v/>
      </c>
      <c r="X266" s="84" t="str">
        <f>IFERROR(__xludf.DUMMYFUNCTION("""COMPUTED_VALUE"""),"")</f>
        <v/>
      </c>
      <c r="Y266" s="114" t="str">
        <f>IFERROR(__xludf.DUMMYFUNCTION("""COMPUTED_VALUE"""),"")</f>
        <v/>
      </c>
    </row>
    <row r="267">
      <c r="A267" s="109">
        <f>IFERROR(__xludf.DUMMYFUNCTION("""COMPUTED_VALUE"""),46125.866670358795)</f>
        <v>46125.86667</v>
      </c>
      <c r="B267" s="81" t="str">
        <f>IFERROR(__xludf.DUMMYFUNCTION("""COMPUTED_VALUE"""),"Maureen Surgot")</f>
        <v>Maureen Surgot</v>
      </c>
      <c r="C267" s="74" t="b">
        <f>IFERROR(__xludf.DUMMYFUNCTION("""COMPUTED_VALUE"""),FALSE)</f>
        <v>0</v>
      </c>
      <c r="D267" s="137">
        <f>IFERROR(__xludf.DUMMYFUNCTION("""COMPUTED_VALUE"""),0.75)</f>
        <v>0.75</v>
      </c>
      <c r="E267" s="82">
        <f>IFERROR(__xludf.DUMMYFUNCTION("""COMPUTED_VALUE"""),0.125)</f>
        <v>0.125</v>
      </c>
      <c r="F267" s="137">
        <f>IFERROR(__xludf.DUMMYFUNCTION("""COMPUTED_VALUE"""),0.875)</f>
        <v>0.875</v>
      </c>
      <c r="G267" s="82">
        <f>IFERROR(__xludf.DUMMYFUNCTION("""COMPUTED_VALUE"""),0.125)</f>
        <v>0.125</v>
      </c>
      <c r="H267" s="74">
        <f>IFERROR(__xludf.DUMMYFUNCTION("""COMPUTED_VALUE"""),164.0)</f>
        <v>164</v>
      </c>
      <c r="I267" s="84">
        <f>IFERROR(__xludf.DUMMYFUNCTION("""COMPUTED_VALUE"""),54.666666666666664)</f>
        <v>54.66666667</v>
      </c>
      <c r="J267" s="74" t="str">
        <f>IFERROR(__xludf.DUMMYFUNCTION("""COMPUTED_VALUE"""),"Dinner")</f>
        <v>Dinner</v>
      </c>
      <c r="K267" s="113">
        <f>IFERROR(__xludf.DUMMYFUNCTION("""COMPUTED_VALUE"""),46125.0)</f>
        <v>46125</v>
      </c>
      <c r="L267" s="74" t="str">
        <f>IFERROR(__xludf.DUMMYFUNCTION("""COMPUTED_VALUE"""),"Monday")</f>
        <v>Monday</v>
      </c>
      <c r="M267" s="74" t="str">
        <f>IFERROR(__xludf.DUMMYFUNCTION("""COMPUTED_VALUE"""),"MF")</f>
        <v>MF</v>
      </c>
      <c r="N267" s="114">
        <f>IFERROR(__xludf.DUMMYFUNCTION("""COMPUTED_VALUE"""),1.1786771013122757)</f>
        <v>1.178677101</v>
      </c>
      <c r="O267" s="74">
        <f>IFERROR(__xludf.DUMMYFUNCTION("""COMPUTED_VALUE"""),274.0)</f>
        <v>274</v>
      </c>
      <c r="P267" s="74">
        <f>IFERROR(__xludf.DUMMYFUNCTION("""COMPUTED_VALUE"""),193.0)</f>
        <v>193</v>
      </c>
      <c r="Q267" s="82">
        <f>IFERROR(__xludf.DUMMYFUNCTION("""COMPUTED_VALUE"""),0.20138888889050577)</f>
        <v>0.2013888889</v>
      </c>
      <c r="R267" s="82">
        <f>IFERROR(__xludf.DUMMYFUNCTION("""COMPUTED_VALUE"""),0.19097222221898846)</f>
        <v>0.1909722222</v>
      </c>
      <c r="S267" s="84">
        <f>IFERROR(__xludf.DUMMYFUNCTION("""COMPUTED_VALUE"""),57.33333333269834)</f>
        <v>57.33333333</v>
      </c>
      <c r="T267" s="84">
        <f>IFERROR(__xludf.DUMMYFUNCTION("""COMPUTED_VALUE"""),39.47368421128479)</f>
        <v>39.47368421</v>
      </c>
      <c r="U267" s="74">
        <f>IFERROR(__xludf.DUMMYFUNCTION("""COMPUTED_VALUE"""),467.0)</f>
        <v>467</v>
      </c>
      <c r="V267" s="82">
        <f>IFERROR(__xludf.DUMMYFUNCTION("""COMPUTED_VALUE"""),0.39236111110949423)</f>
        <v>0.3923611111</v>
      </c>
      <c r="W267" s="64">
        <f>IFERROR(__xludf.DUMMYFUNCTION("""COMPUTED_VALUE"""),49.59292035418667)</f>
        <v>49.59292035</v>
      </c>
      <c r="X267" s="84">
        <f>IFERROR(__xludf.DUMMYFUNCTION("""COMPUTED_VALUE"""),48.40350877199156)</f>
        <v>48.40350877</v>
      </c>
      <c r="Y267" s="114">
        <f>IFERROR(__xludf.DUMMYFUNCTION("""COMPUTED_VALUE"""),0.9848259308347553)</f>
        <v>0.9848259308</v>
      </c>
    </row>
    <row r="268">
      <c r="A268" s="109">
        <f>IFERROR(__xludf.DUMMYFUNCTION("""COMPUTED_VALUE"""),46126.513314861106)</f>
        <v>46126.51331</v>
      </c>
      <c r="B268" s="81" t="str">
        <f>IFERROR(__xludf.DUMMYFUNCTION("""COMPUTED_VALUE"""),"Kaylie Forgue")</f>
        <v>Kaylie Forgue</v>
      </c>
      <c r="C268" s="74" t="b">
        <f>IFERROR(__xludf.DUMMYFUNCTION("""COMPUTED_VALUE"""),FALSE)</f>
        <v>0</v>
      </c>
      <c r="D268" s="137">
        <f>IFERROR(__xludf.DUMMYFUNCTION("""COMPUTED_VALUE"""),0.4444444444452529)</f>
        <v>0.4444444444</v>
      </c>
      <c r="E268" s="82">
        <f>IFERROR(__xludf.DUMMYFUNCTION("""COMPUTED_VALUE"""),0.05625000000145519)</f>
        <v>0.05625</v>
      </c>
      <c r="F268" s="137">
        <f>IFERROR(__xludf.DUMMYFUNCTION("""COMPUTED_VALUE"""),0.5006944444467081)</f>
        <v>0.5006944444</v>
      </c>
      <c r="G268" s="82">
        <f>IFERROR(__xludf.DUMMYFUNCTION("""COMPUTED_VALUE"""),0.07569444444379769)</f>
        <v>0.07569444444</v>
      </c>
      <c r="H268" s="74">
        <f>IFERROR(__xludf.DUMMYFUNCTION("""COMPUTED_VALUE"""),133.0)</f>
        <v>133</v>
      </c>
      <c r="I268" s="84">
        <f>IFERROR(__xludf.DUMMYFUNCTION("""COMPUTED_VALUE"""),86.9724770649633)</f>
        <v>86.97247706</v>
      </c>
      <c r="J268" s="74" t="str">
        <f>IFERROR(__xludf.DUMMYFUNCTION("""COMPUTED_VALUE"""),"Breakfast/Lunch")</f>
        <v>Breakfast/Lunch</v>
      </c>
      <c r="K268" s="113">
        <f>IFERROR(__xludf.DUMMYFUNCTION("""COMPUTED_VALUE"""),46126.0)</f>
        <v>46126</v>
      </c>
      <c r="L268" s="74" t="str">
        <f>IFERROR(__xludf.DUMMYFUNCTION("""COMPUTED_VALUE"""),"Tuesday")</f>
        <v>Tuesday</v>
      </c>
      <c r="M268" s="74" t="str">
        <f>IFERROR(__xludf.DUMMYFUNCTION("""COMPUTED_VALUE"""),"BF")</f>
        <v>BF</v>
      </c>
      <c r="N268" s="114">
        <f>IFERROR(__xludf.DUMMYFUNCTION("""COMPUTED_VALUE"""),2.6835072010514702)</f>
        <v>2.683507201</v>
      </c>
      <c r="O268" s="74" t="str">
        <f>IFERROR(__xludf.DUMMYFUNCTION("""COMPUTED_VALUE"""),"")</f>
        <v/>
      </c>
      <c r="P268" s="74" t="str">
        <f>IFERROR(__xludf.DUMMYFUNCTION("""COMPUTED_VALUE"""),"")</f>
        <v/>
      </c>
      <c r="Q268" s="82" t="str">
        <f>IFERROR(__xludf.DUMMYFUNCTION("""COMPUTED_VALUE"""),"")</f>
        <v/>
      </c>
      <c r="R268" s="82" t="str">
        <f>IFERROR(__xludf.DUMMYFUNCTION("""COMPUTED_VALUE"""),"")</f>
        <v/>
      </c>
      <c r="S268" s="84" t="str">
        <f>IFERROR(__xludf.DUMMYFUNCTION("""COMPUTED_VALUE"""),"")</f>
        <v/>
      </c>
      <c r="T268" s="84" t="str">
        <f>IFERROR(__xludf.DUMMYFUNCTION("""COMPUTED_VALUE"""),"")</f>
        <v/>
      </c>
      <c r="U268" s="74" t="str">
        <f>IFERROR(__xludf.DUMMYFUNCTION("""COMPUTED_VALUE"""),"")</f>
        <v/>
      </c>
      <c r="V268" s="82" t="str">
        <f>IFERROR(__xludf.DUMMYFUNCTION("""COMPUTED_VALUE"""),"")</f>
        <v/>
      </c>
      <c r="W268" s="64" t="str">
        <f>IFERROR(__xludf.DUMMYFUNCTION("""COMPUTED_VALUE"""),"")</f>
        <v/>
      </c>
      <c r="X268" s="84" t="str">
        <f>IFERROR(__xludf.DUMMYFUNCTION("""COMPUTED_VALUE"""),"")</f>
        <v/>
      </c>
      <c r="Y268" s="114" t="str">
        <f>IFERROR(__xludf.DUMMYFUNCTION("""COMPUTED_VALUE"""),"")</f>
        <v/>
      </c>
    </row>
    <row r="269">
      <c r="A269" s="109">
        <f>IFERROR(__xludf.DUMMYFUNCTION("""COMPUTED_VALUE"""),46126.60215520833)</f>
        <v>46126.60216</v>
      </c>
      <c r="B269" s="81" t="str">
        <f>IFERROR(__xludf.DUMMYFUNCTION("""COMPUTED_VALUE"""),"Kaylie Forgue")</f>
        <v>Kaylie Forgue</v>
      </c>
      <c r="C269" s="74" t="b">
        <f>IFERROR(__xludf.DUMMYFUNCTION("""COMPUTED_VALUE"""),TRUE)</f>
        <v>1</v>
      </c>
      <c r="D269" s="137">
        <f>IFERROR(__xludf.DUMMYFUNCTION("""COMPUTED_VALUE"""),0.5020833333328483)</f>
        <v>0.5020833333</v>
      </c>
      <c r="E269" s="82">
        <f>IFERROR(__xludf.DUMMYFUNCTION("""COMPUTED_VALUE"""),0.0194444444423425)</f>
        <v>0.01944444444</v>
      </c>
      <c r="F269" s="137">
        <f>IFERROR(__xludf.DUMMYFUNCTION("""COMPUTED_VALUE"""),0.5215277777751908)</f>
        <v>0.5215277778</v>
      </c>
      <c r="G269" s="82" t="str">
        <f>IFERROR(__xludf.DUMMYFUNCTION("""COMPUTED_VALUE"""),"")</f>
        <v/>
      </c>
      <c r="H269" s="74">
        <f>IFERROR(__xludf.DUMMYFUNCTION("""COMPUTED_VALUE"""),25.0)</f>
        <v>25</v>
      </c>
      <c r="I269" s="84" t="str">
        <f>IFERROR(__xludf.DUMMYFUNCTION("""COMPUTED_VALUE"""),"")</f>
        <v/>
      </c>
      <c r="J269" s="74" t="str">
        <f>IFERROR(__xludf.DUMMYFUNCTION("""COMPUTED_VALUE"""),"Lunch")</f>
        <v>Lunch</v>
      </c>
      <c r="K269" s="113">
        <f>IFERROR(__xludf.DUMMYFUNCTION("""COMPUTED_VALUE"""),46126.0)</f>
        <v>46126</v>
      </c>
      <c r="L269" s="74" t="str">
        <f>IFERROR(__xludf.DUMMYFUNCTION("""COMPUTED_VALUE"""),"Tuesday")</f>
        <v>Tuesday</v>
      </c>
      <c r="M269" s="74" t="str">
        <f>IFERROR(__xludf.DUMMYFUNCTION("""COMPUTED_VALUE"""),"BF")</f>
        <v>BF</v>
      </c>
      <c r="N269" s="114" t="str">
        <f>IFERROR(__xludf.DUMMYFUNCTION("""COMPUTED_VALUE"""),"")</f>
        <v/>
      </c>
      <c r="O269" s="74" t="str">
        <f>IFERROR(__xludf.DUMMYFUNCTION("""COMPUTED_VALUE"""),"")</f>
        <v/>
      </c>
      <c r="P269" s="74" t="str">
        <f>IFERROR(__xludf.DUMMYFUNCTION("""COMPUTED_VALUE"""),"")</f>
        <v/>
      </c>
      <c r="Q269" s="82" t="str">
        <f>IFERROR(__xludf.DUMMYFUNCTION("""COMPUTED_VALUE"""),"")</f>
        <v/>
      </c>
      <c r="R269" s="82" t="str">
        <f>IFERROR(__xludf.DUMMYFUNCTION("""COMPUTED_VALUE"""),"")</f>
        <v/>
      </c>
      <c r="S269" s="84" t="str">
        <f>IFERROR(__xludf.DUMMYFUNCTION("""COMPUTED_VALUE"""),"")</f>
        <v/>
      </c>
      <c r="T269" s="84" t="str">
        <f>IFERROR(__xludf.DUMMYFUNCTION("""COMPUTED_VALUE"""),"")</f>
        <v/>
      </c>
      <c r="U269" s="74" t="str">
        <f>IFERROR(__xludf.DUMMYFUNCTION("""COMPUTED_VALUE"""),"")</f>
        <v/>
      </c>
      <c r="V269" s="82" t="str">
        <f>IFERROR(__xludf.DUMMYFUNCTION("""COMPUTED_VALUE"""),"")</f>
        <v/>
      </c>
      <c r="W269" s="64" t="str">
        <f>IFERROR(__xludf.DUMMYFUNCTION("""COMPUTED_VALUE"""),"")</f>
        <v/>
      </c>
      <c r="X269" s="84" t="str">
        <f>IFERROR(__xludf.DUMMYFUNCTION("""COMPUTED_VALUE"""),"")</f>
        <v/>
      </c>
      <c r="Y269" s="114" t="str">
        <f>IFERROR(__xludf.DUMMYFUNCTION("""COMPUTED_VALUE"""),"")</f>
        <v/>
      </c>
    </row>
    <row r="270">
      <c r="A270" s="109">
        <f>IFERROR(__xludf.DUMMYFUNCTION("""COMPUTED_VALUE"""),46126.85281292824)</f>
        <v>46126.85281</v>
      </c>
      <c r="B270" s="81" t="str">
        <f>IFERROR(__xludf.DUMMYFUNCTION("""COMPUTED_VALUE"""),"Leah Bucci")</f>
        <v>Leah Bucci</v>
      </c>
      <c r="C270" s="74" t="b">
        <f>IFERROR(__xludf.DUMMYFUNCTION("""COMPUTED_VALUE"""),FALSE)</f>
        <v>0</v>
      </c>
      <c r="D270" s="137">
        <f>IFERROR(__xludf.DUMMYFUNCTION("""COMPUTED_VALUE"""),0.6875)</f>
        <v>0.6875</v>
      </c>
      <c r="E270" s="82">
        <f>IFERROR(__xludf.DUMMYFUNCTION("""COMPUTED_VALUE"""),0.15972222221898846)</f>
        <v>0.1597222222</v>
      </c>
      <c r="F270" s="137">
        <f>IFERROR(__xludf.DUMMYFUNCTION("""COMPUTED_VALUE"""),0.8472222222189885)</f>
        <v>0.8472222222</v>
      </c>
      <c r="G270" s="82">
        <f>IFERROR(__xludf.DUMMYFUNCTION("""COMPUTED_VALUE"""),0.15972222221898846)</f>
        <v>0.1597222222</v>
      </c>
      <c r="H270" s="74">
        <f>IFERROR(__xludf.DUMMYFUNCTION("""COMPUTED_VALUE"""),128.0)</f>
        <v>128</v>
      </c>
      <c r="I270" s="84">
        <f>IFERROR(__xludf.DUMMYFUNCTION("""COMPUTED_VALUE"""),33.39130434850213)</f>
        <v>33.39130435</v>
      </c>
      <c r="J270" s="74" t="str">
        <f>IFERROR(__xludf.DUMMYFUNCTION("""COMPUTED_VALUE"""),"Dinner")</f>
        <v>Dinner</v>
      </c>
      <c r="K270" s="113">
        <f>IFERROR(__xludf.DUMMYFUNCTION("""COMPUTED_VALUE"""),46126.0)</f>
        <v>46126</v>
      </c>
      <c r="L270" s="74" t="str">
        <f>IFERROR(__xludf.DUMMYFUNCTION("""COMPUTED_VALUE"""),"Tuesday")</f>
        <v>Tuesday</v>
      </c>
      <c r="M270" s="74" t="str">
        <f>IFERROR(__xludf.DUMMYFUNCTION("""COMPUTED_VALUE"""),"BF")</f>
        <v>BF</v>
      </c>
      <c r="N270" s="114">
        <f>IFERROR(__xludf.DUMMYFUNCTION("""COMPUTED_VALUE"""),0.7515178472187795)</f>
        <v>0.7515178472</v>
      </c>
      <c r="O270" s="74" t="str">
        <f>IFERROR(__xludf.DUMMYFUNCTION("""COMPUTED_VALUE"""),"")</f>
        <v/>
      </c>
      <c r="P270" s="74" t="str">
        <f>IFERROR(__xludf.DUMMYFUNCTION("""COMPUTED_VALUE"""),"")</f>
        <v/>
      </c>
      <c r="Q270" s="82" t="str">
        <f>IFERROR(__xludf.DUMMYFUNCTION("""COMPUTED_VALUE"""),"")</f>
        <v/>
      </c>
      <c r="R270" s="82" t="str">
        <f>IFERROR(__xludf.DUMMYFUNCTION("""COMPUTED_VALUE"""),"")</f>
        <v/>
      </c>
      <c r="S270" s="84" t="str">
        <f>IFERROR(__xludf.DUMMYFUNCTION("""COMPUTED_VALUE"""),"")</f>
        <v/>
      </c>
      <c r="T270" s="84" t="str">
        <f>IFERROR(__xludf.DUMMYFUNCTION("""COMPUTED_VALUE"""),"")</f>
        <v/>
      </c>
      <c r="U270" s="74" t="str">
        <f>IFERROR(__xludf.DUMMYFUNCTION("""COMPUTED_VALUE"""),"")</f>
        <v/>
      </c>
      <c r="V270" s="82" t="str">
        <f>IFERROR(__xludf.DUMMYFUNCTION("""COMPUTED_VALUE"""),"")</f>
        <v/>
      </c>
      <c r="W270" s="64" t="str">
        <f>IFERROR(__xludf.DUMMYFUNCTION("""COMPUTED_VALUE"""),"")</f>
        <v/>
      </c>
      <c r="X270" s="84" t="str">
        <f>IFERROR(__xludf.DUMMYFUNCTION("""COMPUTED_VALUE"""),"")</f>
        <v/>
      </c>
      <c r="Y270" s="114" t="str">
        <f>IFERROR(__xludf.DUMMYFUNCTION("""COMPUTED_VALUE"""),"")</f>
        <v/>
      </c>
    </row>
    <row r="271">
      <c r="A271" s="109">
        <f>IFERROR(__xludf.DUMMYFUNCTION("""COMPUTED_VALUE"""),46126.86870979167)</f>
        <v>46126.86871</v>
      </c>
      <c r="B271" s="81" t="str">
        <f>IFERROR(__xludf.DUMMYFUNCTION("""COMPUTED_VALUE"""),"Laila Maisuria")</f>
        <v>Laila Maisuria</v>
      </c>
      <c r="C271" s="74" t="b">
        <f>IFERROR(__xludf.DUMMYFUNCTION("""COMPUTED_VALUE"""),FALSE)</f>
        <v>0</v>
      </c>
      <c r="D271" s="137">
        <f>IFERROR(__xludf.DUMMYFUNCTION("""COMPUTED_VALUE"""),0.7527777777795563)</f>
        <v>0.7527777778</v>
      </c>
      <c r="E271" s="82">
        <f>IFERROR(__xludf.DUMMYFUNCTION("""COMPUTED_VALUE"""),0.11527777777519077)</f>
        <v>0.1152777778</v>
      </c>
      <c r="F271" s="137">
        <f>IFERROR(__xludf.DUMMYFUNCTION("""COMPUTED_VALUE"""),0.8680555555547471)</f>
        <v>0.8680555556</v>
      </c>
      <c r="G271" s="82">
        <f>IFERROR(__xludf.DUMMYFUNCTION("""COMPUTED_VALUE"""),0.11527777777519077)</f>
        <v>0.1152777778</v>
      </c>
      <c r="H271" s="74">
        <f>IFERROR(__xludf.DUMMYFUNCTION("""COMPUTED_VALUE"""),116.0)</f>
        <v>116</v>
      </c>
      <c r="I271" s="84">
        <f>IFERROR(__xludf.DUMMYFUNCTION("""COMPUTED_VALUE"""),41.92771084431441)</f>
        <v>41.92771084</v>
      </c>
      <c r="J271" s="74" t="str">
        <f>IFERROR(__xludf.DUMMYFUNCTION("""COMPUTED_VALUE"""),"Dinner")</f>
        <v>Dinner</v>
      </c>
      <c r="K271" s="113">
        <f>IFERROR(__xludf.DUMMYFUNCTION("""COMPUTED_VALUE"""),46126.0)</f>
        <v>46126</v>
      </c>
      <c r="L271" s="74" t="str">
        <f>IFERROR(__xludf.DUMMYFUNCTION("""COMPUTED_VALUE"""),"Tuesday")</f>
        <v>Tuesday</v>
      </c>
      <c r="M271" s="74" t="str">
        <f>IFERROR(__xludf.DUMMYFUNCTION("""COMPUTED_VALUE"""),"MF")</f>
        <v>MF</v>
      </c>
      <c r="N271" s="114">
        <f>IFERROR(__xludf.DUMMYFUNCTION("""COMPUTED_VALUE"""),0.9040103539506544)</f>
        <v>0.904010354</v>
      </c>
      <c r="O271" s="74">
        <f>IFERROR(__xludf.DUMMYFUNCTION("""COMPUTED_VALUE"""),116.0)</f>
        <v>116</v>
      </c>
      <c r="P271" s="74">
        <f>IFERROR(__xludf.DUMMYFUNCTION("""COMPUTED_VALUE"""),286.0)</f>
        <v>286</v>
      </c>
      <c r="Q271" s="82">
        <f>IFERROR(__xludf.DUMMYFUNCTION("""COMPUTED_VALUE"""),0.11527777777519077)</f>
        <v>0.1152777778</v>
      </c>
      <c r="R271" s="82">
        <f>IFERROR(__xludf.DUMMYFUNCTION("""COMPUTED_VALUE"""),0.23541666666278616)</f>
        <v>0.2354166667</v>
      </c>
      <c r="S271" s="84">
        <f>IFERROR(__xludf.DUMMYFUNCTION("""COMPUTED_VALUE"""),41.92771084431441)</f>
        <v>41.92771084</v>
      </c>
      <c r="T271" s="84">
        <f>IFERROR(__xludf.DUMMYFUNCTION("""COMPUTED_VALUE"""),60.181890706732716)</f>
        <v>60.18189071</v>
      </c>
      <c r="U271" s="74">
        <f>IFERROR(__xludf.DUMMYFUNCTION("""COMPUTED_VALUE"""),402.0)</f>
        <v>402</v>
      </c>
      <c r="V271" s="82">
        <f>IFERROR(__xludf.DUMMYFUNCTION("""COMPUTED_VALUE"""),0.3506944444379769)</f>
        <v>0.3506944444</v>
      </c>
      <c r="W271" s="64">
        <f>IFERROR(__xludf.DUMMYFUNCTION("""COMPUTED_VALUE"""),47.7623762385046)</f>
        <v>47.76237624</v>
      </c>
      <c r="X271" s="84">
        <f>IFERROR(__xludf.DUMMYFUNCTION("""COMPUTED_VALUE"""),54.097164085926615)</f>
        <v>54.09716409</v>
      </c>
      <c r="Y271" s="114">
        <f>IFERROR(__xludf.DUMMYFUNCTION("""COMPUTED_VALUE"""),0.7093357227727943)</f>
        <v>0.7093357228</v>
      </c>
    </row>
    <row r="272">
      <c r="A272" s="109">
        <f>IFERROR(__xludf.DUMMYFUNCTION("""COMPUTED_VALUE"""),46127.40096619213)</f>
        <v>46127.40097</v>
      </c>
      <c r="B272" s="81" t="str">
        <f>IFERROR(__xludf.DUMMYFUNCTION("""COMPUTED_VALUE"""),"Kaylie Forgue")</f>
        <v>Kaylie Forgue</v>
      </c>
      <c r="C272" s="74" t="b">
        <f>IFERROR(__xludf.DUMMYFUNCTION("""COMPUTED_VALUE"""),FALSE)</f>
        <v>0</v>
      </c>
      <c r="D272" s="137">
        <f>IFERROR(__xludf.DUMMYFUNCTION("""COMPUTED_VALUE"""),0.31388888889341615)</f>
        <v>0.3138888889</v>
      </c>
      <c r="E272" s="82">
        <f>IFERROR(__xludf.DUMMYFUNCTION("""COMPUTED_VALUE"""),0.0819444444423425)</f>
        <v>0.08194444444</v>
      </c>
      <c r="F272" s="137">
        <f>IFERROR(__xludf.DUMMYFUNCTION("""COMPUTED_VALUE"""),0.39583333333575865)</f>
        <v>0.3958333333</v>
      </c>
      <c r="G272" s="82">
        <f>IFERROR(__xludf.DUMMYFUNCTION("""COMPUTED_VALUE"""),0.0819444444423425)</f>
        <v>0.08194444444</v>
      </c>
      <c r="H272" s="74">
        <f>IFERROR(__xludf.DUMMYFUNCTION("""COMPUTED_VALUE"""),69.0)</f>
        <v>69</v>
      </c>
      <c r="I272" s="84">
        <f>IFERROR(__xludf.DUMMYFUNCTION("""COMPUTED_VALUE"""),35.08474576361182)</f>
        <v>35.08474576</v>
      </c>
      <c r="J272" s="74" t="str">
        <f>IFERROR(__xludf.DUMMYFUNCTION("""COMPUTED_VALUE"""),"Breakfast")</f>
        <v>Breakfast</v>
      </c>
      <c r="K272" s="113">
        <f>IFERROR(__xludf.DUMMYFUNCTION("""COMPUTED_VALUE"""),46127.0)</f>
        <v>46127</v>
      </c>
      <c r="L272" s="74" t="str">
        <f>IFERROR(__xludf.DUMMYFUNCTION("""COMPUTED_VALUE"""),"Wednesday")</f>
        <v>Wednesday</v>
      </c>
      <c r="M272" s="74" t="str">
        <f>IFERROR(__xludf.DUMMYFUNCTION("""COMPUTED_VALUE"""),"BF")</f>
        <v>BF</v>
      </c>
      <c r="N272" s="114">
        <f>IFERROR(__xludf.DUMMYFUNCTION("""COMPUTED_VALUE"""),1.2375288244865408)</f>
        <v>1.237528824</v>
      </c>
      <c r="O272" s="74" t="str">
        <f>IFERROR(__xludf.DUMMYFUNCTION("""COMPUTED_VALUE"""),"")</f>
        <v/>
      </c>
      <c r="P272" s="74" t="str">
        <f>IFERROR(__xludf.DUMMYFUNCTION("""COMPUTED_VALUE"""),"")</f>
        <v/>
      </c>
      <c r="Q272" s="82" t="str">
        <f>IFERROR(__xludf.DUMMYFUNCTION("""COMPUTED_VALUE"""),"")</f>
        <v/>
      </c>
      <c r="R272" s="82" t="str">
        <f>IFERROR(__xludf.DUMMYFUNCTION("""COMPUTED_VALUE"""),"")</f>
        <v/>
      </c>
      <c r="S272" s="84" t="str">
        <f>IFERROR(__xludf.DUMMYFUNCTION("""COMPUTED_VALUE"""),"")</f>
        <v/>
      </c>
      <c r="T272" s="84" t="str">
        <f>IFERROR(__xludf.DUMMYFUNCTION("""COMPUTED_VALUE"""),"")</f>
        <v/>
      </c>
      <c r="U272" s="74" t="str">
        <f>IFERROR(__xludf.DUMMYFUNCTION("""COMPUTED_VALUE"""),"")</f>
        <v/>
      </c>
      <c r="V272" s="82" t="str">
        <f>IFERROR(__xludf.DUMMYFUNCTION("""COMPUTED_VALUE"""),"")</f>
        <v/>
      </c>
      <c r="W272" s="64" t="str">
        <f>IFERROR(__xludf.DUMMYFUNCTION("""COMPUTED_VALUE"""),"")</f>
        <v/>
      </c>
      <c r="X272" s="84" t="str">
        <f>IFERROR(__xludf.DUMMYFUNCTION("""COMPUTED_VALUE"""),"")</f>
        <v/>
      </c>
      <c r="Y272" s="114" t="str">
        <f>IFERROR(__xludf.DUMMYFUNCTION("""COMPUTED_VALUE"""),"")</f>
        <v/>
      </c>
    </row>
    <row r="273">
      <c r="A273" s="109">
        <f>IFERROR(__xludf.DUMMYFUNCTION("""COMPUTED_VALUE"""),46127.48048266204)</f>
        <v>46127.48048</v>
      </c>
      <c r="B273" s="81" t="str">
        <f>IFERROR(__xludf.DUMMYFUNCTION("""COMPUTED_VALUE"""),"Oluwatimilehin Shodipe")</f>
        <v>Oluwatimilehin Shodipe</v>
      </c>
      <c r="C273" s="74" t="b">
        <f>IFERROR(__xludf.DUMMYFUNCTION("""COMPUTED_VALUE"""),FALSE)</f>
        <v>0</v>
      </c>
      <c r="D273" s="137">
        <f>IFERROR(__xludf.DUMMYFUNCTION("""COMPUTED_VALUE"""),0.43402777778101154)</f>
        <v>0.4340277778</v>
      </c>
      <c r="E273" s="82">
        <f>IFERROR(__xludf.DUMMYFUNCTION("""COMPUTED_VALUE"""),0.04513888888322981)</f>
        <v>0.04513888888</v>
      </c>
      <c r="F273" s="137">
        <f>IFERROR(__xludf.DUMMYFUNCTION("""COMPUTED_VALUE"""),0.47916666666424135)</f>
        <v>0.4791666667</v>
      </c>
      <c r="G273" s="82">
        <f>IFERROR(__xludf.DUMMYFUNCTION("""COMPUTED_VALUE"""),0.04513888888322981)</f>
        <v>0.04513888888</v>
      </c>
      <c r="H273" s="74">
        <f>IFERROR(__xludf.DUMMYFUNCTION("""COMPUTED_VALUE"""),59.0)</f>
        <v>59</v>
      </c>
      <c r="I273" s="84">
        <f>IFERROR(__xludf.DUMMYFUNCTION("""COMPUTED_VALUE"""),54.46153846836632)</f>
        <v>54.46153847</v>
      </c>
      <c r="J273" s="74" t="str">
        <f>IFERROR(__xludf.DUMMYFUNCTION("""COMPUTED_VALUE"""),"Breakfast/Lunch")</f>
        <v>Breakfast/Lunch</v>
      </c>
      <c r="K273" s="113">
        <f>IFERROR(__xludf.DUMMYFUNCTION("""COMPUTED_VALUE"""),46127.0)</f>
        <v>46127</v>
      </c>
      <c r="L273" s="74" t="str">
        <f>IFERROR(__xludf.DUMMYFUNCTION("""COMPUTED_VALUE"""),"Wednesday")</f>
        <v>Wednesday</v>
      </c>
      <c r="M273" s="74" t="str">
        <f>IFERROR(__xludf.DUMMYFUNCTION("""COMPUTED_VALUE"""),"BF")</f>
        <v>BF</v>
      </c>
      <c r="N273" s="114">
        <f>IFERROR(__xludf.DUMMYFUNCTION("""COMPUTED_VALUE"""),1.4638953651808606)</f>
        <v>1.463895365</v>
      </c>
      <c r="O273" s="74" t="str">
        <f>IFERROR(__xludf.DUMMYFUNCTION("""COMPUTED_VALUE"""),"")</f>
        <v/>
      </c>
      <c r="P273" s="74" t="str">
        <f>IFERROR(__xludf.DUMMYFUNCTION("""COMPUTED_VALUE"""),"")</f>
        <v/>
      </c>
      <c r="Q273" s="82" t="str">
        <f>IFERROR(__xludf.DUMMYFUNCTION("""COMPUTED_VALUE"""),"")</f>
        <v/>
      </c>
      <c r="R273" s="82" t="str">
        <f>IFERROR(__xludf.DUMMYFUNCTION("""COMPUTED_VALUE"""),"")</f>
        <v/>
      </c>
      <c r="S273" s="84" t="str">
        <f>IFERROR(__xludf.DUMMYFUNCTION("""COMPUTED_VALUE"""),"")</f>
        <v/>
      </c>
      <c r="T273" s="84" t="str">
        <f>IFERROR(__xludf.DUMMYFUNCTION("""COMPUTED_VALUE"""),"")</f>
        <v/>
      </c>
      <c r="U273" s="74" t="str">
        <f>IFERROR(__xludf.DUMMYFUNCTION("""COMPUTED_VALUE"""),"")</f>
        <v/>
      </c>
      <c r="V273" s="82" t="str">
        <f>IFERROR(__xludf.DUMMYFUNCTION("""COMPUTED_VALUE"""),"")</f>
        <v/>
      </c>
      <c r="W273" s="64" t="str">
        <f>IFERROR(__xludf.DUMMYFUNCTION("""COMPUTED_VALUE"""),"")</f>
        <v/>
      </c>
      <c r="X273" s="84" t="str">
        <f>IFERROR(__xludf.DUMMYFUNCTION("""COMPUTED_VALUE"""),"")</f>
        <v/>
      </c>
      <c r="Y273" s="114" t="str">
        <f>IFERROR(__xludf.DUMMYFUNCTION("""COMPUTED_VALUE"""),"")</f>
        <v/>
      </c>
    </row>
    <row r="274">
      <c r="A274" s="109">
        <f>IFERROR(__xludf.DUMMYFUNCTION("""COMPUTED_VALUE"""),46127.510647187504)</f>
        <v>46127.51065</v>
      </c>
      <c r="B274" s="81" t="str">
        <f>IFERROR(__xludf.DUMMYFUNCTION("""COMPUTED_VALUE"""),"Oluwatimilehin Shodipe")</f>
        <v>Oluwatimilehin Shodipe</v>
      </c>
      <c r="C274" s="74" t="b">
        <f>IFERROR(__xludf.DUMMYFUNCTION("""COMPUTED_VALUE"""),FALSE)</f>
        <v>0</v>
      </c>
      <c r="D274" s="137">
        <f>IFERROR(__xludf.DUMMYFUNCTION("""COMPUTED_VALUE"""),0.48611111110949423)</f>
        <v>0.4861111111</v>
      </c>
      <c r="E274" s="82">
        <f>IFERROR(__xludf.DUMMYFUNCTION("""COMPUTED_VALUE"""),0.024305555554747116)</f>
        <v>0.02430555555</v>
      </c>
      <c r="F274" s="137">
        <f>IFERROR(__xludf.DUMMYFUNCTION("""COMPUTED_VALUE"""),0.5104166666642413)</f>
        <v>0.5104166667</v>
      </c>
      <c r="G274" s="82">
        <f>IFERROR(__xludf.DUMMYFUNCTION("""COMPUTED_VALUE"""),0.024305555554747116)</f>
        <v>0.02430555555</v>
      </c>
      <c r="H274" s="74">
        <f>IFERROR(__xludf.DUMMYFUNCTION("""COMPUTED_VALUE"""),27.0)</f>
        <v>27</v>
      </c>
      <c r="I274" s="84">
        <f>IFERROR(__xludf.DUMMYFUNCTION("""COMPUTED_VALUE"""),46.28571428725382)</f>
        <v>46.28571429</v>
      </c>
      <c r="J274" s="74" t="str">
        <f>IFERROR(__xludf.DUMMYFUNCTION("""COMPUTED_VALUE"""),"Lunch")</f>
        <v>Lunch</v>
      </c>
      <c r="K274" s="113">
        <f>IFERROR(__xludf.DUMMYFUNCTION("""COMPUTED_VALUE"""),46127.0)</f>
        <v>46127</v>
      </c>
      <c r="L274" s="74" t="str">
        <f>IFERROR(__xludf.DUMMYFUNCTION("""COMPUTED_VALUE"""),"Wednesday")</f>
        <v>Wednesday</v>
      </c>
      <c r="M274" s="74" t="str">
        <f>IFERROR(__xludf.DUMMYFUNCTION("""COMPUTED_VALUE"""),"MF")</f>
        <v>MF</v>
      </c>
      <c r="N274" s="114">
        <f>IFERROR(__xludf.DUMMYFUNCTION("""COMPUTED_VALUE"""),0.9206050318057181)</f>
        <v>0.9206050318</v>
      </c>
      <c r="O274" s="74" t="str">
        <f>IFERROR(__xludf.DUMMYFUNCTION("""COMPUTED_VALUE"""),"")</f>
        <v/>
      </c>
      <c r="P274" s="74" t="str">
        <f>IFERROR(__xludf.DUMMYFUNCTION("""COMPUTED_VALUE"""),"")</f>
        <v/>
      </c>
      <c r="Q274" s="82" t="str">
        <f>IFERROR(__xludf.DUMMYFUNCTION("""COMPUTED_VALUE"""),"")</f>
        <v/>
      </c>
      <c r="R274" s="82" t="str">
        <f>IFERROR(__xludf.DUMMYFUNCTION("""COMPUTED_VALUE"""),"")</f>
        <v/>
      </c>
      <c r="S274" s="84" t="str">
        <f>IFERROR(__xludf.DUMMYFUNCTION("""COMPUTED_VALUE"""),"")</f>
        <v/>
      </c>
      <c r="T274" s="84" t="str">
        <f>IFERROR(__xludf.DUMMYFUNCTION("""COMPUTED_VALUE"""),"")</f>
        <v/>
      </c>
      <c r="U274" s="74" t="str">
        <f>IFERROR(__xludf.DUMMYFUNCTION("""COMPUTED_VALUE"""),"")</f>
        <v/>
      </c>
      <c r="V274" s="82" t="str">
        <f>IFERROR(__xludf.DUMMYFUNCTION("""COMPUTED_VALUE"""),"")</f>
        <v/>
      </c>
      <c r="W274" s="64" t="str">
        <f>IFERROR(__xludf.DUMMYFUNCTION("""COMPUTED_VALUE"""),"")</f>
        <v/>
      </c>
      <c r="X274" s="84" t="str">
        <f>IFERROR(__xludf.DUMMYFUNCTION("""COMPUTED_VALUE"""),"")</f>
        <v/>
      </c>
      <c r="Y274" s="114" t="str">
        <f>IFERROR(__xludf.DUMMYFUNCTION("""COMPUTED_VALUE"""),"")</f>
        <v/>
      </c>
    </row>
    <row r="275">
      <c r="A275" s="109">
        <f>IFERROR(__xludf.DUMMYFUNCTION("""COMPUTED_VALUE"""),46127.623428182866)</f>
        <v>46127.62343</v>
      </c>
      <c r="B275" s="81" t="str">
        <f>IFERROR(__xludf.DUMMYFUNCTION("""COMPUTED_VALUE"""),"Brynn Hornig")</f>
        <v>Brynn Hornig</v>
      </c>
      <c r="C275" s="74" t="b">
        <f>IFERROR(__xludf.DUMMYFUNCTION("""COMPUTED_VALUE"""),FALSE)</f>
        <v>0</v>
      </c>
      <c r="D275" s="137">
        <f>IFERROR(__xludf.DUMMYFUNCTION("""COMPUTED_VALUE"""),0.5416666666642413)</f>
        <v>0.5416666667</v>
      </c>
      <c r="E275" s="82">
        <f>IFERROR(__xludf.DUMMYFUNCTION("""COMPUTED_VALUE"""),0.08333333333575865)</f>
        <v>0.08333333334</v>
      </c>
      <c r="F275" s="137">
        <f>IFERROR(__xludf.DUMMYFUNCTION("""COMPUTED_VALUE"""),0.625)</f>
        <v>0.625</v>
      </c>
      <c r="G275" s="82">
        <f>IFERROR(__xludf.DUMMYFUNCTION("""COMPUTED_VALUE"""),0.08333333333575865)</f>
        <v>0.08333333334</v>
      </c>
      <c r="H275" s="74">
        <f>IFERROR(__xludf.DUMMYFUNCTION("""COMPUTED_VALUE"""),84.0)</f>
        <v>84</v>
      </c>
      <c r="I275" s="84">
        <f>IFERROR(__xludf.DUMMYFUNCTION("""COMPUTED_VALUE"""),41.99999999877764)</f>
        <v>42</v>
      </c>
      <c r="J275" s="74" t="str">
        <f>IFERROR(__xludf.DUMMYFUNCTION("""COMPUTED_VALUE"""),"Lunch")</f>
        <v>Lunch</v>
      </c>
      <c r="K275" s="113">
        <f>IFERROR(__xludf.DUMMYFUNCTION("""COMPUTED_VALUE"""),46127.0)</f>
        <v>46127</v>
      </c>
      <c r="L275" s="74" t="str">
        <f>IFERROR(__xludf.DUMMYFUNCTION("""COMPUTED_VALUE"""),"Wednesday")</f>
        <v>Wednesday</v>
      </c>
      <c r="M275" s="74" t="str">
        <f>IFERROR(__xludf.DUMMYFUNCTION("""COMPUTED_VALUE"""),"MF")</f>
        <v>MF</v>
      </c>
      <c r="N275" s="114">
        <f>IFERROR(__xludf.DUMMYFUNCTION("""COMPUTED_VALUE"""),0.8353638251049428)</f>
        <v>0.8353638251</v>
      </c>
      <c r="O275" s="74" t="str">
        <f>IFERROR(__xludf.DUMMYFUNCTION("""COMPUTED_VALUE"""),"")</f>
        <v/>
      </c>
      <c r="P275" s="74" t="str">
        <f>IFERROR(__xludf.DUMMYFUNCTION("""COMPUTED_VALUE"""),"")</f>
        <v/>
      </c>
      <c r="Q275" s="82" t="str">
        <f>IFERROR(__xludf.DUMMYFUNCTION("""COMPUTED_VALUE"""),"")</f>
        <v/>
      </c>
      <c r="R275" s="82" t="str">
        <f>IFERROR(__xludf.DUMMYFUNCTION("""COMPUTED_VALUE"""),"")</f>
        <v/>
      </c>
      <c r="S275" s="84" t="str">
        <f>IFERROR(__xludf.DUMMYFUNCTION("""COMPUTED_VALUE"""),"")</f>
        <v/>
      </c>
      <c r="T275" s="84" t="str">
        <f>IFERROR(__xludf.DUMMYFUNCTION("""COMPUTED_VALUE"""),"")</f>
        <v/>
      </c>
      <c r="U275" s="74" t="str">
        <f>IFERROR(__xludf.DUMMYFUNCTION("""COMPUTED_VALUE"""),"")</f>
        <v/>
      </c>
      <c r="V275" s="82" t="str">
        <f>IFERROR(__xludf.DUMMYFUNCTION("""COMPUTED_VALUE"""),"")</f>
        <v/>
      </c>
      <c r="W275" s="64" t="str">
        <f>IFERROR(__xludf.DUMMYFUNCTION("""COMPUTED_VALUE"""),"")</f>
        <v/>
      </c>
      <c r="X275" s="84" t="str">
        <f>IFERROR(__xludf.DUMMYFUNCTION("""COMPUTED_VALUE"""),"")</f>
        <v/>
      </c>
      <c r="Y275" s="114" t="str">
        <f>IFERROR(__xludf.DUMMYFUNCTION("""COMPUTED_VALUE"""),"")</f>
        <v/>
      </c>
    </row>
    <row r="276">
      <c r="A276" s="109">
        <f>IFERROR(__xludf.DUMMYFUNCTION("""COMPUTED_VALUE"""),46127.848144386575)</f>
        <v>46127.84814</v>
      </c>
      <c r="B276" s="81" t="str">
        <f>IFERROR(__xludf.DUMMYFUNCTION("""COMPUTED_VALUE"""),"Maureen Surgot")</f>
        <v>Maureen Surgot</v>
      </c>
      <c r="C276" s="74" t="b">
        <f>IFERROR(__xludf.DUMMYFUNCTION("""COMPUTED_VALUE"""),FALSE)</f>
        <v>0</v>
      </c>
      <c r="D276" s="137">
        <f>IFERROR(__xludf.DUMMYFUNCTION("""COMPUTED_VALUE"""),0.6875)</f>
        <v>0.6875</v>
      </c>
      <c r="E276" s="82">
        <f>IFERROR(__xludf.DUMMYFUNCTION("""COMPUTED_VALUE"""),0.16666666666424135)</f>
        <v>0.1666666667</v>
      </c>
      <c r="F276" s="137">
        <f>IFERROR(__xludf.DUMMYFUNCTION("""COMPUTED_VALUE"""),0.8541666666642413)</f>
        <v>0.8541666667</v>
      </c>
      <c r="G276" s="82">
        <f>IFERROR(__xludf.DUMMYFUNCTION("""COMPUTED_VALUE"""),0.16666666666424135)</f>
        <v>0.1666666667</v>
      </c>
      <c r="H276" s="74">
        <f>IFERROR(__xludf.DUMMYFUNCTION("""COMPUTED_VALUE"""),156.0)</f>
        <v>156</v>
      </c>
      <c r="I276" s="84">
        <f>IFERROR(__xludf.DUMMYFUNCTION("""COMPUTED_VALUE"""),39.000000000567525)</f>
        <v>39</v>
      </c>
      <c r="J276" s="74" t="str">
        <f>IFERROR(__xludf.DUMMYFUNCTION("""COMPUTED_VALUE"""),"Dinner")</f>
        <v>Dinner</v>
      </c>
      <c r="K276" s="113">
        <f>IFERROR(__xludf.DUMMYFUNCTION("""COMPUTED_VALUE"""),46127.0)</f>
        <v>46127</v>
      </c>
      <c r="L276" s="74" t="str">
        <f>IFERROR(__xludf.DUMMYFUNCTION("""COMPUTED_VALUE"""),"Wednesday")</f>
        <v>Wednesday</v>
      </c>
      <c r="M276" s="74" t="str">
        <f>IFERROR(__xludf.DUMMYFUNCTION("""COMPUTED_VALUE"""),"BF")</f>
        <v>BF</v>
      </c>
      <c r="N276" s="114">
        <f>IFERROR(__xludf.DUMMYFUNCTION("""COMPUTED_VALUE"""),0.8777493606138107)</f>
        <v>0.8777493606</v>
      </c>
      <c r="O276" s="74" t="str">
        <f>IFERROR(__xludf.DUMMYFUNCTION("""COMPUTED_VALUE"""),"")</f>
        <v/>
      </c>
      <c r="P276" s="74" t="str">
        <f>IFERROR(__xludf.DUMMYFUNCTION("""COMPUTED_VALUE"""),"")</f>
        <v/>
      </c>
      <c r="Q276" s="82" t="str">
        <f>IFERROR(__xludf.DUMMYFUNCTION("""COMPUTED_VALUE"""),"")</f>
        <v/>
      </c>
      <c r="R276" s="82" t="str">
        <f>IFERROR(__xludf.DUMMYFUNCTION("""COMPUTED_VALUE"""),"")</f>
        <v/>
      </c>
      <c r="S276" s="84" t="str">
        <f>IFERROR(__xludf.DUMMYFUNCTION("""COMPUTED_VALUE"""),"")</f>
        <v/>
      </c>
      <c r="T276" s="84" t="str">
        <f>IFERROR(__xludf.DUMMYFUNCTION("""COMPUTED_VALUE"""),"")</f>
        <v/>
      </c>
      <c r="U276" s="74" t="str">
        <f>IFERROR(__xludf.DUMMYFUNCTION("""COMPUTED_VALUE"""),"")</f>
        <v/>
      </c>
      <c r="V276" s="82" t="str">
        <f>IFERROR(__xludf.DUMMYFUNCTION("""COMPUTED_VALUE"""),"")</f>
        <v/>
      </c>
      <c r="W276" s="64" t="str">
        <f>IFERROR(__xludf.DUMMYFUNCTION("""COMPUTED_VALUE"""),"")</f>
        <v/>
      </c>
      <c r="X276" s="84" t="str">
        <f>IFERROR(__xludf.DUMMYFUNCTION("""COMPUTED_VALUE"""),"")</f>
        <v/>
      </c>
      <c r="Y276" s="114" t="str">
        <f>IFERROR(__xludf.DUMMYFUNCTION("""COMPUTED_VALUE"""),"")</f>
        <v/>
      </c>
    </row>
    <row r="277">
      <c r="A277" s="109">
        <f>IFERROR(__xludf.DUMMYFUNCTION("""COMPUTED_VALUE"""),46127.87145489584)</f>
        <v>46127.87145</v>
      </c>
      <c r="B277" s="81" t="str">
        <f>IFERROR(__xludf.DUMMYFUNCTION("""COMPUTED_VALUE"""),"Brynn Hornig")</f>
        <v>Brynn Hornig</v>
      </c>
      <c r="C277" s="74" t="b">
        <f>IFERROR(__xludf.DUMMYFUNCTION("""COMPUTED_VALUE"""),FALSE)</f>
        <v>0</v>
      </c>
      <c r="D277" s="137">
        <f>IFERROR(__xludf.DUMMYFUNCTION("""COMPUTED_VALUE"""),0.75)</f>
        <v>0.75</v>
      </c>
      <c r="E277" s="82">
        <f>IFERROR(__xludf.DUMMYFUNCTION("""COMPUTED_VALUE"""),0.125)</f>
        <v>0.125</v>
      </c>
      <c r="F277" s="137">
        <f>IFERROR(__xludf.DUMMYFUNCTION("""COMPUTED_VALUE"""),0.875)</f>
        <v>0.875</v>
      </c>
      <c r="G277" s="82">
        <f>IFERROR(__xludf.DUMMYFUNCTION("""COMPUTED_VALUE"""),0.125)</f>
        <v>0.125</v>
      </c>
      <c r="H277" s="74">
        <f>IFERROR(__xludf.DUMMYFUNCTION("""COMPUTED_VALUE"""),100.0)</f>
        <v>100</v>
      </c>
      <c r="I277" s="84">
        <f>IFERROR(__xludf.DUMMYFUNCTION("""COMPUTED_VALUE"""),33.333333333333336)</f>
        <v>33.33333333</v>
      </c>
      <c r="J277" s="74" t="str">
        <f>IFERROR(__xludf.DUMMYFUNCTION("""COMPUTED_VALUE"""),"Dinner")</f>
        <v>Dinner</v>
      </c>
      <c r="K277" s="113">
        <f>IFERROR(__xludf.DUMMYFUNCTION("""COMPUTED_VALUE"""),46127.0)</f>
        <v>46127</v>
      </c>
      <c r="L277" s="74" t="str">
        <f>IFERROR(__xludf.DUMMYFUNCTION("""COMPUTED_VALUE"""),"Wednesday")</f>
        <v>Wednesday</v>
      </c>
      <c r="M277" s="74" t="str">
        <f>IFERROR(__xludf.DUMMYFUNCTION("""COMPUTED_VALUE"""),"MF")</f>
        <v>MF</v>
      </c>
      <c r="N277" s="114">
        <f>IFERROR(__xludf.DUMMYFUNCTION("""COMPUTED_VALUE"""),0.7187055495806559)</f>
        <v>0.7187055496</v>
      </c>
      <c r="O277" s="74">
        <f>IFERROR(__xludf.DUMMYFUNCTION("""COMPUTED_VALUE"""),211.0)</f>
        <v>211</v>
      </c>
      <c r="P277" s="74">
        <f>IFERROR(__xludf.DUMMYFUNCTION("""COMPUTED_VALUE"""),284.0)</f>
        <v>284</v>
      </c>
      <c r="Q277" s="82">
        <f>IFERROR(__xludf.DUMMYFUNCTION("""COMPUTED_VALUE"""),0.23263888889050577)</f>
        <v>0.2326388889</v>
      </c>
      <c r="R277" s="82">
        <f>IFERROR(__xludf.DUMMYFUNCTION("""COMPUTED_VALUE"""),0.29374999998981366)</f>
        <v>0.29375</v>
      </c>
      <c r="S277" s="84">
        <f>IFERROR(__xludf.DUMMYFUNCTION("""COMPUTED_VALUE"""),40.53968253978827)</f>
        <v>40.53968254</v>
      </c>
      <c r="T277" s="84">
        <f>IFERROR(__xludf.DUMMYFUNCTION("""COMPUTED_VALUE"""),42.84876141084856)</f>
        <v>42.84876141</v>
      </c>
      <c r="U277" s="74">
        <f>IFERROR(__xludf.DUMMYFUNCTION("""COMPUTED_VALUE"""),495.0)</f>
        <v>495</v>
      </c>
      <c r="V277" s="82">
        <f>IFERROR(__xludf.DUMMYFUNCTION("""COMPUTED_VALUE"""),0.5263888888803194)</f>
        <v>0.5263888889</v>
      </c>
      <c r="W277" s="64">
        <f>IFERROR(__xludf.DUMMYFUNCTION("""COMPUTED_VALUE"""),39.182058048131275)</f>
        <v>39.18205805</v>
      </c>
      <c r="X277" s="84">
        <f>IFERROR(__xludf.DUMMYFUNCTION("""COMPUTED_VALUE"""),41.69422197531841)</f>
        <v>41.69422198</v>
      </c>
      <c r="Y277" s="114">
        <f>IFERROR(__xludf.DUMMYFUNCTION("""COMPUTED_VALUE"""),0.839695727384525)</f>
        <v>0.8396957274</v>
      </c>
    </row>
    <row r="278">
      <c r="A278" s="109">
        <f>IFERROR(__xludf.DUMMYFUNCTION("""COMPUTED_VALUE"""),46128.362814039356)</f>
        <v>46128.36281</v>
      </c>
      <c r="B278" s="81" t="str">
        <f>IFERROR(__xludf.DUMMYFUNCTION("""COMPUTED_VALUE"""),"Evan Morgan")</f>
        <v>Evan Morgan</v>
      </c>
      <c r="C278" s="74" t="b">
        <f>IFERROR(__xludf.DUMMYFUNCTION("""COMPUTED_VALUE"""),FALSE)</f>
        <v>0</v>
      </c>
      <c r="D278" s="137">
        <f>IFERROR(__xludf.DUMMYFUNCTION("""COMPUTED_VALUE"""),0.29166666666424135)</f>
        <v>0.2916666667</v>
      </c>
      <c r="E278" s="82">
        <f>IFERROR(__xludf.DUMMYFUNCTION("""COMPUTED_VALUE"""),0.07083333333866904)</f>
        <v>0.07083333334</v>
      </c>
      <c r="F278" s="137">
        <f>IFERROR(__xludf.DUMMYFUNCTION("""COMPUTED_VALUE"""),0.3625000000029104)</f>
        <v>0.3625</v>
      </c>
      <c r="G278" s="82">
        <f>IFERROR(__xludf.DUMMYFUNCTION("""COMPUTED_VALUE"""),0.07083333333866904)</f>
        <v>0.07083333334</v>
      </c>
      <c r="H278" s="74">
        <f>IFERROR(__xludf.DUMMYFUNCTION("""COMPUTED_VALUE"""),18.0)</f>
        <v>18</v>
      </c>
      <c r="I278" s="84">
        <f>IFERROR(__xludf.DUMMYFUNCTION("""COMPUTED_VALUE"""),10.58823529332006)</f>
        <v>10.58823529</v>
      </c>
      <c r="J278" s="74" t="str">
        <f>IFERROR(__xludf.DUMMYFUNCTION("""COMPUTED_VALUE"""),"Breakfast")</f>
        <v>Breakfast</v>
      </c>
      <c r="K278" s="113">
        <f>IFERROR(__xludf.DUMMYFUNCTION("""COMPUTED_VALUE"""),46128.0)</f>
        <v>46128</v>
      </c>
      <c r="L278" s="74" t="str">
        <f>IFERROR(__xludf.DUMMYFUNCTION("""COMPUTED_VALUE"""),"Thursday")</f>
        <v>Thursday</v>
      </c>
      <c r="M278" s="74" t="str">
        <f>IFERROR(__xludf.DUMMYFUNCTION("""COMPUTED_VALUE"""),"BF")</f>
        <v>BF</v>
      </c>
      <c r="N278" s="114">
        <f>IFERROR(__xludf.DUMMYFUNCTION("""COMPUTED_VALUE"""),0.3734741720579695)</f>
        <v>0.3734741721</v>
      </c>
      <c r="O278" s="74" t="str">
        <f>IFERROR(__xludf.DUMMYFUNCTION("""COMPUTED_VALUE"""),"")</f>
        <v/>
      </c>
      <c r="P278" s="74" t="str">
        <f>IFERROR(__xludf.DUMMYFUNCTION("""COMPUTED_VALUE"""),"")</f>
        <v/>
      </c>
      <c r="Q278" s="82" t="str">
        <f>IFERROR(__xludf.DUMMYFUNCTION("""COMPUTED_VALUE"""),"")</f>
        <v/>
      </c>
      <c r="R278" s="82" t="str">
        <f>IFERROR(__xludf.DUMMYFUNCTION("""COMPUTED_VALUE"""),"")</f>
        <v/>
      </c>
      <c r="S278" s="84" t="str">
        <f>IFERROR(__xludf.DUMMYFUNCTION("""COMPUTED_VALUE"""),"")</f>
        <v/>
      </c>
      <c r="T278" s="84" t="str">
        <f>IFERROR(__xludf.DUMMYFUNCTION("""COMPUTED_VALUE"""),"")</f>
        <v/>
      </c>
      <c r="U278" s="74" t="str">
        <f>IFERROR(__xludf.DUMMYFUNCTION("""COMPUTED_VALUE"""),"")</f>
        <v/>
      </c>
      <c r="V278" s="82" t="str">
        <f>IFERROR(__xludf.DUMMYFUNCTION("""COMPUTED_VALUE"""),"")</f>
        <v/>
      </c>
      <c r="W278" s="64" t="str">
        <f>IFERROR(__xludf.DUMMYFUNCTION("""COMPUTED_VALUE"""),"")</f>
        <v/>
      </c>
      <c r="X278" s="84" t="str">
        <f>IFERROR(__xludf.DUMMYFUNCTION("""COMPUTED_VALUE"""),"")</f>
        <v/>
      </c>
      <c r="Y278" s="114" t="str">
        <f>IFERROR(__xludf.DUMMYFUNCTION("""COMPUTED_VALUE"""),"")</f>
        <v/>
      </c>
    </row>
    <row r="279">
      <c r="A279" s="109">
        <f>IFERROR(__xludf.DUMMYFUNCTION("""COMPUTED_VALUE"""),46128.40876547454)</f>
        <v>46128.40877</v>
      </c>
      <c r="B279" s="81" t="str">
        <f>IFERROR(__xludf.DUMMYFUNCTION("""COMPUTED_VALUE"""),"Sophia Kluck")</f>
        <v>Sophia Kluck</v>
      </c>
      <c r="C279" s="74" t="b">
        <f>IFERROR(__xludf.DUMMYFUNCTION("""COMPUTED_VALUE"""),FALSE)</f>
        <v>0</v>
      </c>
      <c r="D279" s="137">
        <f>IFERROR(__xludf.DUMMYFUNCTION("""COMPUTED_VALUE"""),0.3687500000014552)</f>
        <v>0.36875</v>
      </c>
      <c r="E279" s="82">
        <f>IFERROR(__xludf.DUMMYFUNCTION("""COMPUTED_VALUE"""),0.03749999999854481)</f>
        <v>0.0375</v>
      </c>
      <c r="F279" s="137">
        <f>IFERROR(__xludf.DUMMYFUNCTION("""COMPUTED_VALUE"""),0.40625)</f>
        <v>0.40625</v>
      </c>
      <c r="G279" s="82">
        <f>IFERROR(__xludf.DUMMYFUNCTION("""COMPUTED_VALUE"""),0.03749999999854481)</f>
        <v>0.0375</v>
      </c>
      <c r="H279" s="74">
        <f>IFERROR(__xludf.DUMMYFUNCTION("""COMPUTED_VALUE"""),32.0)</f>
        <v>32</v>
      </c>
      <c r="I279" s="84">
        <f>IFERROR(__xludf.DUMMYFUNCTION("""COMPUTED_VALUE"""),35.555555556935296)</f>
        <v>35.55555556</v>
      </c>
      <c r="J279" s="74" t="str">
        <f>IFERROR(__xludf.DUMMYFUNCTION("""COMPUTED_VALUE"""),"Breakfast")</f>
        <v>Breakfast</v>
      </c>
      <c r="K279" s="113">
        <f>IFERROR(__xludf.DUMMYFUNCTION("""COMPUTED_VALUE"""),46128.0)</f>
        <v>46128</v>
      </c>
      <c r="L279" s="74" t="str">
        <f>IFERROR(__xludf.DUMMYFUNCTION("""COMPUTED_VALUE"""),"Thursday")</f>
        <v>Thursday</v>
      </c>
      <c r="M279" s="74" t="str">
        <f>IFERROR(__xludf.DUMMYFUNCTION("""COMPUTED_VALUE"""),"BF")</f>
        <v>BF</v>
      </c>
      <c r="N279" s="114">
        <f>IFERROR(__xludf.DUMMYFUNCTION("""COMPUTED_VALUE"""),1.254135491498295)</f>
        <v>1.254135491</v>
      </c>
      <c r="O279" s="74" t="str">
        <f>IFERROR(__xludf.DUMMYFUNCTION("""COMPUTED_VALUE"""),"")</f>
        <v/>
      </c>
      <c r="P279" s="74" t="str">
        <f>IFERROR(__xludf.DUMMYFUNCTION("""COMPUTED_VALUE"""),"")</f>
        <v/>
      </c>
      <c r="Q279" s="82" t="str">
        <f>IFERROR(__xludf.DUMMYFUNCTION("""COMPUTED_VALUE"""),"")</f>
        <v/>
      </c>
      <c r="R279" s="82" t="str">
        <f>IFERROR(__xludf.DUMMYFUNCTION("""COMPUTED_VALUE"""),"")</f>
        <v/>
      </c>
      <c r="S279" s="84" t="str">
        <f>IFERROR(__xludf.DUMMYFUNCTION("""COMPUTED_VALUE"""),"")</f>
        <v/>
      </c>
      <c r="T279" s="84" t="str">
        <f>IFERROR(__xludf.DUMMYFUNCTION("""COMPUTED_VALUE"""),"")</f>
        <v/>
      </c>
      <c r="U279" s="74" t="str">
        <f>IFERROR(__xludf.DUMMYFUNCTION("""COMPUTED_VALUE"""),"")</f>
        <v/>
      </c>
      <c r="V279" s="82" t="str">
        <f>IFERROR(__xludf.DUMMYFUNCTION("""COMPUTED_VALUE"""),"")</f>
        <v/>
      </c>
      <c r="W279" s="64" t="str">
        <f>IFERROR(__xludf.DUMMYFUNCTION("""COMPUTED_VALUE"""),"")</f>
        <v/>
      </c>
      <c r="X279" s="84" t="str">
        <f>IFERROR(__xludf.DUMMYFUNCTION("""COMPUTED_VALUE"""),"")</f>
        <v/>
      </c>
      <c r="Y279" s="114" t="str">
        <f>IFERROR(__xludf.DUMMYFUNCTION("""COMPUTED_VALUE"""),"")</f>
        <v/>
      </c>
    </row>
    <row r="280">
      <c r="A280" s="109">
        <f>IFERROR(__xludf.DUMMYFUNCTION("""COMPUTED_VALUE"""),46128.52912063657)</f>
        <v>46128.52912</v>
      </c>
      <c r="B280" s="81" t="str">
        <f>IFERROR(__xludf.DUMMYFUNCTION("""COMPUTED_VALUE"""),"Emmett Khan")</f>
        <v>Emmett Khan</v>
      </c>
      <c r="C280" s="74" t="b">
        <f>IFERROR(__xludf.DUMMYFUNCTION("""COMPUTED_VALUE"""),FALSE)</f>
        <v>0</v>
      </c>
      <c r="D280" s="137">
        <f>IFERROR(__xludf.DUMMYFUNCTION("""COMPUTED_VALUE"""),0.47916666666424135)</f>
        <v>0.4791666667</v>
      </c>
      <c r="E280" s="82">
        <f>IFERROR(__xludf.DUMMYFUNCTION("""COMPUTED_VALUE"""),0.05208333333575865)</f>
        <v>0.05208333334</v>
      </c>
      <c r="F280" s="137">
        <f>IFERROR(__xludf.DUMMYFUNCTION("""COMPUTED_VALUE"""),0.53125)</f>
        <v>0.53125</v>
      </c>
      <c r="G280" s="82">
        <f>IFERROR(__xludf.DUMMYFUNCTION("""COMPUTED_VALUE"""),0.05208333333575865)</f>
        <v>0.05208333334</v>
      </c>
      <c r="H280" s="74">
        <f>IFERROR(__xludf.DUMMYFUNCTION("""COMPUTED_VALUE"""),109.0)</f>
        <v>109</v>
      </c>
      <c r="I280" s="84">
        <f>IFERROR(__xludf.DUMMYFUNCTION("""COMPUTED_VALUE"""),87.19999999593944)</f>
        <v>87.2</v>
      </c>
      <c r="J280" s="74" t="str">
        <f>IFERROR(__xludf.DUMMYFUNCTION("""COMPUTED_VALUE"""),"Lunch")</f>
        <v>Lunch</v>
      </c>
      <c r="K280" s="113">
        <f>IFERROR(__xludf.DUMMYFUNCTION("""COMPUTED_VALUE"""),46128.0)</f>
        <v>46128</v>
      </c>
      <c r="L280" s="74" t="str">
        <f>IFERROR(__xludf.DUMMYFUNCTION("""COMPUTED_VALUE"""),"Thursday")</f>
        <v>Thursday</v>
      </c>
      <c r="M280" s="74" t="str">
        <f>IFERROR(__xludf.DUMMYFUNCTION("""COMPUTED_VALUE"""),"MF")</f>
        <v>MF</v>
      </c>
      <c r="N280" s="114">
        <f>IFERROR(__xludf.DUMMYFUNCTION("""COMPUTED_VALUE"""),1.7343744178066427)</f>
        <v>1.734374418</v>
      </c>
      <c r="O280" s="74" t="str">
        <f>IFERROR(__xludf.DUMMYFUNCTION("""COMPUTED_VALUE"""),"")</f>
        <v/>
      </c>
      <c r="P280" s="74" t="str">
        <f>IFERROR(__xludf.DUMMYFUNCTION("""COMPUTED_VALUE"""),"")</f>
        <v/>
      </c>
      <c r="Q280" s="82" t="str">
        <f>IFERROR(__xludf.DUMMYFUNCTION("""COMPUTED_VALUE"""),"")</f>
        <v/>
      </c>
      <c r="R280" s="82" t="str">
        <f>IFERROR(__xludf.DUMMYFUNCTION("""COMPUTED_VALUE"""),"")</f>
        <v/>
      </c>
      <c r="S280" s="84" t="str">
        <f>IFERROR(__xludf.DUMMYFUNCTION("""COMPUTED_VALUE"""),"")</f>
        <v/>
      </c>
      <c r="T280" s="84" t="str">
        <f>IFERROR(__xludf.DUMMYFUNCTION("""COMPUTED_VALUE"""),"")</f>
        <v/>
      </c>
      <c r="U280" s="74" t="str">
        <f>IFERROR(__xludf.DUMMYFUNCTION("""COMPUTED_VALUE"""),"")</f>
        <v/>
      </c>
      <c r="V280" s="82" t="str">
        <f>IFERROR(__xludf.DUMMYFUNCTION("""COMPUTED_VALUE"""),"")</f>
        <v/>
      </c>
      <c r="W280" s="64" t="str">
        <f>IFERROR(__xludf.DUMMYFUNCTION("""COMPUTED_VALUE"""),"")</f>
        <v/>
      </c>
      <c r="X280" s="84" t="str">
        <f>IFERROR(__xludf.DUMMYFUNCTION("""COMPUTED_VALUE"""),"")</f>
        <v/>
      </c>
      <c r="Y280" s="114" t="str">
        <f>IFERROR(__xludf.DUMMYFUNCTION("""COMPUTED_VALUE"""),"")</f>
        <v/>
      </c>
    </row>
    <row r="281">
      <c r="A281" s="109">
        <f>IFERROR(__xludf.DUMMYFUNCTION("""COMPUTED_VALUE"""),46128.568252384255)</f>
        <v>46128.56825</v>
      </c>
      <c r="B281" s="81" t="str">
        <f>IFERROR(__xludf.DUMMYFUNCTION("""COMPUTED_VALUE"""),"Kyra Turner")</f>
        <v>Kyra Turner</v>
      </c>
      <c r="C281" s="74" t="b">
        <f>IFERROR(__xludf.DUMMYFUNCTION("""COMPUTED_VALUE"""),FALSE)</f>
        <v>0</v>
      </c>
      <c r="D281" s="137">
        <f>IFERROR(__xludf.DUMMYFUNCTION("""COMPUTED_VALUE"""),0.5006944444467081)</f>
        <v>0.5006944444</v>
      </c>
      <c r="E281" s="82">
        <f>IFERROR(__xludf.DUMMYFUNCTION("""COMPUTED_VALUE"""),0.06527777777228039)</f>
        <v>0.06527777777</v>
      </c>
      <c r="F281" s="137">
        <f>IFERROR(__xludf.DUMMYFUNCTION("""COMPUTED_VALUE"""),0.5659722222189885)</f>
        <v>0.5659722222</v>
      </c>
      <c r="G281" s="82">
        <f>IFERROR(__xludf.DUMMYFUNCTION("""COMPUTED_VALUE"""),0.13819444443652174)</f>
        <v>0.1381944444</v>
      </c>
      <c r="H281" s="74">
        <f>IFERROR(__xludf.DUMMYFUNCTION("""COMPUTED_VALUE"""),114.0)</f>
        <v>114</v>
      </c>
      <c r="I281" s="84">
        <f>IFERROR(__xludf.DUMMYFUNCTION("""COMPUTED_VALUE"""),59.39698492802835)</f>
        <v>59.39698493</v>
      </c>
      <c r="J281" s="74" t="str">
        <f>IFERROR(__xludf.DUMMYFUNCTION("""COMPUTED_VALUE"""),"Lunch")</f>
        <v>Lunch</v>
      </c>
      <c r="K281" s="113">
        <f>IFERROR(__xludf.DUMMYFUNCTION("""COMPUTED_VALUE"""),46128.0)</f>
        <v>46128</v>
      </c>
      <c r="L281" s="74" t="str">
        <f>IFERROR(__xludf.DUMMYFUNCTION("""COMPUTED_VALUE"""),"Thursday")</f>
        <v>Thursday</v>
      </c>
      <c r="M281" s="74" t="str">
        <f>IFERROR(__xludf.DUMMYFUNCTION("""COMPUTED_VALUE"""),"BF")</f>
        <v>BF</v>
      </c>
      <c r="N281" s="114">
        <f>IFERROR(__xludf.DUMMYFUNCTION("""COMPUTED_VALUE"""),2.095083756093909)</f>
        <v>2.095083756</v>
      </c>
      <c r="O281" s="74" t="str">
        <f>IFERROR(__xludf.DUMMYFUNCTION("""COMPUTED_VALUE"""),"")</f>
        <v/>
      </c>
      <c r="P281" s="74" t="str">
        <f>IFERROR(__xludf.DUMMYFUNCTION("""COMPUTED_VALUE"""),"")</f>
        <v/>
      </c>
      <c r="Q281" s="82" t="str">
        <f>IFERROR(__xludf.DUMMYFUNCTION("""COMPUTED_VALUE"""),"")</f>
        <v/>
      </c>
      <c r="R281" s="82" t="str">
        <f>IFERROR(__xludf.DUMMYFUNCTION("""COMPUTED_VALUE"""),"")</f>
        <v/>
      </c>
      <c r="S281" s="84" t="str">
        <f>IFERROR(__xludf.DUMMYFUNCTION("""COMPUTED_VALUE"""),"")</f>
        <v/>
      </c>
      <c r="T281" s="84" t="str">
        <f>IFERROR(__xludf.DUMMYFUNCTION("""COMPUTED_VALUE"""),"")</f>
        <v/>
      </c>
      <c r="U281" s="74" t="str">
        <f>IFERROR(__xludf.DUMMYFUNCTION("""COMPUTED_VALUE"""),"")</f>
        <v/>
      </c>
      <c r="V281" s="82" t="str">
        <f>IFERROR(__xludf.DUMMYFUNCTION("""COMPUTED_VALUE"""),"")</f>
        <v/>
      </c>
      <c r="W281" s="64" t="str">
        <f>IFERROR(__xludf.DUMMYFUNCTION("""COMPUTED_VALUE"""),"")</f>
        <v/>
      </c>
      <c r="X281" s="84" t="str">
        <f>IFERROR(__xludf.DUMMYFUNCTION("""COMPUTED_VALUE"""),"")</f>
        <v/>
      </c>
      <c r="Y281" s="114" t="str">
        <f>IFERROR(__xludf.DUMMYFUNCTION("""COMPUTED_VALUE"""),"")</f>
        <v/>
      </c>
    </row>
    <row r="282">
      <c r="A282" s="109">
        <f>IFERROR(__xludf.DUMMYFUNCTION("""COMPUTED_VALUE"""),46128.643501886574)</f>
        <v>46128.6435</v>
      </c>
      <c r="B282" s="81" t="str">
        <f>IFERROR(__xludf.DUMMYFUNCTION("""COMPUTED_VALUE"""),"Kyra Turner")</f>
        <v>Kyra Turner</v>
      </c>
      <c r="C282" s="74" t="b">
        <f>IFERROR(__xludf.DUMMYFUNCTION("""COMPUTED_VALUE"""),TRUE)</f>
        <v>1</v>
      </c>
      <c r="D282" s="137">
        <f>IFERROR(__xludf.DUMMYFUNCTION("""COMPUTED_VALUE"""),0.5694444444452529)</f>
        <v>0.5694444444</v>
      </c>
      <c r="E282" s="82">
        <f>IFERROR(__xludf.DUMMYFUNCTION("""COMPUTED_VALUE"""),0.07291666666424135)</f>
        <v>0.07291666666</v>
      </c>
      <c r="F282" s="137">
        <f>IFERROR(__xludf.DUMMYFUNCTION("""COMPUTED_VALUE"""),0.6423611111094942)</f>
        <v>0.6423611111</v>
      </c>
      <c r="G282" s="82" t="str">
        <f>IFERROR(__xludf.DUMMYFUNCTION("""COMPUTED_VALUE"""),"")</f>
        <v/>
      </c>
      <c r="H282" s="74">
        <f>IFERROR(__xludf.DUMMYFUNCTION("""COMPUTED_VALUE"""),83.0)</f>
        <v>83</v>
      </c>
      <c r="I282" s="84" t="str">
        <f>IFERROR(__xludf.DUMMYFUNCTION("""COMPUTED_VALUE"""),"")</f>
        <v/>
      </c>
      <c r="J282" s="74" t="str">
        <f>IFERROR(__xludf.DUMMYFUNCTION("""COMPUTED_VALUE"""),"Lunch")</f>
        <v>Lunch</v>
      </c>
      <c r="K282" s="113">
        <f>IFERROR(__xludf.DUMMYFUNCTION("""COMPUTED_VALUE"""),46128.0)</f>
        <v>46128</v>
      </c>
      <c r="L282" s="74" t="str">
        <f>IFERROR(__xludf.DUMMYFUNCTION("""COMPUTED_VALUE"""),"Thursday")</f>
        <v>Thursday</v>
      </c>
      <c r="M282" s="74" t="str">
        <f>IFERROR(__xludf.DUMMYFUNCTION("""COMPUTED_VALUE"""),"BF")</f>
        <v>BF</v>
      </c>
      <c r="N282" s="114" t="str">
        <f>IFERROR(__xludf.DUMMYFUNCTION("""COMPUTED_VALUE"""),"")</f>
        <v/>
      </c>
      <c r="O282" s="74" t="str">
        <f>IFERROR(__xludf.DUMMYFUNCTION("""COMPUTED_VALUE"""),"")</f>
        <v/>
      </c>
      <c r="P282" s="74" t="str">
        <f>IFERROR(__xludf.DUMMYFUNCTION("""COMPUTED_VALUE"""),"")</f>
        <v/>
      </c>
      <c r="Q282" s="82" t="str">
        <f>IFERROR(__xludf.DUMMYFUNCTION("""COMPUTED_VALUE"""),"")</f>
        <v/>
      </c>
      <c r="R282" s="82" t="str">
        <f>IFERROR(__xludf.DUMMYFUNCTION("""COMPUTED_VALUE"""),"")</f>
        <v/>
      </c>
      <c r="S282" s="84" t="str">
        <f>IFERROR(__xludf.DUMMYFUNCTION("""COMPUTED_VALUE"""),"")</f>
        <v/>
      </c>
      <c r="T282" s="84" t="str">
        <f>IFERROR(__xludf.DUMMYFUNCTION("""COMPUTED_VALUE"""),"")</f>
        <v/>
      </c>
      <c r="U282" s="74" t="str">
        <f>IFERROR(__xludf.DUMMYFUNCTION("""COMPUTED_VALUE"""),"")</f>
        <v/>
      </c>
      <c r="V282" s="82" t="str">
        <f>IFERROR(__xludf.DUMMYFUNCTION("""COMPUTED_VALUE"""),"")</f>
        <v/>
      </c>
      <c r="W282" s="64" t="str">
        <f>IFERROR(__xludf.DUMMYFUNCTION("""COMPUTED_VALUE"""),"")</f>
        <v/>
      </c>
      <c r="X282" s="84" t="str">
        <f>IFERROR(__xludf.DUMMYFUNCTION("""COMPUTED_VALUE"""),"")</f>
        <v/>
      </c>
      <c r="Y282" s="114" t="str">
        <f>IFERROR(__xludf.DUMMYFUNCTION("""COMPUTED_VALUE"""),"")</f>
        <v/>
      </c>
    </row>
    <row r="283">
      <c r="A283" s="109">
        <f>IFERROR(__xludf.DUMMYFUNCTION("""COMPUTED_VALUE"""),46128.774886087966)</f>
        <v>46128.77489</v>
      </c>
      <c r="B283" s="81" t="str">
        <f>IFERROR(__xludf.DUMMYFUNCTION("""COMPUTED_VALUE"""),"Emmett Khan")</f>
        <v>Emmett Khan</v>
      </c>
      <c r="C283" s="74" t="b">
        <f>IFERROR(__xludf.DUMMYFUNCTION("""COMPUTED_VALUE"""),FALSE)</f>
        <v>0</v>
      </c>
      <c r="D283" s="137">
        <f>IFERROR(__xludf.DUMMYFUNCTION("""COMPUTED_VALUE"""),0.7083333333357587)</f>
        <v>0.7083333333</v>
      </c>
      <c r="E283" s="82">
        <f>IFERROR(__xludf.DUMMYFUNCTION("""COMPUTED_VALUE"""),0.07291666666424135)</f>
        <v>0.07291666666</v>
      </c>
      <c r="F283" s="137">
        <f>IFERROR(__xludf.DUMMYFUNCTION("""COMPUTED_VALUE"""),0.78125)</f>
        <v>0.78125</v>
      </c>
      <c r="G283" s="82">
        <f>IFERROR(__xludf.DUMMYFUNCTION("""COMPUTED_VALUE"""),0.07291666666424135)</f>
        <v>0.07291666666</v>
      </c>
      <c r="H283" s="74">
        <f>IFERROR(__xludf.DUMMYFUNCTION("""COMPUTED_VALUE"""),102.0)</f>
        <v>102</v>
      </c>
      <c r="I283" s="84">
        <f>IFERROR(__xludf.DUMMYFUNCTION("""COMPUTED_VALUE"""),58.28571428765296)</f>
        <v>58.28571429</v>
      </c>
      <c r="J283" s="74" t="str">
        <f>IFERROR(__xludf.DUMMYFUNCTION("""COMPUTED_VALUE"""),"Dinner")</f>
        <v>Dinner</v>
      </c>
      <c r="K283" s="113">
        <f>IFERROR(__xludf.DUMMYFUNCTION("""COMPUTED_VALUE"""),46128.0)</f>
        <v>46128</v>
      </c>
      <c r="L283" s="74" t="str">
        <f>IFERROR(__xludf.DUMMYFUNCTION("""COMPUTED_VALUE"""),"Thursday")</f>
        <v>Thursday</v>
      </c>
      <c r="M283" s="74" t="str">
        <f>IFERROR(__xludf.DUMMYFUNCTION("""COMPUTED_VALUE"""),"MF")</f>
        <v>MF</v>
      </c>
      <c r="N283" s="114">
        <f>IFERROR(__xludf.DUMMYFUNCTION("""COMPUTED_VALUE"""),1.2567079895942612)</f>
        <v>1.25670799</v>
      </c>
      <c r="O283" s="74">
        <f>IFERROR(__xludf.DUMMYFUNCTION("""COMPUTED_VALUE"""),211.0)</f>
        <v>211</v>
      </c>
      <c r="P283" s="74">
        <f>IFERROR(__xludf.DUMMYFUNCTION("""COMPUTED_VALUE"""),247.0)</f>
        <v>247</v>
      </c>
      <c r="Q283" s="82">
        <f>IFERROR(__xludf.DUMMYFUNCTION("""COMPUTED_VALUE"""),0.125)</f>
        <v>0.125</v>
      </c>
      <c r="R283" s="82">
        <f>IFERROR(__xludf.DUMMYFUNCTION("""COMPUTED_VALUE"""),0.24652777777373558)</f>
        <v>0.2465277778</v>
      </c>
      <c r="S283" s="84">
        <f>IFERROR(__xludf.DUMMYFUNCTION("""COMPUTED_VALUE"""),72.7428571417962)</f>
        <v>72.74285714</v>
      </c>
      <c r="T283" s="84">
        <f>IFERROR(__xludf.DUMMYFUNCTION("""COMPUTED_VALUE"""),35.18025859276124)</f>
        <v>35.18025859</v>
      </c>
      <c r="U283" s="74">
        <f>IFERROR(__xludf.DUMMYFUNCTION("""COMPUTED_VALUE"""),458.0)</f>
        <v>458</v>
      </c>
      <c r="V283" s="82">
        <f>IFERROR(__xludf.DUMMYFUNCTION("""COMPUTED_VALUE"""),0.3715277777737356)</f>
        <v>0.3715277778</v>
      </c>
      <c r="W283" s="64">
        <f>IFERROR(__xludf.DUMMYFUNCTION("""COMPUTED_VALUE"""),51.364485981867254)</f>
        <v>51.36448598</v>
      </c>
      <c r="X283" s="84">
        <f>IFERROR(__xludf.DUMMYFUNCTION("""COMPUTED_VALUE"""),50.20529801237522)</f>
        <v>50.20529801</v>
      </c>
      <c r="Y283" s="114">
        <f>IFERROR(__xludf.DUMMYFUNCTION("""COMPUTED_VALUE"""),0.8905310170568174)</f>
        <v>0.8905310171</v>
      </c>
    </row>
    <row r="284">
      <c r="A284" s="109">
        <f>IFERROR(__xludf.DUMMYFUNCTION("""COMPUTED_VALUE"""),46129.571754143515)</f>
        <v>46129.57175</v>
      </c>
      <c r="B284" s="81" t="str">
        <f>IFERROR(__xludf.DUMMYFUNCTION("""COMPUTED_VALUE"""),"Kaylie Forgue")</f>
        <v>Kaylie Forgue</v>
      </c>
      <c r="C284" s="74" t="b">
        <f>IFERROR(__xludf.DUMMYFUNCTION("""COMPUTED_VALUE"""),FALSE)</f>
        <v>0</v>
      </c>
      <c r="D284" s="137">
        <f>IFERROR(__xludf.DUMMYFUNCTION("""COMPUTED_VALUE"""),0.3680555555547471)</f>
        <v>0.3680555556</v>
      </c>
      <c r="E284" s="82">
        <f>IFERROR(__xludf.DUMMYFUNCTION("""COMPUTED_VALUE"""),0.06597222222626442)</f>
        <v>0.06597222223</v>
      </c>
      <c r="F284" s="137">
        <f>IFERROR(__xludf.DUMMYFUNCTION("""COMPUTED_VALUE"""),0.43402777778101154)</f>
        <v>0.4340277778</v>
      </c>
      <c r="G284" s="82">
        <f>IFERROR(__xludf.DUMMYFUNCTION("""COMPUTED_VALUE"""),0.06597222222626442)</f>
        <v>0.06597222223</v>
      </c>
      <c r="H284" s="74">
        <f>IFERROR(__xludf.DUMMYFUNCTION("""COMPUTED_VALUE"""),78.0)</f>
        <v>78</v>
      </c>
      <c r="I284" s="84">
        <f>IFERROR(__xludf.DUMMYFUNCTION("""COMPUTED_VALUE"""),49.26315789171843)</f>
        <v>49.26315789</v>
      </c>
      <c r="J284" s="74" t="str">
        <f>IFERROR(__xludf.DUMMYFUNCTION("""COMPUTED_VALUE"""),"Breakfast")</f>
        <v>Breakfast</v>
      </c>
      <c r="K284" s="113">
        <f>IFERROR(__xludf.DUMMYFUNCTION("""COMPUTED_VALUE"""),46129.0)</f>
        <v>46129</v>
      </c>
      <c r="L284" s="74" t="str">
        <f>IFERROR(__xludf.DUMMYFUNCTION("""COMPUTED_VALUE"""),"Friday")</f>
        <v>Friday</v>
      </c>
      <c r="M284" s="74" t="str">
        <f>IFERROR(__xludf.DUMMYFUNCTION("""COMPUTED_VALUE"""),"BF")</f>
        <v>BF</v>
      </c>
      <c r="N284" s="114">
        <f>IFERROR(__xludf.DUMMYFUNCTION("""COMPUTED_VALUE"""),1.737637726862557)</f>
        <v>1.737637727</v>
      </c>
      <c r="O284" s="74" t="str">
        <f>IFERROR(__xludf.DUMMYFUNCTION("""COMPUTED_VALUE"""),"")</f>
        <v/>
      </c>
      <c r="P284" s="74" t="str">
        <f>IFERROR(__xludf.DUMMYFUNCTION("""COMPUTED_VALUE"""),"")</f>
        <v/>
      </c>
      <c r="Q284" s="82" t="str">
        <f>IFERROR(__xludf.DUMMYFUNCTION("""COMPUTED_VALUE"""),"")</f>
        <v/>
      </c>
      <c r="R284" s="82" t="str">
        <f>IFERROR(__xludf.DUMMYFUNCTION("""COMPUTED_VALUE"""),"")</f>
        <v/>
      </c>
      <c r="S284" s="84" t="str">
        <f>IFERROR(__xludf.DUMMYFUNCTION("""COMPUTED_VALUE"""),"")</f>
        <v/>
      </c>
      <c r="T284" s="84" t="str">
        <f>IFERROR(__xludf.DUMMYFUNCTION("""COMPUTED_VALUE"""),"")</f>
        <v/>
      </c>
      <c r="U284" s="74" t="str">
        <f>IFERROR(__xludf.DUMMYFUNCTION("""COMPUTED_VALUE"""),"")</f>
        <v/>
      </c>
      <c r="V284" s="82" t="str">
        <f>IFERROR(__xludf.DUMMYFUNCTION("""COMPUTED_VALUE"""),"")</f>
        <v/>
      </c>
      <c r="W284" s="64" t="str">
        <f>IFERROR(__xludf.DUMMYFUNCTION("""COMPUTED_VALUE"""),"")</f>
        <v/>
      </c>
      <c r="X284" s="84" t="str">
        <f>IFERROR(__xludf.DUMMYFUNCTION("""COMPUTED_VALUE"""),"")</f>
        <v/>
      </c>
      <c r="Y284" s="114" t="str">
        <f>IFERROR(__xludf.DUMMYFUNCTION("""COMPUTED_VALUE"""),"")</f>
        <v/>
      </c>
    </row>
    <row r="285">
      <c r="A285" s="109">
        <f>IFERROR(__xludf.DUMMYFUNCTION("""COMPUTED_VALUE"""),46129.57908763889)</f>
        <v>46129.57909</v>
      </c>
      <c r="B285" s="81" t="str">
        <f>IFERROR(__xludf.DUMMYFUNCTION("""COMPUTED_VALUE"""),"Brynn Hornig")</f>
        <v>Brynn Hornig</v>
      </c>
      <c r="C285" s="74" t="b">
        <f>IFERROR(__xludf.DUMMYFUNCTION("""COMPUTED_VALUE"""),FALSE)</f>
        <v>0</v>
      </c>
      <c r="D285" s="137">
        <f>IFERROR(__xludf.DUMMYFUNCTION("""COMPUTED_VALUE"""),0.45833333333575865)</f>
        <v>0.4583333333</v>
      </c>
      <c r="E285" s="82">
        <f>IFERROR(__xludf.DUMMYFUNCTION("""COMPUTED_VALUE"""),0.125)</f>
        <v>0.125</v>
      </c>
      <c r="F285" s="137">
        <f>IFERROR(__xludf.DUMMYFUNCTION("""COMPUTED_VALUE"""),0.5833333333357587)</f>
        <v>0.5833333333</v>
      </c>
      <c r="G285" s="82">
        <f>IFERROR(__xludf.DUMMYFUNCTION("""COMPUTED_VALUE"""),0.125)</f>
        <v>0.125</v>
      </c>
      <c r="H285" s="74">
        <f>IFERROR(__xludf.DUMMYFUNCTION("""COMPUTED_VALUE"""),90.0)</f>
        <v>90</v>
      </c>
      <c r="I285" s="84">
        <f>IFERROR(__xludf.DUMMYFUNCTION("""COMPUTED_VALUE"""),30.0)</f>
        <v>30</v>
      </c>
      <c r="J285" s="74" t="str">
        <f>IFERROR(__xludf.DUMMYFUNCTION("""COMPUTED_VALUE"""),"Lunch")</f>
        <v>Lunch</v>
      </c>
      <c r="K285" s="113">
        <f>IFERROR(__xludf.DUMMYFUNCTION("""COMPUTED_VALUE"""),46129.0)</f>
        <v>46129</v>
      </c>
      <c r="L285" s="74" t="str">
        <f>IFERROR(__xludf.DUMMYFUNCTION("""COMPUTED_VALUE"""),"Friday")</f>
        <v>Friday</v>
      </c>
      <c r="M285" s="74" t="str">
        <f>IFERROR(__xludf.DUMMYFUNCTION("""COMPUTED_VALUE"""),"BF")</f>
        <v>BF</v>
      </c>
      <c r="N285" s="114">
        <f>IFERROR(__xludf.DUMMYFUNCTION("""COMPUTED_VALUE"""),1.0581768209106235)</f>
        <v>1.058176821</v>
      </c>
      <c r="O285" s="74" t="str">
        <f>IFERROR(__xludf.DUMMYFUNCTION("""COMPUTED_VALUE"""),"")</f>
        <v/>
      </c>
      <c r="P285" s="74" t="str">
        <f>IFERROR(__xludf.DUMMYFUNCTION("""COMPUTED_VALUE"""),"")</f>
        <v/>
      </c>
      <c r="Q285" s="82" t="str">
        <f>IFERROR(__xludf.DUMMYFUNCTION("""COMPUTED_VALUE"""),"")</f>
        <v/>
      </c>
      <c r="R285" s="82" t="str">
        <f>IFERROR(__xludf.DUMMYFUNCTION("""COMPUTED_VALUE"""),"")</f>
        <v/>
      </c>
      <c r="S285" s="84" t="str">
        <f>IFERROR(__xludf.DUMMYFUNCTION("""COMPUTED_VALUE"""),"")</f>
        <v/>
      </c>
      <c r="T285" s="84" t="str">
        <f>IFERROR(__xludf.DUMMYFUNCTION("""COMPUTED_VALUE"""),"")</f>
        <v/>
      </c>
      <c r="U285" s="74" t="str">
        <f>IFERROR(__xludf.DUMMYFUNCTION("""COMPUTED_VALUE"""),"")</f>
        <v/>
      </c>
      <c r="V285" s="82" t="str">
        <f>IFERROR(__xludf.DUMMYFUNCTION("""COMPUTED_VALUE"""),"")</f>
        <v/>
      </c>
      <c r="W285" s="64" t="str">
        <f>IFERROR(__xludf.DUMMYFUNCTION("""COMPUTED_VALUE"""),"")</f>
        <v/>
      </c>
      <c r="X285" s="84" t="str">
        <f>IFERROR(__xludf.DUMMYFUNCTION("""COMPUTED_VALUE"""),"")</f>
        <v/>
      </c>
      <c r="Y285" s="114" t="str">
        <f>IFERROR(__xludf.DUMMYFUNCTION("""COMPUTED_VALUE"""),"")</f>
        <v/>
      </c>
    </row>
    <row r="286">
      <c r="A286" s="109">
        <f>IFERROR(__xludf.DUMMYFUNCTION("""COMPUTED_VALUE"""),46129.621306064815)</f>
        <v>46129.62131</v>
      </c>
      <c r="B286" s="81" t="str">
        <f>IFERROR(__xludf.DUMMYFUNCTION("""COMPUTED_VALUE"""),"Oluwatimilehin Shodipe")</f>
        <v>Oluwatimilehin Shodipe</v>
      </c>
      <c r="C286" s="74" t="b">
        <f>IFERROR(__xludf.DUMMYFUNCTION("""COMPUTED_VALUE"""),FALSE)</f>
        <v>0</v>
      </c>
      <c r="D286" s="137">
        <f>IFERROR(__xludf.DUMMYFUNCTION("""COMPUTED_VALUE"""),0.48402777777664596)</f>
        <v>0.4840277778</v>
      </c>
      <c r="E286" s="82">
        <f>IFERROR(__xludf.DUMMYFUNCTION("""COMPUTED_VALUE"""),0.14097222222335404)</f>
        <v>0.1409722222</v>
      </c>
      <c r="F286" s="137">
        <f>IFERROR(__xludf.DUMMYFUNCTION("""COMPUTED_VALUE"""),0.625)</f>
        <v>0.625</v>
      </c>
      <c r="G286" s="82">
        <f>IFERROR(__xludf.DUMMYFUNCTION("""COMPUTED_VALUE"""),0.14097222222335404)</f>
        <v>0.1409722222</v>
      </c>
      <c r="H286" s="74">
        <f>IFERROR(__xludf.DUMMYFUNCTION("""COMPUTED_VALUE"""),172.0)</f>
        <v>172</v>
      </c>
      <c r="I286" s="84">
        <f>IFERROR(__xludf.DUMMYFUNCTION("""COMPUTED_VALUE"""),50.83743842323717)</f>
        <v>50.83743842</v>
      </c>
      <c r="J286" s="74" t="str">
        <f>IFERROR(__xludf.DUMMYFUNCTION("""COMPUTED_VALUE"""),"Lunch")</f>
        <v>Lunch</v>
      </c>
      <c r="K286" s="113">
        <f>IFERROR(__xludf.DUMMYFUNCTION("""COMPUTED_VALUE"""),46129.0)</f>
        <v>46129</v>
      </c>
      <c r="L286" s="74" t="str">
        <f>IFERROR(__xludf.DUMMYFUNCTION("""COMPUTED_VALUE"""),"Friday")</f>
        <v>Friday</v>
      </c>
      <c r="M286" s="74" t="str">
        <f>IFERROR(__xludf.DUMMYFUNCTION("""COMPUTED_VALUE"""),"MF")</f>
        <v>MF</v>
      </c>
      <c r="N286" s="114">
        <f>IFERROR(__xludf.DUMMYFUNCTION("""COMPUTED_VALUE"""),1.0111370719287704)</f>
        <v>1.011137072</v>
      </c>
      <c r="O286" s="74" t="str">
        <f>IFERROR(__xludf.DUMMYFUNCTION("""COMPUTED_VALUE"""),"")</f>
        <v/>
      </c>
      <c r="P286" s="74" t="str">
        <f>IFERROR(__xludf.DUMMYFUNCTION("""COMPUTED_VALUE"""),"")</f>
        <v/>
      </c>
      <c r="Q286" s="82" t="str">
        <f>IFERROR(__xludf.DUMMYFUNCTION("""COMPUTED_VALUE"""),"")</f>
        <v/>
      </c>
      <c r="R286" s="82" t="str">
        <f>IFERROR(__xludf.DUMMYFUNCTION("""COMPUTED_VALUE"""),"")</f>
        <v/>
      </c>
      <c r="S286" s="84" t="str">
        <f>IFERROR(__xludf.DUMMYFUNCTION("""COMPUTED_VALUE"""),"")</f>
        <v/>
      </c>
      <c r="T286" s="84" t="str">
        <f>IFERROR(__xludf.DUMMYFUNCTION("""COMPUTED_VALUE"""),"")</f>
        <v/>
      </c>
      <c r="U286" s="74" t="str">
        <f>IFERROR(__xludf.DUMMYFUNCTION("""COMPUTED_VALUE"""),"")</f>
        <v/>
      </c>
      <c r="V286" s="82" t="str">
        <f>IFERROR(__xludf.DUMMYFUNCTION("""COMPUTED_VALUE"""),"")</f>
        <v/>
      </c>
      <c r="W286" s="64" t="str">
        <f>IFERROR(__xludf.DUMMYFUNCTION("""COMPUTED_VALUE"""),"")</f>
        <v/>
      </c>
      <c r="X286" s="84" t="str">
        <f>IFERROR(__xludf.DUMMYFUNCTION("""COMPUTED_VALUE"""),"")</f>
        <v/>
      </c>
      <c r="Y286" s="114" t="str">
        <f>IFERROR(__xludf.DUMMYFUNCTION("""COMPUTED_VALUE"""),"")</f>
        <v/>
      </c>
    </row>
    <row r="287">
      <c r="A287" s="109">
        <f>IFERROR(__xludf.DUMMYFUNCTION("""COMPUTED_VALUE"""),46129.7489105787)</f>
        <v>46129.74891</v>
      </c>
      <c r="B287" s="81" t="str">
        <f>IFERROR(__xludf.DUMMYFUNCTION("""COMPUTED_VALUE"""),"Leah Bucci")</f>
        <v>Leah Bucci</v>
      </c>
      <c r="C287" s="74" t="b">
        <f>IFERROR(__xludf.DUMMYFUNCTION("""COMPUTED_VALUE"""),FALSE)</f>
        <v>0</v>
      </c>
      <c r="D287" s="137">
        <f>IFERROR(__xludf.DUMMYFUNCTION("""COMPUTED_VALUE"""),0.6666666666642413)</f>
        <v>0.6666666667</v>
      </c>
      <c r="E287" s="82">
        <f>IFERROR(__xludf.DUMMYFUNCTION("""COMPUTED_VALUE"""),0.07986111111677019)</f>
        <v>0.07986111112</v>
      </c>
      <c r="F287" s="137">
        <f>IFERROR(__xludf.DUMMYFUNCTION("""COMPUTED_VALUE"""),0.7465277777810115)</f>
        <v>0.7465277778</v>
      </c>
      <c r="G287" s="82">
        <f>IFERROR(__xludf.DUMMYFUNCTION("""COMPUTED_VALUE"""),0.07986111111677019)</f>
        <v>0.07986111112</v>
      </c>
      <c r="H287" s="74">
        <f>IFERROR(__xludf.DUMMYFUNCTION("""COMPUTED_VALUE"""),109.0)</f>
        <v>109</v>
      </c>
      <c r="I287" s="84">
        <f>IFERROR(__xludf.DUMMYFUNCTION("""COMPUTED_VALUE"""),56.86956521336144)</f>
        <v>56.86956521</v>
      </c>
      <c r="J287" s="74" t="str">
        <f>IFERROR(__xludf.DUMMYFUNCTION("""COMPUTED_VALUE"""),"Dinner")</f>
        <v>Dinner</v>
      </c>
      <c r="K287" s="113">
        <f>IFERROR(__xludf.DUMMYFUNCTION("""COMPUTED_VALUE"""),46129.0)</f>
        <v>46129</v>
      </c>
      <c r="L287" s="74" t="str">
        <f>IFERROR(__xludf.DUMMYFUNCTION("""COMPUTED_VALUE"""),"Friday")</f>
        <v>Friday</v>
      </c>
      <c r="M287" s="74" t="str">
        <f>IFERROR(__xludf.DUMMYFUNCTION("""COMPUTED_VALUE"""),"MF")</f>
        <v>MF</v>
      </c>
      <c r="N287" s="114">
        <f>IFERROR(__xludf.DUMMYFUNCTION("""COMPUTED_VALUE"""),1.2261741636324566)</f>
        <v>1.226174164</v>
      </c>
      <c r="O287" s="74" t="str">
        <f>IFERROR(__xludf.DUMMYFUNCTION("""COMPUTED_VALUE"""),"")</f>
        <v/>
      </c>
      <c r="P287" s="74" t="str">
        <f>IFERROR(__xludf.DUMMYFUNCTION("""COMPUTED_VALUE"""),"")</f>
        <v/>
      </c>
      <c r="Q287" s="82" t="str">
        <f>IFERROR(__xludf.DUMMYFUNCTION("""COMPUTED_VALUE"""),"")</f>
        <v/>
      </c>
      <c r="R287" s="82" t="str">
        <f>IFERROR(__xludf.DUMMYFUNCTION("""COMPUTED_VALUE"""),"")</f>
        <v/>
      </c>
      <c r="S287" s="84" t="str">
        <f>IFERROR(__xludf.DUMMYFUNCTION("""COMPUTED_VALUE"""),"")</f>
        <v/>
      </c>
      <c r="T287" s="84" t="str">
        <f>IFERROR(__xludf.DUMMYFUNCTION("""COMPUTED_VALUE"""),"")</f>
        <v/>
      </c>
      <c r="U287" s="74" t="str">
        <f>IFERROR(__xludf.DUMMYFUNCTION("""COMPUTED_VALUE"""),"")</f>
        <v/>
      </c>
      <c r="V287" s="82" t="str">
        <f>IFERROR(__xludf.DUMMYFUNCTION("""COMPUTED_VALUE"""),"")</f>
        <v/>
      </c>
      <c r="W287" s="64" t="str">
        <f>IFERROR(__xludf.DUMMYFUNCTION("""COMPUTED_VALUE"""),"")</f>
        <v/>
      </c>
      <c r="X287" s="84" t="str">
        <f>IFERROR(__xludf.DUMMYFUNCTION("""COMPUTED_VALUE"""),"")</f>
        <v/>
      </c>
      <c r="Y287" s="114" t="str">
        <f>IFERROR(__xludf.DUMMYFUNCTION("""COMPUTED_VALUE"""),"")</f>
        <v/>
      </c>
    </row>
    <row r="288">
      <c r="A288" s="109">
        <f>IFERROR(__xludf.DUMMYFUNCTION("""COMPUTED_VALUE"""),46129.77611946759)</f>
        <v>46129.77612</v>
      </c>
      <c r="B288" s="81" t="str">
        <f>IFERROR(__xludf.DUMMYFUNCTION("""COMPUTED_VALUE"""),"Orpheus Wilson")</f>
        <v>Orpheus Wilson</v>
      </c>
      <c r="C288" s="74" t="b">
        <f>IFERROR(__xludf.DUMMYFUNCTION("""COMPUTED_VALUE"""),FALSE)</f>
        <v>0</v>
      </c>
      <c r="D288" s="137">
        <f>IFERROR(__xludf.DUMMYFUNCTION("""COMPUTED_VALUE"""),0.7534722222189885)</f>
        <v>0.7534722222</v>
      </c>
      <c r="E288" s="82">
        <f>IFERROR(__xludf.DUMMYFUNCTION("""COMPUTED_VALUE"""),0.018750000002910383)</f>
        <v>0.01875</v>
      </c>
      <c r="F288" s="137">
        <f>IFERROR(__xludf.DUMMYFUNCTION("""COMPUTED_VALUE"""),0.7722222222218988)</f>
        <v>0.7722222222</v>
      </c>
      <c r="G288" s="82">
        <f>IFERROR(__xludf.DUMMYFUNCTION("""COMPUTED_VALUE"""),0.018750000002910383)</f>
        <v>0.01875</v>
      </c>
      <c r="H288" s="74">
        <f>IFERROR(__xludf.DUMMYFUNCTION("""COMPUTED_VALUE"""),67.0)</f>
        <v>67</v>
      </c>
      <c r="I288" s="84">
        <f>IFERROR(__xludf.DUMMYFUNCTION("""COMPUTED_VALUE"""),148.88888886577828)</f>
        <v>148.8888889</v>
      </c>
      <c r="J288" s="74" t="str">
        <f>IFERROR(__xludf.DUMMYFUNCTION("""COMPUTED_VALUE"""),"Dinner")</f>
        <v>Dinner</v>
      </c>
      <c r="K288" s="113">
        <f>IFERROR(__xludf.DUMMYFUNCTION("""COMPUTED_VALUE"""),46129.0)</f>
        <v>46129</v>
      </c>
      <c r="L288" s="74" t="str">
        <f>IFERROR(__xludf.DUMMYFUNCTION("""COMPUTED_VALUE"""),"Friday")</f>
        <v>Friday</v>
      </c>
      <c r="M288" s="74" t="str">
        <f>IFERROR(__xludf.DUMMYFUNCTION("""COMPUTED_VALUE"""),"MF")</f>
        <v>MF</v>
      </c>
      <c r="N288" s="114">
        <f>IFERROR(__xludf.DUMMYFUNCTION("""COMPUTED_VALUE"""),3.2102181209619713)</f>
        <v>3.210218121</v>
      </c>
      <c r="O288" s="74" t="str">
        <f>IFERROR(__xludf.DUMMYFUNCTION("""COMPUTED_VALUE"""),"")</f>
        <v/>
      </c>
      <c r="P288" s="74" t="str">
        <f>IFERROR(__xludf.DUMMYFUNCTION("""COMPUTED_VALUE"""),"")</f>
        <v/>
      </c>
      <c r="Q288" s="82" t="str">
        <f>IFERROR(__xludf.DUMMYFUNCTION("""COMPUTED_VALUE"""),"")</f>
        <v/>
      </c>
      <c r="R288" s="82" t="str">
        <f>IFERROR(__xludf.DUMMYFUNCTION("""COMPUTED_VALUE"""),"")</f>
        <v/>
      </c>
      <c r="S288" s="84" t="str">
        <f>IFERROR(__xludf.DUMMYFUNCTION("""COMPUTED_VALUE"""),"")</f>
        <v/>
      </c>
      <c r="T288" s="84" t="str">
        <f>IFERROR(__xludf.DUMMYFUNCTION("""COMPUTED_VALUE"""),"")</f>
        <v/>
      </c>
      <c r="U288" s="74" t="str">
        <f>IFERROR(__xludf.DUMMYFUNCTION("""COMPUTED_VALUE"""),"")</f>
        <v/>
      </c>
      <c r="V288" s="82" t="str">
        <f>IFERROR(__xludf.DUMMYFUNCTION("""COMPUTED_VALUE"""),"")</f>
        <v/>
      </c>
      <c r="W288" s="64" t="str">
        <f>IFERROR(__xludf.DUMMYFUNCTION("""COMPUTED_VALUE"""),"")</f>
        <v/>
      </c>
      <c r="X288" s="84" t="str">
        <f>IFERROR(__xludf.DUMMYFUNCTION("""COMPUTED_VALUE"""),"")</f>
        <v/>
      </c>
      <c r="Y288" s="114" t="str">
        <f>IFERROR(__xludf.DUMMYFUNCTION("""COMPUTED_VALUE"""),"")</f>
        <v/>
      </c>
    </row>
    <row r="289">
      <c r="A289" s="109">
        <f>IFERROR(__xludf.DUMMYFUNCTION("""COMPUTED_VALUE"""),46129.83102940972)</f>
        <v>46129.83103</v>
      </c>
      <c r="B289" s="81" t="str">
        <f>IFERROR(__xludf.DUMMYFUNCTION("""COMPUTED_VALUE"""),"Orpheus Wilson")</f>
        <v>Orpheus Wilson</v>
      </c>
      <c r="C289" s="74" t="b">
        <f>IFERROR(__xludf.DUMMYFUNCTION("""COMPUTED_VALUE"""),FALSE)</f>
        <v>0</v>
      </c>
      <c r="D289" s="137">
        <f>IFERROR(__xludf.DUMMYFUNCTION("""COMPUTED_VALUE"""),0.7534722222189885)</f>
        <v>0.7534722222</v>
      </c>
      <c r="E289" s="82">
        <f>IFERROR(__xludf.DUMMYFUNCTION("""COMPUTED_VALUE"""),0.07361111111822538)</f>
        <v>0.07361111112</v>
      </c>
      <c r="F289" s="137">
        <f>IFERROR(__xludf.DUMMYFUNCTION("""COMPUTED_VALUE"""),0.8270833333372138)</f>
        <v>0.8270833333</v>
      </c>
      <c r="G289" s="82">
        <f>IFERROR(__xludf.DUMMYFUNCTION("""COMPUTED_VALUE"""),0.07361111111822538)</f>
        <v>0.07361111112</v>
      </c>
      <c r="H289" s="74">
        <f>IFERROR(__xludf.DUMMYFUNCTION("""COMPUTED_VALUE"""),105.0)</f>
        <v>105</v>
      </c>
      <c r="I289" s="84">
        <f>IFERROR(__xludf.DUMMYFUNCTION("""COMPUTED_VALUE"""),59.43396225840685)</f>
        <v>59.43396226</v>
      </c>
      <c r="J289" s="74" t="str">
        <f>IFERROR(__xludf.DUMMYFUNCTION("""COMPUTED_VALUE"""),"Dinner")</f>
        <v>Dinner</v>
      </c>
      <c r="K289" s="113">
        <f>IFERROR(__xludf.DUMMYFUNCTION("""COMPUTED_VALUE"""),46129.0)</f>
        <v>46129</v>
      </c>
      <c r="L289" s="74" t="str">
        <f>IFERROR(__xludf.DUMMYFUNCTION("""COMPUTED_VALUE"""),"Friday")</f>
        <v>Friday</v>
      </c>
      <c r="M289" s="74" t="str">
        <f>IFERROR(__xludf.DUMMYFUNCTION("""COMPUTED_VALUE"""),"MF")</f>
        <v>MF</v>
      </c>
      <c r="N289" s="114">
        <f>IFERROR(__xludf.DUMMYFUNCTION("""COMPUTED_VALUE"""),1.2814655552605276)</f>
        <v>1.281465555</v>
      </c>
      <c r="O289" s="74">
        <f>IFERROR(__xludf.DUMMYFUNCTION("""COMPUTED_VALUE"""),453.0)</f>
        <v>453</v>
      </c>
      <c r="P289" s="74">
        <f>IFERROR(__xludf.DUMMYFUNCTION("""COMPUTED_VALUE"""),168.0)</f>
        <v>168</v>
      </c>
      <c r="Q289" s="82">
        <f>IFERROR(__xludf.DUMMYFUNCTION("""COMPUTED_VALUE"""),0.31319444446126)</f>
        <v>0.3131944445</v>
      </c>
      <c r="R289" s="82">
        <f>IFERROR(__xludf.DUMMYFUNCTION("""COMPUTED_VALUE"""),0.19097222222626442)</f>
        <v>0.1909722222</v>
      </c>
      <c r="S289" s="84">
        <f>IFERROR(__xludf.DUMMYFUNCTION("""COMPUTED_VALUE"""),79.00746369019593)</f>
        <v>79.00746369</v>
      </c>
      <c r="T289" s="84">
        <f>IFERROR(__xludf.DUMMYFUNCTION("""COMPUTED_VALUE"""),39.63157894585922)</f>
        <v>39.63157895</v>
      </c>
      <c r="U289" s="74">
        <f>IFERROR(__xludf.DUMMYFUNCTION("""COMPUTED_VALUE"""),621.0)</f>
        <v>621</v>
      </c>
      <c r="V289" s="82">
        <f>IFERROR(__xludf.DUMMYFUNCTION("""COMPUTED_VALUE"""),0.5041666666875244)</f>
        <v>0.5041666667</v>
      </c>
      <c r="W289" s="64">
        <f>IFERROR(__xludf.DUMMYFUNCTION("""COMPUTED_VALUE"""),51.322314047463536)</f>
        <v>51.32231405</v>
      </c>
      <c r="X289" s="84">
        <f>IFERROR(__xludf.DUMMYFUNCTION("""COMPUTED_VALUE"""),65.88216877541703)</f>
        <v>65.88216878</v>
      </c>
      <c r="Y289" s="114">
        <f>IFERROR(__xludf.DUMMYFUNCTION("""COMPUTED_VALUE"""),1.3061295586479706)</f>
        <v>1.306129559</v>
      </c>
    </row>
    <row r="290">
      <c r="A290" s="109">
        <f>IFERROR(__xludf.DUMMYFUNCTION("""COMPUTED_VALUE"""),46132.64133358796)</f>
        <v>46132.64133</v>
      </c>
      <c r="B290" s="81" t="str">
        <f>IFERROR(__xludf.DUMMYFUNCTION("""COMPUTED_VALUE"""),"Brynn Hornig")</f>
        <v>Brynn Hornig</v>
      </c>
      <c r="C290" s="74" t="b">
        <f>IFERROR(__xludf.DUMMYFUNCTION("""COMPUTED_VALUE"""),FALSE)</f>
        <v>0</v>
      </c>
      <c r="D290" s="137">
        <f>IFERROR(__xludf.DUMMYFUNCTION("""COMPUTED_VALUE"""),0.5208333333357587)</f>
        <v>0.5208333333</v>
      </c>
      <c r="E290" s="82">
        <f>IFERROR(__xludf.DUMMYFUNCTION("""COMPUTED_VALUE"""),0.125)</f>
        <v>0.125</v>
      </c>
      <c r="F290" s="137">
        <f>IFERROR(__xludf.DUMMYFUNCTION("""COMPUTED_VALUE"""),0.6458333333357587)</f>
        <v>0.6458333333</v>
      </c>
      <c r="G290" s="82">
        <f>IFERROR(__xludf.DUMMYFUNCTION("""COMPUTED_VALUE"""),0.125)</f>
        <v>0.125</v>
      </c>
      <c r="H290" s="74">
        <f>IFERROR(__xludf.DUMMYFUNCTION("""COMPUTED_VALUE"""),76.0)</f>
        <v>76</v>
      </c>
      <c r="I290" s="84">
        <f>IFERROR(__xludf.DUMMYFUNCTION("""COMPUTED_VALUE"""),25.333333333333332)</f>
        <v>25.33333333</v>
      </c>
      <c r="J290" s="74" t="str">
        <f>IFERROR(__xludf.DUMMYFUNCTION("""COMPUTED_VALUE"""),"Lunch")</f>
        <v>Lunch</v>
      </c>
      <c r="K290" s="113">
        <f>IFERROR(__xludf.DUMMYFUNCTION("""COMPUTED_VALUE"""),46132.0)</f>
        <v>46132</v>
      </c>
      <c r="L290" s="74" t="str">
        <f>IFERROR(__xludf.DUMMYFUNCTION("""COMPUTED_VALUE"""),"Monday")</f>
        <v>Monday</v>
      </c>
      <c r="M290" s="74" t="str">
        <f>IFERROR(__xludf.DUMMYFUNCTION("""COMPUTED_VALUE"""),"BF")</f>
        <v>BF</v>
      </c>
      <c r="N290" s="114">
        <f>IFERROR(__xludf.DUMMYFUNCTION("""COMPUTED_VALUE"""),0.8935715376578599)</f>
        <v>0.8935715377</v>
      </c>
      <c r="O290" s="74" t="str">
        <f>IFERROR(__xludf.DUMMYFUNCTION("""COMPUTED_VALUE"""),"")</f>
        <v/>
      </c>
      <c r="P290" s="74" t="str">
        <f>IFERROR(__xludf.DUMMYFUNCTION("""COMPUTED_VALUE"""),"")</f>
        <v/>
      </c>
      <c r="Q290" s="82" t="str">
        <f>IFERROR(__xludf.DUMMYFUNCTION("""COMPUTED_VALUE"""),"")</f>
        <v/>
      </c>
      <c r="R290" s="82" t="str">
        <f>IFERROR(__xludf.DUMMYFUNCTION("""COMPUTED_VALUE"""),"")</f>
        <v/>
      </c>
      <c r="S290" s="84" t="str">
        <f>IFERROR(__xludf.DUMMYFUNCTION("""COMPUTED_VALUE"""),"")</f>
        <v/>
      </c>
      <c r="T290" s="84" t="str">
        <f>IFERROR(__xludf.DUMMYFUNCTION("""COMPUTED_VALUE"""),"")</f>
        <v/>
      </c>
      <c r="U290" s="74" t="str">
        <f>IFERROR(__xludf.DUMMYFUNCTION("""COMPUTED_VALUE"""),"")</f>
        <v/>
      </c>
      <c r="V290" s="82" t="str">
        <f>IFERROR(__xludf.DUMMYFUNCTION("""COMPUTED_VALUE"""),"")</f>
        <v/>
      </c>
      <c r="W290" s="64" t="str">
        <f>IFERROR(__xludf.DUMMYFUNCTION("""COMPUTED_VALUE"""),"")</f>
        <v/>
      </c>
      <c r="X290" s="84" t="str">
        <f>IFERROR(__xludf.DUMMYFUNCTION("""COMPUTED_VALUE"""),"")</f>
        <v/>
      </c>
      <c r="Y290" s="114" t="str">
        <f>IFERROR(__xludf.DUMMYFUNCTION("""COMPUTED_VALUE"""),"")</f>
        <v/>
      </c>
    </row>
    <row r="291">
      <c r="A291" s="109">
        <f>IFERROR(__xludf.DUMMYFUNCTION("""COMPUTED_VALUE"""),46132.74785409722)</f>
        <v>46132.74785</v>
      </c>
      <c r="B291" s="81" t="str">
        <f>IFERROR(__xludf.DUMMYFUNCTION("""COMPUTED_VALUE"""),"Orpheus Wilson")</f>
        <v>Orpheus Wilson</v>
      </c>
      <c r="C291" s="74" t="b">
        <f>IFERROR(__xludf.DUMMYFUNCTION("""COMPUTED_VALUE"""),FALSE)</f>
        <v>0</v>
      </c>
      <c r="D291" s="137">
        <f>IFERROR(__xludf.DUMMYFUNCTION("""COMPUTED_VALUE"""),0.6756944444423425)</f>
        <v>0.6756944444</v>
      </c>
      <c r="E291" s="82">
        <f>IFERROR(__xludf.DUMMYFUNCTION("""COMPUTED_VALUE"""),0.07152777777810115)</f>
        <v>0.07152777778</v>
      </c>
      <c r="F291" s="137">
        <f>IFERROR(__xludf.DUMMYFUNCTION("""COMPUTED_VALUE"""),0.7472222222204437)</f>
        <v>0.7472222222</v>
      </c>
      <c r="G291" s="82">
        <f>IFERROR(__xludf.DUMMYFUNCTION("""COMPUTED_VALUE"""),0.07152777777810115)</f>
        <v>0.07152777778</v>
      </c>
      <c r="H291" s="74">
        <f>IFERROR(__xludf.DUMMYFUNCTION("""COMPUTED_VALUE"""),97.0)</f>
        <v>97</v>
      </c>
      <c r="I291" s="84">
        <f>IFERROR(__xludf.DUMMYFUNCTION("""COMPUTED_VALUE"""),56.50485436867658)</f>
        <v>56.50485437</v>
      </c>
      <c r="J291" s="74" t="str">
        <f>IFERROR(__xludf.DUMMYFUNCTION("""COMPUTED_VALUE"""),"Dinner")</f>
        <v>Dinner</v>
      </c>
      <c r="K291" s="113">
        <f>IFERROR(__xludf.DUMMYFUNCTION("""COMPUTED_VALUE"""),46132.0)</f>
        <v>46132</v>
      </c>
      <c r="L291" s="74" t="str">
        <f>IFERROR(__xludf.DUMMYFUNCTION("""COMPUTED_VALUE"""),"Monday")</f>
        <v>Monday</v>
      </c>
      <c r="M291" s="74" t="str">
        <f>IFERROR(__xludf.DUMMYFUNCTION("""COMPUTED_VALUE"""),"MF")</f>
        <v>MF</v>
      </c>
      <c r="N291" s="114">
        <f>IFERROR(__xludf.DUMMYFUNCTION("""COMPUTED_VALUE"""),1.2183105723904388)</f>
        <v>1.218310572</v>
      </c>
      <c r="O291" s="74" t="str">
        <f>IFERROR(__xludf.DUMMYFUNCTION("""COMPUTED_VALUE"""),"")</f>
        <v/>
      </c>
      <c r="P291" s="74" t="str">
        <f>IFERROR(__xludf.DUMMYFUNCTION("""COMPUTED_VALUE"""),"")</f>
        <v/>
      </c>
      <c r="Q291" s="82" t="str">
        <f>IFERROR(__xludf.DUMMYFUNCTION("""COMPUTED_VALUE"""),"")</f>
        <v/>
      </c>
      <c r="R291" s="82" t="str">
        <f>IFERROR(__xludf.DUMMYFUNCTION("""COMPUTED_VALUE"""),"")</f>
        <v/>
      </c>
      <c r="S291" s="84" t="str">
        <f>IFERROR(__xludf.DUMMYFUNCTION("""COMPUTED_VALUE"""),"")</f>
        <v/>
      </c>
      <c r="T291" s="84" t="str">
        <f>IFERROR(__xludf.DUMMYFUNCTION("""COMPUTED_VALUE"""),"")</f>
        <v/>
      </c>
      <c r="U291" s="74" t="str">
        <f>IFERROR(__xludf.DUMMYFUNCTION("""COMPUTED_VALUE"""),"")</f>
        <v/>
      </c>
      <c r="V291" s="82" t="str">
        <f>IFERROR(__xludf.DUMMYFUNCTION("""COMPUTED_VALUE"""),"")</f>
        <v/>
      </c>
      <c r="W291" s="64" t="str">
        <f>IFERROR(__xludf.DUMMYFUNCTION("""COMPUTED_VALUE"""),"")</f>
        <v/>
      </c>
      <c r="X291" s="84" t="str">
        <f>IFERROR(__xludf.DUMMYFUNCTION("""COMPUTED_VALUE"""),"")</f>
        <v/>
      </c>
      <c r="Y291" s="114" t="str">
        <f>IFERROR(__xludf.DUMMYFUNCTION("""COMPUTED_VALUE"""),"")</f>
        <v/>
      </c>
    </row>
    <row r="292">
      <c r="A292" s="109">
        <f>IFERROR(__xludf.DUMMYFUNCTION("""COMPUTED_VALUE"""),46132.86673144676)</f>
        <v>46132.86673</v>
      </c>
      <c r="B292" s="81" t="str">
        <f>IFERROR(__xludf.DUMMYFUNCTION("""COMPUTED_VALUE"""),"Maureen Surgot")</f>
        <v>Maureen Surgot</v>
      </c>
      <c r="C292" s="74" t="b">
        <f>IFERROR(__xludf.DUMMYFUNCTION("""COMPUTED_VALUE"""),FALSE)</f>
        <v>0</v>
      </c>
      <c r="D292" s="137">
        <f>IFERROR(__xludf.DUMMYFUNCTION("""COMPUTED_VALUE"""),0.75)</f>
        <v>0.75</v>
      </c>
      <c r="E292" s="82">
        <f>IFERROR(__xludf.DUMMYFUNCTION("""COMPUTED_VALUE"""),0.125)</f>
        <v>0.125</v>
      </c>
      <c r="F292" s="137">
        <f>IFERROR(__xludf.DUMMYFUNCTION("""COMPUTED_VALUE"""),0.875)</f>
        <v>0.875</v>
      </c>
      <c r="G292" s="82">
        <f>IFERROR(__xludf.DUMMYFUNCTION("""COMPUTED_VALUE"""),0.125)</f>
        <v>0.125</v>
      </c>
      <c r="H292" s="74">
        <f>IFERROR(__xludf.DUMMYFUNCTION("""COMPUTED_VALUE"""),149.0)</f>
        <v>149</v>
      </c>
      <c r="I292" s="84">
        <f>IFERROR(__xludf.DUMMYFUNCTION("""COMPUTED_VALUE"""),49.666666666666664)</f>
        <v>49.66666667</v>
      </c>
      <c r="J292" s="74" t="str">
        <f>IFERROR(__xludf.DUMMYFUNCTION("""COMPUTED_VALUE"""),"Dinner")</f>
        <v>Dinner</v>
      </c>
      <c r="K292" s="113">
        <f>IFERROR(__xludf.DUMMYFUNCTION("""COMPUTED_VALUE"""),46132.0)</f>
        <v>46132</v>
      </c>
      <c r="L292" s="74" t="str">
        <f>IFERROR(__xludf.DUMMYFUNCTION("""COMPUTED_VALUE"""),"Monday")</f>
        <v>Monday</v>
      </c>
      <c r="M292" s="74" t="str">
        <f>IFERROR(__xludf.DUMMYFUNCTION("""COMPUTED_VALUE"""),"MF")</f>
        <v>MF</v>
      </c>
      <c r="N292" s="114">
        <f>IFERROR(__xludf.DUMMYFUNCTION("""COMPUTED_VALUE"""),1.0708712688751771)</f>
        <v>1.070871269</v>
      </c>
      <c r="O292" s="74">
        <f>IFERROR(__xludf.DUMMYFUNCTION("""COMPUTED_VALUE"""),246.0)</f>
        <v>246</v>
      </c>
      <c r="P292" s="74">
        <f>IFERROR(__xludf.DUMMYFUNCTION("""COMPUTED_VALUE"""),76.0)</f>
        <v>76</v>
      </c>
      <c r="Q292" s="82">
        <f>IFERROR(__xludf.DUMMYFUNCTION("""COMPUTED_VALUE"""),0.19652777777810115)</f>
        <v>0.1965277778</v>
      </c>
      <c r="R292" s="82">
        <f>IFERROR(__xludf.DUMMYFUNCTION("""COMPUTED_VALUE"""),0.125)</f>
        <v>0.125</v>
      </c>
      <c r="S292" s="84">
        <f>IFERROR(__xludf.DUMMYFUNCTION("""COMPUTED_VALUE"""),53.08576051767162)</f>
        <v>53.08576052</v>
      </c>
      <c r="T292" s="84">
        <f>IFERROR(__xludf.DUMMYFUNCTION("""COMPUTED_VALUE"""),25.333333333333332)</f>
        <v>25.33333333</v>
      </c>
      <c r="U292" s="74">
        <f>IFERROR(__xludf.DUMMYFUNCTION("""COMPUTED_VALUE"""),322.0)</f>
        <v>322</v>
      </c>
      <c r="V292" s="82">
        <f>IFERROR(__xludf.DUMMYFUNCTION("""COMPUTED_VALUE"""),0.32152777777810115)</f>
        <v>0.3215277778</v>
      </c>
      <c r="W292" s="64">
        <f>IFERROR(__xludf.DUMMYFUNCTION("""COMPUTED_VALUE"""),41.72786177101635)</f>
        <v>41.72786177</v>
      </c>
      <c r="X292" s="84">
        <f>IFERROR(__xludf.DUMMYFUNCTION("""COMPUTED_VALUE"""),43.834951456225525)</f>
        <v>43.83495146</v>
      </c>
      <c r="Y292" s="114">
        <f>IFERROR(__xludf.DUMMYFUNCTION("""COMPUTED_VALUE"""),0.800079623137001)</f>
        <v>0.8000796231</v>
      </c>
    </row>
    <row r="293">
      <c r="A293" s="109">
        <f>IFERROR(__xludf.DUMMYFUNCTION("""COMPUTED_VALUE"""),46133.56072796296)</f>
        <v>46133.56073</v>
      </c>
      <c r="B293" s="81" t="str">
        <f>IFERROR(__xludf.DUMMYFUNCTION("""COMPUTED_VALUE"""),"Kyra Turner")</f>
        <v>Kyra Turner</v>
      </c>
      <c r="C293" s="74" t="b">
        <f>IFERROR(__xludf.DUMMYFUNCTION("""COMPUTED_VALUE"""),FALSE)</f>
        <v>0</v>
      </c>
      <c r="D293" s="137">
        <f>IFERROR(__xludf.DUMMYFUNCTION("""COMPUTED_VALUE"""),0.48333333333721384)</f>
        <v>0.4833333333</v>
      </c>
      <c r="E293" s="82">
        <f>IFERROR(__xludf.DUMMYFUNCTION("""COMPUTED_VALUE"""),0.07499999999708962)</f>
        <v>0.075</v>
      </c>
      <c r="F293" s="137">
        <f>IFERROR(__xludf.DUMMYFUNCTION("""COMPUTED_VALUE"""),0.5583333333343035)</f>
        <v>0.5583333333</v>
      </c>
      <c r="G293" s="82">
        <f>IFERROR(__xludf.DUMMYFUNCTION("""COMPUTED_VALUE"""),0.13194444443797693)</f>
        <v>0.1319444444</v>
      </c>
      <c r="H293" s="74">
        <f>IFERROR(__xludf.DUMMYFUNCTION("""COMPUTED_VALUE"""),172.0)</f>
        <v>172</v>
      </c>
      <c r="I293" s="84">
        <f>IFERROR(__xludf.DUMMYFUNCTION("""COMPUTED_VALUE"""),93.47368421510811)</f>
        <v>93.47368422</v>
      </c>
      <c r="J293" s="74" t="str">
        <f>IFERROR(__xludf.DUMMYFUNCTION("""COMPUTED_VALUE"""),"Lunch")</f>
        <v>Lunch</v>
      </c>
      <c r="K293" s="113">
        <f>IFERROR(__xludf.DUMMYFUNCTION("""COMPUTED_VALUE"""),46133.0)</f>
        <v>46133</v>
      </c>
      <c r="L293" s="74" t="str">
        <f>IFERROR(__xludf.DUMMYFUNCTION("""COMPUTED_VALUE"""),"Tuesday")</f>
        <v>Tuesday</v>
      </c>
      <c r="M293" s="74" t="str">
        <f>IFERROR(__xludf.DUMMYFUNCTION("""COMPUTED_VALUE"""),"MF")</f>
        <v>MF</v>
      </c>
      <c r="N293" s="114">
        <f>IFERROR(__xludf.DUMMYFUNCTION("""COMPUTED_VALUE"""),1.8591555808299232)</f>
        <v>1.859155581</v>
      </c>
      <c r="O293" s="74" t="str">
        <f>IFERROR(__xludf.DUMMYFUNCTION("""COMPUTED_VALUE"""),"")</f>
        <v/>
      </c>
      <c r="P293" s="74" t="str">
        <f>IFERROR(__xludf.DUMMYFUNCTION("""COMPUTED_VALUE"""),"")</f>
        <v/>
      </c>
      <c r="Q293" s="82" t="str">
        <f>IFERROR(__xludf.DUMMYFUNCTION("""COMPUTED_VALUE"""),"")</f>
        <v/>
      </c>
      <c r="R293" s="82" t="str">
        <f>IFERROR(__xludf.DUMMYFUNCTION("""COMPUTED_VALUE"""),"")</f>
        <v/>
      </c>
      <c r="S293" s="84" t="str">
        <f>IFERROR(__xludf.DUMMYFUNCTION("""COMPUTED_VALUE"""),"")</f>
        <v/>
      </c>
      <c r="T293" s="84" t="str">
        <f>IFERROR(__xludf.DUMMYFUNCTION("""COMPUTED_VALUE"""),"")</f>
        <v/>
      </c>
      <c r="U293" s="74" t="str">
        <f>IFERROR(__xludf.DUMMYFUNCTION("""COMPUTED_VALUE"""),"")</f>
        <v/>
      </c>
      <c r="V293" s="82" t="str">
        <f>IFERROR(__xludf.DUMMYFUNCTION("""COMPUTED_VALUE"""),"")</f>
        <v/>
      </c>
      <c r="W293" s="64" t="str">
        <f>IFERROR(__xludf.DUMMYFUNCTION("""COMPUTED_VALUE"""),"")</f>
        <v/>
      </c>
      <c r="X293" s="84" t="str">
        <f>IFERROR(__xludf.DUMMYFUNCTION("""COMPUTED_VALUE"""),"")</f>
        <v/>
      </c>
      <c r="Y293" s="114" t="str">
        <f>IFERROR(__xludf.DUMMYFUNCTION("""COMPUTED_VALUE"""),"")</f>
        <v/>
      </c>
    </row>
    <row r="294">
      <c r="A294" s="109">
        <f>IFERROR(__xludf.DUMMYFUNCTION("""COMPUTED_VALUE"""),46133.622259282405)</f>
        <v>46133.62226</v>
      </c>
      <c r="B294" s="81" t="str">
        <f>IFERROR(__xludf.DUMMYFUNCTION("""COMPUTED_VALUE"""),"Kyra Turner")</f>
        <v>Kyra Turner</v>
      </c>
      <c r="C294" s="74" t="b">
        <f>IFERROR(__xludf.DUMMYFUNCTION("""COMPUTED_VALUE"""),TRUE)</f>
        <v>1</v>
      </c>
      <c r="D294" s="137">
        <f>IFERROR(__xludf.DUMMYFUNCTION("""COMPUTED_VALUE"""),0.5631944444467081)</f>
        <v>0.5631944444</v>
      </c>
      <c r="E294" s="82">
        <f>IFERROR(__xludf.DUMMYFUNCTION("""COMPUTED_VALUE"""),0.05694444444088731)</f>
        <v>0.05694444444</v>
      </c>
      <c r="F294" s="137">
        <f>IFERROR(__xludf.DUMMYFUNCTION("""COMPUTED_VALUE"""),0.6201388888875954)</f>
        <v>0.6201388889</v>
      </c>
      <c r="G294" s="82" t="str">
        <f>IFERROR(__xludf.DUMMYFUNCTION("""COMPUTED_VALUE"""),"")</f>
        <v/>
      </c>
      <c r="H294" s="74">
        <f>IFERROR(__xludf.DUMMYFUNCTION("""COMPUTED_VALUE"""),124.0)</f>
        <v>124</v>
      </c>
      <c r="I294" s="84" t="str">
        <f>IFERROR(__xludf.DUMMYFUNCTION("""COMPUTED_VALUE"""),"")</f>
        <v/>
      </c>
      <c r="J294" s="74" t="str">
        <f>IFERROR(__xludf.DUMMYFUNCTION("""COMPUTED_VALUE"""),"Lunch")</f>
        <v>Lunch</v>
      </c>
      <c r="K294" s="113">
        <f>IFERROR(__xludf.DUMMYFUNCTION("""COMPUTED_VALUE"""),46133.0)</f>
        <v>46133</v>
      </c>
      <c r="L294" s="74" t="str">
        <f>IFERROR(__xludf.DUMMYFUNCTION("""COMPUTED_VALUE"""),"Tuesday")</f>
        <v>Tuesday</v>
      </c>
      <c r="M294" s="74" t="str">
        <f>IFERROR(__xludf.DUMMYFUNCTION("""COMPUTED_VALUE"""),"MF")</f>
        <v>MF</v>
      </c>
      <c r="N294" s="114" t="str">
        <f>IFERROR(__xludf.DUMMYFUNCTION("""COMPUTED_VALUE"""),"")</f>
        <v/>
      </c>
      <c r="O294" s="74">
        <f>IFERROR(__xludf.DUMMYFUNCTION("""COMPUTED_VALUE"""),296.0)</f>
        <v>296</v>
      </c>
      <c r="P294" s="74">
        <f>IFERROR(__xludf.DUMMYFUNCTION("""COMPUTED_VALUE"""),86.0)</f>
        <v>86</v>
      </c>
      <c r="Q294" s="82">
        <f>IFERROR(__xludf.DUMMYFUNCTION("""COMPUTED_VALUE"""),0.13194444443797693)</f>
        <v>0.1319444444</v>
      </c>
      <c r="R294" s="82">
        <f>IFERROR(__xludf.DUMMYFUNCTION("""COMPUTED_VALUE"""),0.09027777778101154)</f>
        <v>0.09027777778</v>
      </c>
      <c r="S294" s="84">
        <f>IFERROR(__xludf.DUMMYFUNCTION("""COMPUTED_VALUE"""),93.47368421510811)</f>
        <v>93.47368422</v>
      </c>
      <c r="T294" s="84">
        <f>IFERROR(__xludf.DUMMYFUNCTION("""COMPUTED_VALUE"""),39.69230769088591)</f>
        <v>39.69230769</v>
      </c>
      <c r="U294" s="74">
        <f>IFERROR(__xludf.DUMMYFUNCTION("""COMPUTED_VALUE"""),382.0)</f>
        <v>382</v>
      </c>
      <c r="V294" s="82">
        <f>IFERROR(__xludf.DUMMYFUNCTION("""COMPUTED_VALUE"""),0.22222222221898846)</f>
        <v>0.2222222222</v>
      </c>
      <c r="W294" s="64">
        <f>IFERROR(__xludf.DUMMYFUNCTION("""COMPUTED_VALUE"""),71.62500000104228)</f>
        <v>71.625</v>
      </c>
      <c r="X294" s="84">
        <f>IFERROR(__xludf.DUMMYFUNCTION("""COMPUTED_VALUE"""),66.58299595299701)</f>
        <v>66.58299595</v>
      </c>
      <c r="Y294" s="114">
        <f>IFERROR(__xludf.DUMMYFUNCTION("""COMPUTED_VALUE"""),0.853292930011487)</f>
        <v>0.85329293</v>
      </c>
    </row>
    <row r="295">
      <c r="A295" s="109">
        <f>IFERROR(__xludf.DUMMYFUNCTION("""COMPUTED_VALUE"""),46134.622194525466)</f>
        <v>46134.62219</v>
      </c>
      <c r="B295" s="81" t="str">
        <f>IFERROR(__xludf.DUMMYFUNCTION("""COMPUTED_VALUE"""),"Evan Morgan")</f>
        <v>Evan Morgan</v>
      </c>
      <c r="C295" s="74" t="b">
        <f>IFERROR(__xludf.DUMMYFUNCTION("""COMPUTED_VALUE"""),FALSE)</f>
        <v>0</v>
      </c>
      <c r="D295" s="137">
        <f>IFERROR(__xludf.DUMMYFUNCTION("""COMPUTED_VALUE"""),0.5416666666642413)</f>
        <v>0.5416666667</v>
      </c>
      <c r="E295" s="82">
        <f>IFERROR(__xludf.DUMMYFUNCTION("""COMPUTED_VALUE"""),0.07986111111677019)</f>
        <v>0.07986111112</v>
      </c>
      <c r="F295" s="137">
        <f>IFERROR(__xludf.DUMMYFUNCTION("""COMPUTED_VALUE"""),0.6215277777810115)</f>
        <v>0.6215277778</v>
      </c>
      <c r="G295" s="82">
        <f>IFERROR(__xludf.DUMMYFUNCTION("""COMPUTED_VALUE"""),0.07986111111677019)</f>
        <v>0.07986111112</v>
      </c>
      <c r="H295" s="74">
        <f>IFERROR(__xludf.DUMMYFUNCTION("""COMPUTED_VALUE"""),91.0)</f>
        <v>91</v>
      </c>
      <c r="I295" s="84">
        <f>IFERROR(__xludf.DUMMYFUNCTION("""COMPUTED_VALUE"""),47.478260866200834)</f>
        <v>47.47826087</v>
      </c>
      <c r="J295" s="74" t="str">
        <f>IFERROR(__xludf.DUMMYFUNCTION("""COMPUTED_VALUE"""),"Lunch")</f>
        <v>Lunch</v>
      </c>
      <c r="K295" s="113">
        <f>IFERROR(__xludf.DUMMYFUNCTION("""COMPUTED_VALUE"""),46134.0)</f>
        <v>46134</v>
      </c>
      <c r="L295" s="74" t="str">
        <f>IFERROR(__xludf.DUMMYFUNCTION("""COMPUTED_VALUE"""),"Wednesday")</f>
        <v>Wednesday</v>
      </c>
      <c r="M295" s="74" t="str">
        <f>IFERROR(__xludf.DUMMYFUNCTION("""COMPUTED_VALUE"""),"MF")</f>
        <v>MF</v>
      </c>
      <c r="N295" s="114">
        <f>IFERROR(__xludf.DUMMYFUNCTION("""COMPUTED_VALUE"""),0.9443243239922415)</f>
        <v>0.944324324</v>
      </c>
      <c r="O295" s="74" t="str">
        <f>IFERROR(__xludf.DUMMYFUNCTION("""COMPUTED_VALUE"""),"")</f>
        <v/>
      </c>
      <c r="P295" s="74" t="str">
        <f>IFERROR(__xludf.DUMMYFUNCTION("""COMPUTED_VALUE"""),"")</f>
        <v/>
      </c>
      <c r="Q295" s="82" t="str">
        <f>IFERROR(__xludf.DUMMYFUNCTION("""COMPUTED_VALUE"""),"")</f>
        <v/>
      </c>
      <c r="R295" s="82" t="str">
        <f>IFERROR(__xludf.DUMMYFUNCTION("""COMPUTED_VALUE"""),"")</f>
        <v/>
      </c>
      <c r="S295" s="84" t="str">
        <f>IFERROR(__xludf.DUMMYFUNCTION("""COMPUTED_VALUE"""),"")</f>
        <v/>
      </c>
      <c r="T295" s="84" t="str">
        <f>IFERROR(__xludf.DUMMYFUNCTION("""COMPUTED_VALUE"""),"")</f>
        <v/>
      </c>
      <c r="U295" s="74" t="str">
        <f>IFERROR(__xludf.DUMMYFUNCTION("""COMPUTED_VALUE"""),"")</f>
        <v/>
      </c>
      <c r="V295" s="82" t="str">
        <f>IFERROR(__xludf.DUMMYFUNCTION("""COMPUTED_VALUE"""),"")</f>
        <v/>
      </c>
      <c r="W295" s="64" t="str">
        <f>IFERROR(__xludf.DUMMYFUNCTION("""COMPUTED_VALUE"""),"")</f>
        <v/>
      </c>
      <c r="X295" s="84" t="str">
        <f>IFERROR(__xludf.DUMMYFUNCTION("""COMPUTED_VALUE"""),"")</f>
        <v/>
      </c>
      <c r="Y295" s="114" t="str">
        <f>IFERROR(__xludf.DUMMYFUNCTION("""COMPUTED_VALUE"""),"")</f>
        <v/>
      </c>
    </row>
    <row r="296">
      <c r="A296" s="109">
        <f>IFERROR(__xludf.DUMMYFUNCTION("""COMPUTED_VALUE"""),46134.73584836806)</f>
        <v>46134.73585</v>
      </c>
      <c r="B296" s="81" t="str">
        <f>IFERROR(__xludf.DUMMYFUNCTION("""COMPUTED_VALUE"""),"Evan Morgan")</f>
        <v>Evan Morgan</v>
      </c>
      <c r="C296" s="74" t="b">
        <f>IFERROR(__xludf.DUMMYFUNCTION("""COMPUTED_VALUE"""),FALSE)</f>
        <v>0</v>
      </c>
      <c r="D296" s="137">
        <f>IFERROR(__xludf.DUMMYFUNCTION("""COMPUTED_VALUE"""),0.6666666666642413)</f>
        <v>0.6666666667</v>
      </c>
      <c r="E296" s="82">
        <f>IFERROR(__xludf.DUMMYFUNCTION("""COMPUTED_VALUE"""),0.06805555555911269)</f>
        <v>0.06805555556</v>
      </c>
      <c r="F296" s="137">
        <f>IFERROR(__xludf.DUMMYFUNCTION("""COMPUTED_VALUE"""),0.734722222223354)</f>
        <v>0.7347222222</v>
      </c>
      <c r="G296" s="82">
        <f>IFERROR(__xludf.DUMMYFUNCTION("""COMPUTED_VALUE"""),0.06805555555911269)</f>
        <v>0.06805555556</v>
      </c>
      <c r="H296" s="74">
        <f>IFERROR(__xludf.DUMMYFUNCTION("""COMPUTED_VALUE"""),70.0)</f>
        <v>70</v>
      </c>
      <c r="I296" s="84">
        <f>IFERROR(__xludf.DUMMYFUNCTION("""COMPUTED_VALUE"""),42.8571428549028)</f>
        <v>42.85714285</v>
      </c>
      <c r="J296" s="74" t="str">
        <f>IFERROR(__xludf.DUMMYFUNCTION("""COMPUTED_VALUE"""),"Dinner")</f>
        <v>Dinner</v>
      </c>
      <c r="K296" s="113">
        <f>IFERROR(__xludf.DUMMYFUNCTION("""COMPUTED_VALUE"""),46134.0)</f>
        <v>46134</v>
      </c>
      <c r="L296" s="74" t="str">
        <f>IFERROR(__xludf.DUMMYFUNCTION("""COMPUTED_VALUE"""),"Wednesday")</f>
        <v>Wednesday</v>
      </c>
      <c r="M296" s="74" t="str">
        <f>IFERROR(__xludf.DUMMYFUNCTION("""COMPUTED_VALUE"""),"MF")</f>
        <v>MF</v>
      </c>
      <c r="N296" s="114">
        <f>IFERROR(__xludf.DUMMYFUNCTION("""COMPUTED_VALUE"""),0.9240499922696879)</f>
        <v>0.9240499923</v>
      </c>
      <c r="O296" s="74" t="str">
        <f>IFERROR(__xludf.DUMMYFUNCTION("""COMPUTED_VALUE"""),"")</f>
        <v/>
      </c>
      <c r="P296" s="74" t="str">
        <f>IFERROR(__xludf.DUMMYFUNCTION("""COMPUTED_VALUE"""),"")</f>
        <v/>
      </c>
      <c r="Q296" s="82" t="str">
        <f>IFERROR(__xludf.DUMMYFUNCTION("""COMPUTED_VALUE"""),"")</f>
        <v/>
      </c>
      <c r="R296" s="82" t="str">
        <f>IFERROR(__xludf.DUMMYFUNCTION("""COMPUTED_VALUE"""),"")</f>
        <v/>
      </c>
      <c r="S296" s="84" t="str">
        <f>IFERROR(__xludf.DUMMYFUNCTION("""COMPUTED_VALUE"""),"")</f>
        <v/>
      </c>
      <c r="T296" s="84" t="str">
        <f>IFERROR(__xludf.DUMMYFUNCTION("""COMPUTED_VALUE"""),"")</f>
        <v/>
      </c>
      <c r="U296" s="74" t="str">
        <f>IFERROR(__xludf.DUMMYFUNCTION("""COMPUTED_VALUE"""),"")</f>
        <v/>
      </c>
      <c r="V296" s="82" t="str">
        <f>IFERROR(__xludf.DUMMYFUNCTION("""COMPUTED_VALUE"""),"")</f>
        <v/>
      </c>
      <c r="W296" s="64" t="str">
        <f>IFERROR(__xludf.DUMMYFUNCTION("""COMPUTED_VALUE"""),"")</f>
        <v/>
      </c>
      <c r="X296" s="84" t="str">
        <f>IFERROR(__xludf.DUMMYFUNCTION("""COMPUTED_VALUE"""),"")</f>
        <v/>
      </c>
      <c r="Y296" s="114" t="str">
        <f>IFERROR(__xludf.DUMMYFUNCTION("""COMPUTED_VALUE"""),"")</f>
        <v/>
      </c>
    </row>
    <row r="297">
      <c r="A297" s="109">
        <f>IFERROR(__xludf.DUMMYFUNCTION("""COMPUTED_VALUE"""),46134.852159305556)</f>
        <v>46134.85216</v>
      </c>
      <c r="B297" s="81" t="str">
        <f>IFERROR(__xludf.DUMMYFUNCTION("""COMPUTED_VALUE"""),"Maureen Surgot")</f>
        <v>Maureen Surgot</v>
      </c>
      <c r="C297" s="74" t="b">
        <f>IFERROR(__xludf.DUMMYFUNCTION("""COMPUTED_VALUE"""),FALSE)</f>
        <v>0</v>
      </c>
      <c r="D297" s="137">
        <f>IFERROR(__xludf.DUMMYFUNCTION("""COMPUTED_VALUE"""),0.6875)</f>
        <v>0.6875</v>
      </c>
      <c r="E297" s="82">
        <f>IFERROR(__xludf.DUMMYFUNCTION("""COMPUTED_VALUE"""),0.16666666666424135)</f>
        <v>0.1666666667</v>
      </c>
      <c r="F297" s="137">
        <f>IFERROR(__xludf.DUMMYFUNCTION("""COMPUTED_VALUE"""),0.8541666666642413)</f>
        <v>0.8541666667</v>
      </c>
      <c r="G297" s="82">
        <f>IFERROR(__xludf.DUMMYFUNCTION("""COMPUTED_VALUE"""),0.16666666666424135)</f>
        <v>0.1666666667</v>
      </c>
      <c r="H297" s="74">
        <f>IFERROR(__xludf.DUMMYFUNCTION("""COMPUTED_VALUE"""),156.0)</f>
        <v>156</v>
      </c>
      <c r="I297" s="84">
        <f>IFERROR(__xludf.DUMMYFUNCTION("""COMPUTED_VALUE"""),39.000000000567525)</f>
        <v>39</v>
      </c>
      <c r="J297" s="74" t="str">
        <f>IFERROR(__xludf.DUMMYFUNCTION("""COMPUTED_VALUE"""),"Dinner")</f>
        <v>Dinner</v>
      </c>
      <c r="K297" s="113">
        <f>IFERROR(__xludf.DUMMYFUNCTION("""COMPUTED_VALUE"""),46134.0)</f>
        <v>46134</v>
      </c>
      <c r="L297" s="74" t="str">
        <f>IFERROR(__xludf.DUMMYFUNCTION("""COMPUTED_VALUE"""),"Wednesday")</f>
        <v>Wednesday</v>
      </c>
      <c r="M297" s="74" t="str">
        <f>IFERROR(__xludf.DUMMYFUNCTION("""COMPUTED_VALUE"""),"BF")</f>
        <v>BF</v>
      </c>
      <c r="N297" s="114">
        <f>IFERROR(__xludf.DUMMYFUNCTION("""COMPUTED_VALUE"""),0.8777493606138107)</f>
        <v>0.8777493606</v>
      </c>
      <c r="O297" s="74" t="str">
        <f>IFERROR(__xludf.DUMMYFUNCTION("""COMPUTED_VALUE"""),"")</f>
        <v/>
      </c>
      <c r="P297" s="74" t="str">
        <f>IFERROR(__xludf.DUMMYFUNCTION("""COMPUTED_VALUE"""),"")</f>
        <v/>
      </c>
      <c r="Q297" s="82" t="str">
        <f>IFERROR(__xludf.DUMMYFUNCTION("""COMPUTED_VALUE"""),"")</f>
        <v/>
      </c>
      <c r="R297" s="82" t="str">
        <f>IFERROR(__xludf.DUMMYFUNCTION("""COMPUTED_VALUE"""),"")</f>
        <v/>
      </c>
      <c r="S297" s="84" t="str">
        <f>IFERROR(__xludf.DUMMYFUNCTION("""COMPUTED_VALUE"""),"")</f>
        <v/>
      </c>
      <c r="T297" s="84" t="str">
        <f>IFERROR(__xludf.DUMMYFUNCTION("""COMPUTED_VALUE"""),"")</f>
        <v/>
      </c>
      <c r="U297" s="74" t="str">
        <f>IFERROR(__xludf.DUMMYFUNCTION("""COMPUTED_VALUE"""),"")</f>
        <v/>
      </c>
      <c r="V297" s="82" t="str">
        <f>IFERROR(__xludf.DUMMYFUNCTION("""COMPUTED_VALUE"""),"")</f>
        <v/>
      </c>
      <c r="W297" s="64" t="str">
        <f>IFERROR(__xludf.DUMMYFUNCTION("""COMPUTED_VALUE"""),"")</f>
        <v/>
      </c>
      <c r="X297" s="84" t="str">
        <f>IFERROR(__xludf.DUMMYFUNCTION("""COMPUTED_VALUE"""),"")</f>
        <v/>
      </c>
      <c r="Y297" s="114" t="str">
        <f>IFERROR(__xludf.DUMMYFUNCTION("""COMPUTED_VALUE"""),"")</f>
        <v/>
      </c>
    </row>
    <row r="298">
      <c r="A298" s="109">
        <f>IFERROR(__xludf.DUMMYFUNCTION("""COMPUTED_VALUE"""),46134.86991646991)</f>
        <v>46134.86992</v>
      </c>
      <c r="B298" s="81" t="str">
        <f>IFERROR(__xludf.DUMMYFUNCTION("""COMPUTED_VALUE"""),"Brynn Hornig")</f>
        <v>Brynn Hornig</v>
      </c>
      <c r="C298" s="74" t="b">
        <f>IFERROR(__xludf.DUMMYFUNCTION("""COMPUTED_VALUE"""),FALSE)</f>
        <v>0</v>
      </c>
      <c r="D298" s="137">
        <f>IFERROR(__xludf.DUMMYFUNCTION("""COMPUTED_VALUE"""),0.75)</f>
        <v>0.75</v>
      </c>
      <c r="E298" s="82">
        <f>IFERROR(__xludf.DUMMYFUNCTION("""COMPUTED_VALUE"""),0.125)</f>
        <v>0.125</v>
      </c>
      <c r="F298" s="137">
        <f>IFERROR(__xludf.DUMMYFUNCTION("""COMPUTED_VALUE"""),0.875)</f>
        <v>0.875</v>
      </c>
      <c r="G298" s="82">
        <f>IFERROR(__xludf.DUMMYFUNCTION("""COMPUTED_VALUE"""),0.125)</f>
        <v>0.125</v>
      </c>
      <c r="H298" s="74">
        <f>IFERROR(__xludf.DUMMYFUNCTION("""COMPUTED_VALUE"""),123.0)</f>
        <v>123</v>
      </c>
      <c r="I298" s="84">
        <f>IFERROR(__xludf.DUMMYFUNCTION("""COMPUTED_VALUE"""),41.0)</f>
        <v>41</v>
      </c>
      <c r="J298" s="74" t="str">
        <f>IFERROR(__xludf.DUMMYFUNCTION("""COMPUTED_VALUE"""),"Dinner")</f>
        <v>Dinner</v>
      </c>
      <c r="K298" s="113">
        <f>IFERROR(__xludf.DUMMYFUNCTION("""COMPUTED_VALUE"""),46134.0)</f>
        <v>46134</v>
      </c>
      <c r="L298" s="74" t="str">
        <f>IFERROR(__xludf.DUMMYFUNCTION("""COMPUTED_VALUE"""),"Wednesday")</f>
        <v>Wednesday</v>
      </c>
      <c r="M298" s="74" t="str">
        <f>IFERROR(__xludf.DUMMYFUNCTION("""COMPUTED_VALUE"""),"MF")</f>
        <v>MF</v>
      </c>
      <c r="N298" s="114">
        <f>IFERROR(__xludf.DUMMYFUNCTION("""COMPUTED_VALUE"""),0.8840078259842068)</f>
        <v>0.884007826</v>
      </c>
      <c r="O298" s="74">
        <f>IFERROR(__xludf.DUMMYFUNCTION("""COMPUTED_VALUE"""),284.0)</f>
        <v>284</v>
      </c>
      <c r="P298" s="74">
        <f>IFERROR(__xludf.DUMMYFUNCTION("""COMPUTED_VALUE"""),156.0)</f>
        <v>156</v>
      </c>
      <c r="Q298" s="82">
        <f>IFERROR(__xludf.DUMMYFUNCTION("""COMPUTED_VALUE"""),0.2729166666758829)</f>
        <v>0.2729166667</v>
      </c>
      <c r="R298" s="82">
        <f>IFERROR(__xludf.DUMMYFUNCTION("""COMPUTED_VALUE"""),0.16666666666424135)</f>
        <v>0.1666666667</v>
      </c>
      <c r="S298" s="84">
        <f>IFERROR(__xludf.DUMMYFUNCTION("""COMPUTED_VALUE"""),43.778467907034546)</f>
        <v>43.77846791</v>
      </c>
      <c r="T298" s="84">
        <f>IFERROR(__xludf.DUMMYFUNCTION("""COMPUTED_VALUE"""),39.000000000567525)</f>
        <v>39</v>
      </c>
      <c r="U298" s="74">
        <f>IFERROR(__xludf.DUMMYFUNCTION("""COMPUTED_VALUE"""),440.0)</f>
        <v>440</v>
      </c>
      <c r="V298" s="82">
        <f>IFERROR(__xludf.DUMMYFUNCTION("""COMPUTED_VALUE"""),0.4395833333401242)</f>
        <v>0.4395833333</v>
      </c>
      <c r="W298" s="64">
        <f>IFERROR(__xludf.DUMMYFUNCTION("""COMPUTED_VALUE"""),41.70616113679646)</f>
        <v>41.70616114</v>
      </c>
      <c r="X298" s="84">
        <f>IFERROR(__xludf.DUMMYFUNCTION("""COMPUTED_VALUE"""),42.58385093041779)</f>
        <v>42.58385093</v>
      </c>
      <c r="Y298" s="114">
        <f>IFERROR(__xludf.DUMMYFUNCTION("""COMPUTED_VALUE"""),0.7842350517139077)</f>
        <v>0.7842350517</v>
      </c>
    </row>
    <row r="299">
      <c r="A299" s="109">
        <f>IFERROR(__xludf.DUMMYFUNCTION("""COMPUTED_VALUE"""),46135.47293178241)</f>
        <v>46135.47293</v>
      </c>
      <c r="B299" s="81" t="str">
        <f>IFERROR(__xludf.DUMMYFUNCTION("""COMPUTED_VALUE"""),"Sophia Kluck")</f>
        <v>Sophia Kluck</v>
      </c>
      <c r="C299" s="74" t="b">
        <f>IFERROR(__xludf.DUMMYFUNCTION("""COMPUTED_VALUE"""),FALSE)</f>
        <v>0</v>
      </c>
      <c r="D299" s="137">
        <f>IFERROR(__xludf.DUMMYFUNCTION("""COMPUTED_VALUE"""),0.3687500000014552)</f>
        <v>0.36875</v>
      </c>
      <c r="E299" s="82">
        <f>IFERROR(__xludf.DUMMYFUNCTION("""COMPUTED_VALUE"""),0.10138888889196096)</f>
        <v>0.1013888889</v>
      </c>
      <c r="F299" s="137">
        <f>IFERROR(__xludf.DUMMYFUNCTION("""COMPUTED_VALUE"""),0.47013888889341615)</f>
        <v>0.4701388889</v>
      </c>
      <c r="G299" s="82">
        <f>IFERROR(__xludf.DUMMYFUNCTION("""COMPUTED_VALUE"""),0.10138888889196096)</f>
        <v>0.1013888889</v>
      </c>
      <c r="H299" s="74">
        <f>IFERROR(__xludf.DUMMYFUNCTION("""COMPUTED_VALUE"""),77.0)</f>
        <v>77</v>
      </c>
      <c r="I299" s="84">
        <f>IFERROR(__xludf.DUMMYFUNCTION("""COMPUTED_VALUE"""),31.643835615479553)</f>
        <v>31.64383562</v>
      </c>
      <c r="J299" s="74" t="str">
        <f>IFERROR(__xludf.DUMMYFUNCTION("""COMPUTED_VALUE"""),"Breakfast/Lunch")</f>
        <v>Breakfast/Lunch</v>
      </c>
      <c r="K299" s="113">
        <f>IFERROR(__xludf.DUMMYFUNCTION("""COMPUTED_VALUE"""),46135.0)</f>
        <v>46135</v>
      </c>
      <c r="L299" s="74" t="str">
        <f>IFERROR(__xludf.DUMMYFUNCTION("""COMPUTED_VALUE"""),"Thursday")</f>
        <v>Thursday</v>
      </c>
      <c r="M299" s="74" t="str">
        <f>IFERROR(__xludf.DUMMYFUNCTION("""COMPUTED_VALUE"""),"BF")</f>
        <v>BF</v>
      </c>
      <c r="N299" s="114">
        <f>IFERROR(__xludf.DUMMYFUNCTION("""COMPUTED_VALUE"""),0.7380186692065691)</f>
        <v>0.7380186692</v>
      </c>
      <c r="O299" s="74" t="str">
        <f>IFERROR(__xludf.DUMMYFUNCTION("""COMPUTED_VALUE"""),"")</f>
        <v/>
      </c>
      <c r="P299" s="74" t="str">
        <f>IFERROR(__xludf.DUMMYFUNCTION("""COMPUTED_VALUE"""),"")</f>
        <v/>
      </c>
      <c r="Q299" s="82" t="str">
        <f>IFERROR(__xludf.DUMMYFUNCTION("""COMPUTED_VALUE"""),"")</f>
        <v/>
      </c>
      <c r="R299" s="82" t="str">
        <f>IFERROR(__xludf.DUMMYFUNCTION("""COMPUTED_VALUE"""),"")</f>
        <v/>
      </c>
      <c r="S299" s="84" t="str">
        <f>IFERROR(__xludf.DUMMYFUNCTION("""COMPUTED_VALUE"""),"")</f>
        <v/>
      </c>
      <c r="T299" s="84" t="str">
        <f>IFERROR(__xludf.DUMMYFUNCTION("""COMPUTED_VALUE"""),"")</f>
        <v/>
      </c>
      <c r="U299" s="74" t="str">
        <f>IFERROR(__xludf.DUMMYFUNCTION("""COMPUTED_VALUE"""),"")</f>
        <v/>
      </c>
      <c r="V299" s="82" t="str">
        <f>IFERROR(__xludf.DUMMYFUNCTION("""COMPUTED_VALUE"""),"")</f>
        <v/>
      </c>
      <c r="W299" s="64" t="str">
        <f>IFERROR(__xludf.DUMMYFUNCTION("""COMPUTED_VALUE"""),"")</f>
        <v/>
      </c>
      <c r="X299" s="84" t="str">
        <f>IFERROR(__xludf.DUMMYFUNCTION("""COMPUTED_VALUE"""),"")</f>
        <v/>
      </c>
      <c r="Y299" s="114" t="str">
        <f>IFERROR(__xludf.DUMMYFUNCTION("""COMPUTED_VALUE"""),"")</f>
        <v/>
      </c>
    </row>
    <row r="300">
      <c r="B300" s="81"/>
      <c r="E300" s="82"/>
      <c r="G300" s="82"/>
      <c r="I300" s="84"/>
      <c r="K300" s="74"/>
      <c r="N300" s="114"/>
      <c r="Q300" s="82"/>
      <c r="R300" s="82"/>
      <c r="S300" s="84"/>
      <c r="T300" s="84"/>
      <c r="V300" s="82"/>
      <c r="W300" s="64"/>
      <c r="X300" s="84"/>
      <c r="Y300" s="114"/>
    </row>
    <row r="301">
      <c r="B301" s="81"/>
      <c r="E301" s="82"/>
      <c r="G301" s="82"/>
      <c r="I301" s="84"/>
      <c r="K301" s="74"/>
      <c r="N301" s="114"/>
      <c r="Q301" s="82"/>
      <c r="R301" s="82"/>
      <c r="S301" s="84"/>
      <c r="T301" s="84"/>
      <c r="V301" s="82"/>
      <c r="W301" s="64"/>
      <c r="X301" s="84"/>
      <c r="Y301" s="114"/>
    </row>
    <row r="302">
      <c r="B302" s="81"/>
      <c r="E302" s="82"/>
      <c r="G302" s="82"/>
      <c r="I302" s="84"/>
      <c r="K302" s="74"/>
      <c r="N302" s="114"/>
      <c r="Q302" s="82"/>
      <c r="R302" s="82"/>
      <c r="S302" s="84"/>
      <c r="T302" s="84"/>
      <c r="V302" s="82"/>
      <c r="W302" s="64"/>
      <c r="X302" s="84"/>
      <c r="Y302" s="114"/>
    </row>
    <row r="303">
      <c r="B303" s="81"/>
      <c r="E303" s="82"/>
      <c r="G303" s="82"/>
      <c r="I303" s="84"/>
      <c r="K303" s="74"/>
      <c r="N303" s="114"/>
      <c r="Q303" s="82"/>
      <c r="R303" s="82"/>
      <c r="S303" s="84"/>
      <c r="T303" s="84"/>
      <c r="V303" s="82"/>
      <c r="W303" s="64"/>
      <c r="X303" s="84"/>
      <c r="Y303" s="114"/>
    </row>
    <row r="304">
      <c r="B304" s="81"/>
      <c r="E304" s="82"/>
      <c r="G304" s="82"/>
      <c r="I304" s="84"/>
      <c r="K304" s="74"/>
      <c r="N304" s="114"/>
      <c r="Q304" s="82"/>
      <c r="R304" s="82"/>
      <c r="S304" s="84"/>
      <c r="T304" s="84"/>
      <c r="V304" s="82"/>
      <c r="W304" s="64"/>
      <c r="X304" s="84"/>
      <c r="Y304" s="114"/>
    </row>
    <row r="305">
      <c r="B305" s="81"/>
      <c r="E305" s="82"/>
      <c r="G305" s="82"/>
      <c r="I305" s="84"/>
      <c r="K305" s="74"/>
      <c r="N305" s="114"/>
      <c r="Q305" s="82"/>
      <c r="R305" s="82"/>
      <c r="S305" s="84"/>
      <c r="T305" s="84"/>
      <c r="V305" s="82"/>
      <c r="W305" s="64"/>
      <c r="X305" s="84"/>
      <c r="Y305" s="114"/>
    </row>
    <row r="306">
      <c r="B306" s="81"/>
      <c r="E306" s="82"/>
      <c r="G306" s="82"/>
      <c r="I306" s="84"/>
      <c r="K306" s="74"/>
      <c r="N306" s="114"/>
      <c r="Q306" s="82"/>
      <c r="R306" s="82"/>
      <c r="S306" s="84"/>
      <c r="T306" s="84"/>
      <c r="V306" s="82"/>
      <c r="W306" s="64"/>
      <c r="X306" s="84"/>
      <c r="Y306" s="114"/>
    </row>
    <row r="307">
      <c r="B307" s="81"/>
      <c r="E307" s="82"/>
      <c r="G307" s="82"/>
      <c r="I307" s="84"/>
      <c r="K307" s="74"/>
      <c r="N307" s="114"/>
      <c r="Q307" s="82"/>
      <c r="R307" s="82"/>
      <c r="S307" s="84"/>
      <c r="T307" s="84"/>
      <c r="V307" s="82"/>
      <c r="W307" s="64"/>
      <c r="X307" s="84"/>
      <c r="Y307" s="114"/>
    </row>
    <row r="308">
      <c r="B308" s="81"/>
      <c r="E308" s="82"/>
      <c r="G308" s="82"/>
      <c r="I308" s="84"/>
      <c r="K308" s="74"/>
      <c r="N308" s="114"/>
      <c r="Q308" s="82"/>
      <c r="R308" s="82"/>
      <c r="S308" s="84"/>
      <c r="T308" s="84"/>
      <c r="V308" s="82"/>
      <c r="W308" s="64"/>
      <c r="X308" s="84"/>
      <c r="Y308" s="114"/>
    </row>
    <row r="309">
      <c r="B309" s="81"/>
      <c r="E309" s="82"/>
      <c r="G309" s="82"/>
      <c r="I309" s="84"/>
      <c r="K309" s="74"/>
      <c r="N309" s="114"/>
      <c r="Q309" s="82"/>
      <c r="R309" s="82"/>
      <c r="S309" s="84"/>
      <c r="T309" s="84"/>
      <c r="V309" s="82"/>
      <c r="W309" s="64"/>
      <c r="X309" s="84"/>
      <c r="Y309" s="114"/>
    </row>
    <row r="310">
      <c r="B310" s="81"/>
      <c r="E310" s="82"/>
      <c r="G310" s="82"/>
      <c r="I310" s="84"/>
      <c r="K310" s="74"/>
      <c r="N310" s="114"/>
      <c r="Q310" s="82"/>
      <c r="R310" s="82"/>
      <c r="S310" s="84"/>
      <c r="T310" s="84"/>
      <c r="V310" s="82"/>
      <c r="W310" s="64"/>
      <c r="X310" s="84"/>
      <c r="Y310" s="114"/>
    </row>
    <row r="311">
      <c r="B311" s="81"/>
      <c r="E311" s="82"/>
      <c r="G311" s="82"/>
      <c r="I311" s="84"/>
      <c r="K311" s="74"/>
      <c r="N311" s="114"/>
      <c r="Q311" s="82"/>
      <c r="R311" s="82"/>
      <c r="S311" s="84"/>
      <c r="T311" s="84"/>
      <c r="V311" s="82"/>
      <c r="W311" s="64"/>
      <c r="X311" s="84"/>
      <c r="Y311" s="114"/>
    </row>
    <row r="312">
      <c r="B312" s="81"/>
      <c r="E312" s="82"/>
      <c r="G312" s="82"/>
      <c r="I312" s="84"/>
      <c r="K312" s="74"/>
      <c r="N312" s="114"/>
      <c r="Q312" s="82"/>
      <c r="R312" s="82"/>
      <c r="S312" s="84"/>
      <c r="T312" s="84"/>
      <c r="V312" s="82"/>
      <c r="W312" s="64"/>
      <c r="X312" s="84"/>
      <c r="Y312" s="114"/>
    </row>
    <row r="313">
      <c r="B313" s="81"/>
      <c r="E313" s="82"/>
      <c r="G313" s="82"/>
      <c r="I313" s="84"/>
      <c r="K313" s="74"/>
      <c r="N313" s="114"/>
      <c r="Q313" s="82"/>
      <c r="R313" s="82"/>
      <c r="S313" s="84"/>
      <c r="T313" s="84"/>
      <c r="V313" s="82"/>
      <c r="W313" s="64"/>
      <c r="X313" s="84"/>
      <c r="Y313" s="114"/>
    </row>
    <row r="314">
      <c r="B314" s="81"/>
      <c r="E314" s="82"/>
      <c r="G314" s="82"/>
      <c r="I314" s="84"/>
      <c r="K314" s="74"/>
      <c r="N314" s="114"/>
      <c r="Q314" s="82"/>
      <c r="R314" s="82"/>
      <c r="S314" s="84"/>
      <c r="T314" s="84"/>
      <c r="V314" s="82"/>
      <c r="W314" s="64"/>
      <c r="X314" s="84"/>
      <c r="Y314" s="114"/>
    </row>
    <row r="315">
      <c r="B315" s="81"/>
      <c r="E315" s="82"/>
      <c r="G315" s="82"/>
      <c r="I315" s="84"/>
      <c r="K315" s="74"/>
      <c r="N315" s="114"/>
      <c r="Q315" s="82"/>
      <c r="R315" s="82"/>
      <c r="S315" s="84"/>
      <c r="T315" s="84"/>
      <c r="V315" s="82"/>
      <c r="W315" s="64"/>
      <c r="X315" s="84"/>
      <c r="Y315" s="114"/>
    </row>
    <row r="316">
      <c r="B316" s="81"/>
      <c r="E316" s="82"/>
      <c r="G316" s="82"/>
      <c r="I316" s="84"/>
      <c r="K316" s="74"/>
      <c r="N316" s="114"/>
      <c r="Q316" s="82"/>
      <c r="R316" s="82"/>
      <c r="S316" s="84"/>
      <c r="T316" s="84"/>
      <c r="V316" s="82"/>
      <c r="W316" s="64"/>
      <c r="X316" s="84"/>
      <c r="Y316" s="114"/>
    </row>
    <row r="317">
      <c r="B317" s="81"/>
      <c r="E317" s="82"/>
      <c r="G317" s="82"/>
      <c r="I317" s="84"/>
      <c r="K317" s="74"/>
      <c r="N317" s="114"/>
      <c r="Q317" s="82"/>
      <c r="R317" s="82"/>
      <c r="S317" s="84"/>
      <c r="T317" s="84"/>
      <c r="V317" s="82"/>
      <c r="W317" s="64"/>
      <c r="X317" s="84"/>
      <c r="Y317" s="114"/>
    </row>
    <row r="318">
      <c r="B318" s="81"/>
      <c r="E318" s="82"/>
      <c r="G318" s="82"/>
      <c r="I318" s="84"/>
      <c r="K318" s="74"/>
      <c r="N318" s="114"/>
      <c r="Q318" s="82"/>
      <c r="R318" s="82"/>
      <c r="S318" s="84"/>
      <c r="T318" s="84"/>
      <c r="V318" s="82"/>
      <c r="W318" s="64"/>
      <c r="X318" s="84"/>
      <c r="Y318" s="114"/>
    </row>
    <row r="319">
      <c r="B319" s="81"/>
      <c r="E319" s="82"/>
      <c r="G319" s="82"/>
      <c r="I319" s="84"/>
      <c r="K319" s="74"/>
      <c r="N319" s="114"/>
      <c r="Q319" s="82"/>
      <c r="R319" s="82"/>
      <c r="S319" s="84"/>
      <c r="T319" s="84"/>
      <c r="V319" s="82"/>
      <c r="W319" s="64"/>
      <c r="X319" s="84"/>
      <c r="Y319" s="114"/>
    </row>
    <row r="320">
      <c r="B320" s="81"/>
      <c r="E320" s="82"/>
      <c r="G320" s="82"/>
      <c r="I320" s="84"/>
      <c r="K320" s="74"/>
      <c r="N320" s="114"/>
      <c r="Q320" s="82"/>
      <c r="R320" s="82"/>
      <c r="S320" s="84"/>
      <c r="T320" s="84"/>
      <c r="V320" s="82"/>
      <c r="W320" s="64"/>
      <c r="X320" s="84"/>
      <c r="Y320" s="114"/>
    </row>
    <row r="321">
      <c r="B321" s="81"/>
      <c r="E321" s="82"/>
      <c r="G321" s="82"/>
      <c r="I321" s="84"/>
      <c r="K321" s="74"/>
      <c r="N321" s="114"/>
      <c r="Q321" s="82"/>
      <c r="R321" s="82"/>
      <c r="S321" s="84"/>
      <c r="T321" s="84"/>
      <c r="V321" s="82"/>
      <c r="W321" s="64"/>
      <c r="X321" s="84"/>
      <c r="Y321" s="114"/>
    </row>
    <row r="322">
      <c r="B322" s="81"/>
      <c r="E322" s="82"/>
      <c r="G322" s="82"/>
      <c r="I322" s="84"/>
      <c r="K322" s="74"/>
      <c r="N322" s="114"/>
      <c r="Q322" s="82"/>
      <c r="R322" s="82"/>
      <c r="S322" s="84"/>
      <c r="T322" s="84"/>
      <c r="V322" s="82"/>
      <c r="W322" s="64"/>
      <c r="X322" s="84"/>
      <c r="Y322" s="114"/>
    </row>
    <row r="323">
      <c r="B323" s="81"/>
      <c r="E323" s="82"/>
      <c r="G323" s="82"/>
      <c r="I323" s="84"/>
      <c r="K323" s="74"/>
      <c r="N323" s="114"/>
      <c r="Q323" s="82"/>
      <c r="R323" s="82"/>
      <c r="S323" s="84"/>
      <c r="T323" s="84"/>
      <c r="V323" s="82"/>
      <c r="W323" s="64"/>
      <c r="X323" s="84"/>
      <c r="Y323" s="114"/>
    </row>
    <row r="324">
      <c r="B324" s="81"/>
      <c r="E324" s="82"/>
      <c r="G324" s="82"/>
      <c r="I324" s="84"/>
      <c r="K324" s="74"/>
      <c r="N324" s="114"/>
      <c r="Q324" s="82"/>
      <c r="R324" s="82"/>
      <c r="S324" s="84"/>
      <c r="T324" s="84"/>
      <c r="V324" s="82"/>
      <c r="W324" s="64"/>
      <c r="X324" s="84"/>
      <c r="Y324" s="114"/>
    </row>
    <row r="325">
      <c r="B325" s="81"/>
      <c r="E325" s="82"/>
      <c r="G325" s="82"/>
      <c r="I325" s="84"/>
      <c r="K325" s="74"/>
      <c r="N325" s="114"/>
      <c r="Q325" s="82"/>
      <c r="R325" s="82"/>
      <c r="S325" s="84"/>
      <c r="T325" s="84"/>
      <c r="V325" s="82"/>
      <c r="W325" s="64"/>
      <c r="X325" s="84"/>
      <c r="Y325" s="114"/>
    </row>
    <row r="326">
      <c r="B326" s="81"/>
      <c r="E326" s="82"/>
      <c r="G326" s="82"/>
      <c r="I326" s="84"/>
      <c r="K326" s="74"/>
      <c r="N326" s="114"/>
      <c r="Q326" s="82"/>
      <c r="R326" s="82"/>
      <c r="S326" s="84"/>
      <c r="T326" s="84"/>
      <c r="V326" s="82"/>
      <c r="W326" s="64"/>
      <c r="X326" s="84"/>
      <c r="Y326" s="114"/>
    </row>
    <row r="327">
      <c r="B327" s="81"/>
      <c r="E327" s="82"/>
      <c r="G327" s="82"/>
      <c r="I327" s="84"/>
      <c r="K327" s="74"/>
      <c r="N327" s="114"/>
      <c r="Q327" s="82"/>
      <c r="R327" s="82"/>
      <c r="S327" s="84"/>
      <c r="T327" s="84"/>
      <c r="V327" s="82"/>
      <c r="W327" s="64"/>
      <c r="X327" s="84"/>
      <c r="Y327" s="114"/>
    </row>
    <row r="328">
      <c r="B328" s="81"/>
      <c r="E328" s="82"/>
      <c r="G328" s="82"/>
      <c r="I328" s="84"/>
      <c r="K328" s="74"/>
      <c r="N328" s="114"/>
      <c r="Q328" s="82"/>
      <c r="R328" s="82"/>
      <c r="S328" s="84"/>
      <c r="T328" s="84"/>
      <c r="V328" s="82"/>
      <c r="W328" s="64"/>
      <c r="X328" s="84"/>
      <c r="Y328" s="114"/>
    </row>
    <row r="329">
      <c r="B329" s="81"/>
      <c r="E329" s="82"/>
      <c r="G329" s="82"/>
      <c r="I329" s="84"/>
      <c r="K329" s="74"/>
      <c r="N329" s="114"/>
      <c r="Q329" s="82"/>
      <c r="R329" s="82"/>
      <c r="S329" s="84"/>
      <c r="T329" s="84"/>
      <c r="V329" s="82"/>
      <c r="W329" s="64"/>
      <c r="X329" s="84"/>
      <c r="Y329" s="114"/>
    </row>
    <row r="330">
      <c r="B330" s="81"/>
      <c r="E330" s="82"/>
      <c r="G330" s="82"/>
      <c r="I330" s="84"/>
      <c r="K330" s="74"/>
      <c r="N330" s="114"/>
      <c r="Q330" s="82"/>
      <c r="R330" s="82"/>
      <c r="S330" s="84"/>
      <c r="T330" s="84"/>
      <c r="V330" s="82"/>
      <c r="W330" s="64"/>
      <c r="X330" s="84"/>
      <c r="Y330" s="114"/>
    </row>
    <row r="331">
      <c r="B331" s="81"/>
      <c r="E331" s="82"/>
      <c r="G331" s="82"/>
      <c r="I331" s="84"/>
      <c r="K331" s="74"/>
      <c r="N331" s="114"/>
      <c r="Q331" s="82"/>
      <c r="R331" s="82"/>
      <c r="S331" s="84"/>
      <c r="T331" s="84"/>
      <c r="V331" s="82"/>
      <c r="W331" s="64"/>
      <c r="X331" s="84"/>
      <c r="Y331" s="114"/>
    </row>
    <row r="332">
      <c r="B332" s="81"/>
      <c r="E332" s="82"/>
      <c r="G332" s="82"/>
      <c r="I332" s="84"/>
      <c r="K332" s="74"/>
      <c r="N332" s="114"/>
      <c r="Q332" s="82"/>
      <c r="R332" s="82"/>
      <c r="S332" s="84"/>
      <c r="T332" s="84"/>
      <c r="V332" s="82"/>
      <c r="W332" s="64"/>
      <c r="X332" s="84"/>
      <c r="Y332" s="114"/>
    </row>
    <row r="333">
      <c r="B333" s="81"/>
      <c r="E333" s="82"/>
      <c r="G333" s="82"/>
      <c r="I333" s="84"/>
      <c r="K333" s="74"/>
      <c r="N333" s="114"/>
      <c r="Q333" s="82"/>
      <c r="R333" s="82"/>
      <c r="S333" s="84"/>
      <c r="T333" s="84"/>
      <c r="V333" s="82"/>
      <c r="W333" s="64"/>
      <c r="X333" s="84"/>
      <c r="Y333" s="114"/>
    </row>
    <row r="334">
      <c r="B334" s="81"/>
      <c r="E334" s="82"/>
      <c r="G334" s="82"/>
      <c r="I334" s="84"/>
      <c r="K334" s="74"/>
      <c r="N334" s="114"/>
      <c r="Q334" s="82"/>
      <c r="R334" s="82"/>
      <c r="S334" s="84"/>
      <c r="T334" s="84"/>
      <c r="V334" s="82"/>
      <c r="W334" s="64"/>
      <c r="X334" s="84"/>
      <c r="Y334" s="114"/>
    </row>
    <row r="335">
      <c r="B335" s="81"/>
      <c r="E335" s="82"/>
      <c r="G335" s="82"/>
      <c r="I335" s="84"/>
      <c r="K335" s="74"/>
      <c r="N335" s="114"/>
      <c r="Q335" s="82"/>
      <c r="R335" s="82"/>
      <c r="S335" s="84"/>
      <c r="T335" s="84"/>
      <c r="V335" s="82"/>
      <c r="W335" s="64"/>
      <c r="X335" s="84"/>
      <c r="Y335" s="114"/>
    </row>
    <row r="336">
      <c r="B336" s="81"/>
      <c r="E336" s="82"/>
      <c r="G336" s="82"/>
      <c r="I336" s="84"/>
      <c r="K336" s="74"/>
      <c r="N336" s="114"/>
      <c r="Q336" s="82"/>
      <c r="R336" s="82"/>
      <c r="S336" s="84"/>
      <c r="T336" s="84"/>
      <c r="V336" s="82"/>
      <c r="W336" s="64"/>
      <c r="X336" s="84"/>
      <c r="Y336" s="114"/>
    </row>
    <row r="337">
      <c r="B337" s="81"/>
      <c r="E337" s="82"/>
      <c r="G337" s="82"/>
      <c r="I337" s="84"/>
      <c r="K337" s="74"/>
      <c r="N337" s="114"/>
      <c r="Q337" s="82"/>
      <c r="R337" s="82"/>
      <c r="S337" s="84"/>
      <c r="T337" s="84"/>
      <c r="V337" s="82"/>
      <c r="W337" s="64"/>
      <c r="X337" s="84"/>
      <c r="Y337" s="114"/>
    </row>
    <row r="338">
      <c r="B338" s="81"/>
      <c r="E338" s="82"/>
      <c r="G338" s="82"/>
      <c r="I338" s="84"/>
      <c r="K338" s="74"/>
      <c r="N338" s="114"/>
      <c r="Q338" s="82"/>
      <c r="R338" s="82"/>
      <c r="S338" s="84"/>
      <c r="T338" s="84"/>
      <c r="V338" s="82"/>
      <c r="W338" s="64"/>
      <c r="X338" s="84"/>
      <c r="Y338" s="114"/>
    </row>
    <row r="339">
      <c r="B339" s="81"/>
      <c r="E339" s="82"/>
      <c r="G339" s="82"/>
      <c r="I339" s="84"/>
      <c r="K339" s="74"/>
      <c r="N339" s="114"/>
      <c r="Q339" s="82"/>
      <c r="R339" s="82"/>
      <c r="S339" s="84"/>
      <c r="T339" s="84"/>
      <c r="V339" s="82"/>
      <c r="W339" s="64"/>
      <c r="X339" s="84"/>
      <c r="Y339" s="114"/>
    </row>
    <row r="340">
      <c r="B340" s="81"/>
      <c r="E340" s="82"/>
      <c r="G340" s="82"/>
      <c r="I340" s="84"/>
      <c r="K340" s="74"/>
      <c r="N340" s="114"/>
      <c r="Q340" s="82"/>
      <c r="R340" s="82"/>
      <c r="S340" s="84"/>
      <c r="T340" s="84"/>
      <c r="V340" s="82"/>
      <c r="W340" s="64"/>
      <c r="X340" s="84"/>
      <c r="Y340" s="114"/>
    </row>
    <row r="341">
      <c r="B341" s="81"/>
      <c r="E341" s="82"/>
      <c r="G341" s="82"/>
      <c r="I341" s="84"/>
      <c r="K341" s="74"/>
      <c r="N341" s="114"/>
      <c r="Q341" s="82"/>
      <c r="R341" s="82"/>
      <c r="S341" s="84"/>
      <c r="T341" s="84"/>
      <c r="V341" s="82"/>
      <c r="W341" s="64"/>
      <c r="X341" s="84"/>
      <c r="Y341" s="114"/>
    </row>
    <row r="342">
      <c r="B342" s="81"/>
      <c r="E342" s="82"/>
      <c r="G342" s="82"/>
      <c r="I342" s="84"/>
      <c r="K342" s="74"/>
      <c r="N342" s="114"/>
      <c r="Q342" s="82"/>
      <c r="R342" s="82"/>
      <c r="S342" s="84"/>
      <c r="T342" s="84"/>
      <c r="V342" s="82"/>
      <c r="W342" s="64"/>
      <c r="X342" s="84"/>
      <c r="Y342" s="114"/>
    </row>
    <row r="343">
      <c r="B343" s="81"/>
      <c r="E343" s="82"/>
      <c r="G343" s="82"/>
      <c r="I343" s="84"/>
      <c r="K343" s="74"/>
      <c r="N343" s="114"/>
      <c r="Q343" s="82"/>
      <c r="R343" s="82"/>
      <c r="S343" s="84"/>
      <c r="T343" s="84"/>
      <c r="V343" s="82"/>
      <c r="W343" s="64"/>
      <c r="X343" s="84"/>
      <c r="Y343" s="114"/>
    </row>
    <row r="344">
      <c r="B344" s="81"/>
      <c r="E344" s="82"/>
      <c r="G344" s="82"/>
      <c r="I344" s="84"/>
      <c r="K344" s="74"/>
      <c r="N344" s="114"/>
      <c r="Q344" s="82"/>
      <c r="R344" s="82"/>
      <c r="S344" s="84"/>
      <c r="T344" s="84"/>
      <c r="V344" s="82"/>
      <c r="W344" s="64"/>
      <c r="X344" s="84"/>
      <c r="Y344" s="114"/>
    </row>
    <row r="345">
      <c r="B345" s="81"/>
      <c r="E345" s="82"/>
      <c r="G345" s="82"/>
      <c r="I345" s="84"/>
      <c r="K345" s="74"/>
      <c r="N345" s="114"/>
      <c r="Q345" s="82"/>
      <c r="R345" s="82"/>
      <c r="S345" s="84"/>
      <c r="T345" s="84"/>
      <c r="V345" s="82"/>
      <c r="W345" s="64"/>
      <c r="X345" s="84"/>
      <c r="Y345" s="114"/>
    </row>
    <row r="346">
      <c r="B346" s="81"/>
      <c r="E346" s="82"/>
      <c r="G346" s="82"/>
      <c r="I346" s="84"/>
      <c r="K346" s="74"/>
      <c r="N346" s="114"/>
      <c r="Q346" s="82"/>
      <c r="R346" s="82"/>
      <c r="S346" s="84"/>
      <c r="T346" s="84"/>
      <c r="V346" s="82"/>
      <c r="W346" s="64"/>
      <c r="X346" s="84"/>
      <c r="Y346" s="114"/>
    </row>
    <row r="347">
      <c r="B347" s="81"/>
      <c r="E347" s="82"/>
      <c r="G347" s="82"/>
      <c r="I347" s="84"/>
      <c r="K347" s="74"/>
      <c r="N347" s="114"/>
      <c r="Q347" s="82"/>
      <c r="R347" s="82"/>
      <c r="S347" s="84"/>
      <c r="T347" s="84"/>
      <c r="V347" s="82"/>
      <c r="W347" s="64"/>
      <c r="X347" s="84"/>
      <c r="Y347" s="114"/>
    </row>
    <row r="348">
      <c r="B348" s="81"/>
      <c r="E348" s="82"/>
      <c r="G348" s="82"/>
      <c r="I348" s="84"/>
      <c r="K348" s="74"/>
      <c r="N348" s="114"/>
      <c r="Q348" s="82"/>
      <c r="R348" s="82"/>
      <c r="S348" s="84"/>
      <c r="T348" s="84"/>
      <c r="V348" s="82"/>
      <c r="W348" s="64"/>
      <c r="X348" s="84"/>
      <c r="Y348" s="114"/>
    </row>
    <row r="349">
      <c r="B349" s="81"/>
      <c r="E349" s="82"/>
      <c r="G349" s="82"/>
      <c r="I349" s="84"/>
      <c r="K349" s="74"/>
      <c r="N349" s="114"/>
      <c r="Q349" s="82"/>
      <c r="R349" s="82"/>
      <c r="S349" s="84"/>
      <c r="T349" s="84"/>
      <c r="V349" s="82"/>
      <c r="W349" s="64"/>
      <c r="X349" s="84"/>
      <c r="Y349" s="114"/>
    </row>
    <row r="350">
      <c r="B350" s="81"/>
      <c r="E350" s="82"/>
      <c r="G350" s="82"/>
      <c r="I350" s="84"/>
      <c r="K350" s="74"/>
      <c r="N350" s="114"/>
      <c r="Q350" s="82"/>
      <c r="R350" s="82"/>
      <c r="S350" s="84"/>
      <c r="T350" s="84"/>
      <c r="V350" s="82"/>
      <c r="W350" s="64"/>
      <c r="X350" s="84"/>
      <c r="Y350" s="114"/>
    </row>
    <row r="351">
      <c r="B351" s="81"/>
      <c r="E351" s="82"/>
      <c r="G351" s="82"/>
      <c r="I351" s="84"/>
      <c r="K351" s="74"/>
      <c r="N351" s="114"/>
      <c r="Q351" s="82"/>
      <c r="R351" s="82"/>
      <c r="S351" s="84"/>
      <c r="T351" s="84"/>
      <c r="V351" s="82"/>
      <c r="W351" s="64"/>
      <c r="X351" s="84"/>
      <c r="Y351" s="114"/>
    </row>
    <row r="352">
      <c r="B352" s="81"/>
      <c r="E352" s="82"/>
      <c r="G352" s="82"/>
      <c r="I352" s="84"/>
      <c r="K352" s="74"/>
      <c r="N352" s="114"/>
      <c r="Q352" s="82"/>
      <c r="R352" s="82"/>
      <c r="S352" s="84"/>
      <c r="T352" s="84"/>
      <c r="V352" s="82"/>
      <c r="W352" s="64"/>
      <c r="X352" s="84"/>
      <c r="Y352" s="114"/>
    </row>
    <row r="353">
      <c r="B353" s="81"/>
      <c r="E353" s="82"/>
      <c r="G353" s="82"/>
      <c r="I353" s="84"/>
      <c r="K353" s="74"/>
      <c r="N353" s="114"/>
      <c r="Q353" s="82"/>
      <c r="R353" s="82"/>
      <c r="S353" s="84"/>
      <c r="T353" s="84"/>
      <c r="V353" s="82"/>
      <c r="W353" s="64"/>
      <c r="X353" s="84"/>
      <c r="Y353" s="114"/>
    </row>
    <row r="354">
      <c r="B354" s="81"/>
      <c r="E354" s="82"/>
      <c r="G354" s="82"/>
      <c r="I354" s="84"/>
      <c r="K354" s="74"/>
      <c r="N354" s="114"/>
      <c r="Q354" s="82"/>
      <c r="R354" s="82"/>
      <c r="S354" s="84"/>
      <c r="T354" s="84"/>
      <c r="V354" s="82"/>
      <c r="W354" s="64"/>
      <c r="X354" s="84"/>
      <c r="Y354" s="114"/>
    </row>
    <row r="355">
      <c r="B355" s="81"/>
      <c r="E355" s="82"/>
      <c r="G355" s="82"/>
      <c r="I355" s="84"/>
      <c r="K355" s="74"/>
      <c r="N355" s="114"/>
      <c r="Q355" s="82"/>
      <c r="R355" s="82"/>
      <c r="S355" s="84"/>
      <c r="T355" s="84"/>
      <c r="V355" s="82"/>
      <c r="W355" s="64"/>
      <c r="X355" s="84"/>
      <c r="Y355" s="114"/>
    </row>
    <row r="356">
      <c r="B356" s="81"/>
      <c r="E356" s="82"/>
      <c r="G356" s="82"/>
      <c r="I356" s="84"/>
      <c r="K356" s="74"/>
      <c r="N356" s="114"/>
      <c r="Q356" s="82"/>
      <c r="R356" s="82"/>
      <c r="S356" s="84"/>
      <c r="T356" s="84"/>
      <c r="V356" s="82"/>
      <c r="W356" s="64"/>
      <c r="X356" s="84"/>
      <c r="Y356" s="114"/>
    </row>
    <row r="357">
      <c r="B357" s="81"/>
      <c r="E357" s="82"/>
      <c r="G357" s="82"/>
      <c r="I357" s="84"/>
      <c r="K357" s="74"/>
      <c r="N357" s="114"/>
      <c r="Q357" s="82"/>
      <c r="R357" s="82"/>
      <c r="S357" s="84"/>
      <c r="T357" s="84"/>
      <c r="V357" s="82"/>
      <c r="W357" s="64"/>
      <c r="X357" s="84"/>
      <c r="Y357" s="114"/>
    </row>
    <row r="358">
      <c r="B358" s="81"/>
      <c r="E358" s="82"/>
      <c r="G358" s="82"/>
      <c r="I358" s="84"/>
      <c r="K358" s="74"/>
      <c r="N358" s="114"/>
      <c r="Q358" s="82"/>
      <c r="R358" s="82"/>
      <c r="S358" s="84"/>
      <c r="T358" s="84"/>
      <c r="V358" s="82"/>
      <c r="W358" s="64"/>
      <c r="X358" s="84"/>
      <c r="Y358" s="114"/>
    </row>
    <row r="359">
      <c r="B359" s="81"/>
      <c r="E359" s="82"/>
      <c r="G359" s="82"/>
      <c r="I359" s="84"/>
      <c r="K359" s="74"/>
      <c r="N359" s="114"/>
      <c r="Q359" s="82"/>
      <c r="R359" s="82"/>
      <c r="S359" s="84"/>
      <c r="T359" s="84"/>
      <c r="V359" s="82"/>
      <c r="W359" s="64"/>
      <c r="X359" s="84"/>
      <c r="Y359" s="114"/>
    </row>
    <row r="360">
      <c r="B360" s="81"/>
      <c r="E360" s="82"/>
      <c r="G360" s="82"/>
      <c r="I360" s="84"/>
      <c r="K360" s="74"/>
      <c r="N360" s="114"/>
      <c r="Q360" s="82"/>
      <c r="R360" s="82"/>
      <c r="S360" s="84"/>
      <c r="T360" s="84"/>
      <c r="V360" s="82"/>
      <c r="W360" s="64"/>
      <c r="X360" s="84"/>
      <c r="Y360" s="114"/>
    </row>
    <row r="361">
      <c r="B361" s="81"/>
      <c r="E361" s="82"/>
      <c r="G361" s="82"/>
      <c r="I361" s="84"/>
      <c r="K361" s="74"/>
      <c r="N361" s="114"/>
      <c r="Q361" s="82"/>
      <c r="R361" s="82"/>
      <c r="S361" s="84"/>
      <c r="T361" s="84"/>
      <c r="V361" s="82"/>
      <c r="W361" s="64"/>
      <c r="X361" s="84"/>
      <c r="Y361" s="114"/>
    </row>
    <row r="362">
      <c r="B362" s="81"/>
      <c r="E362" s="82"/>
      <c r="G362" s="82"/>
      <c r="I362" s="84"/>
      <c r="K362" s="74"/>
      <c r="N362" s="114"/>
      <c r="Q362" s="82"/>
      <c r="R362" s="82"/>
      <c r="S362" s="84"/>
      <c r="T362" s="84"/>
      <c r="V362" s="82"/>
      <c r="W362" s="64"/>
      <c r="X362" s="84"/>
      <c r="Y362" s="114"/>
    </row>
    <row r="363">
      <c r="B363" s="81"/>
      <c r="E363" s="82"/>
      <c r="G363" s="82"/>
      <c r="I363" s="84"/>
      <c r="K363" s="74"/>
      <c r="N363" s="114"/>
      <c r="Q363" s="82"/>
      <c r="R363" s="82"/>
      <c r="S363" s="84"/>
      <c r="T363" s="84"/>
      <c r="V363" s="82"/>
      <c r="W363" s="64"/>
      <c r="X363" s="84"/>
      <c r="Y363" s="114"/>
    </row>
    <row r="364">
      <c r="B364" s="81"/>
      <c r="E364" s="82"/>
      <c r="G364" s="82"/>
      <c r="I364" s="84"/>
      <c r="K364" s="74"/>
      <c r="N364" s="114"/>
      <c r="Q364" s="82"/>
      <c r="R364" s="82"/>
      <c r="S364" s="84"/>
      <c r="T364" s="84"/>
      <c r="V364" s="82"/>
      <c r="W364" s="64"/>
      <c r="X364" s="84"/>
      <c r="Y364" s="114"/>
    </row>
    <row r="365">
      <c r="B365" s="81"/>
      <c r="E365" s="82"/>
      <c r="G365" s="82"/>
      <c r="I365" s="84"/>
      <c r="K365" s="74"/>
      <c r="N365" s="114"/>
      <c r="Q365" s="82"/>
      <c r="R365" s="82"/>
      <c r="S365" s="84"/>
      <c r="T365" s="84"/>
      <c r="V365" s="82"/>
      <c r="W365" s="64"/>
      <c r="X365" s="84"/>
      <c r="Y365" s="114"/>
    </row>
    <row r="366">
      <c r="B366" s="81"/>
      <c r="E366" s="82"/>
      <c r="G366" s="82"/>
      <c r="I366" s="84"/>
      <c r="K366" s="74"/>
      <c r="N366" s="114"/>
      <c r="Q366" s="82"/>
      <c r="R366" s="82"/>
      <c r="S366" s="84"/>
      <c r="T366" s="84"/>
      <c r="V366" s="82"/>
      <c r="W366" s="64"/>
      <c r="X366" s="84"/>
      <c r="Y366" s="114"/>
    </row>
    <row r="367">
      <c r="B367" s="81"/>
      <c r="E367" s="82"/>
      <c r="G367" s="82"/>
      <c r="I367" s="84"/>
      <c r="K367" s="74"/>
      <c r="N367" s="114"/>
      <c r="Q367" s="82"/>
      <c r="R367" s="82"/>
      <c r="S367" s="84"/>
      <c r="T367" s="84"/>
      <c r="V367" s="82"/>
      <c r="W367" s="64"/>
      <c r="X367" s="84"/>
      <c r="Y367" s="114"/>
    </row>
    <row r="368">
      <c r="B368" s="81"/>
      <c r="E368" s="82"/>
      <c r="G368" s="82"/>
      <c r="I368" s="84"/>
      <c r="K368" s="74"/>
      <c r="N368" s="114"/>
      <c r="Q368" s="82"/>
      <c r="R368" s="82"/>
      <c r="S368" s="84"/>
      <c r="T368" s="84"/>
      <c r="V368" s="82"/>
      <c r="W368" s="64"/>
      <c r="X368" s="84"/>
      <c r="Y368" s="114"/>
    </row>
    <row r="369">
      <c r="B369" s="81"/>
      <c r="E369" s="82"/>
      <c r="G369" s="82"/>
      <c r="I369" s="84"/>
      <c r="K369" s="74"/>
      <c r="N369" s="114"/>
      <c r="Q369" s="82"/>
      <c r="R369" s="82"/>
      <c r="S369" s="84"/>
      <c r="T369" s="84"/>
      <c r="V369" s="82"/>
      <c r="W369" s="64"/>
      <c r="X369" s="84"/>
      <c r="Y369" s="114"/>
    </row>
    <row r="370">
      <c r="B370" s="81"/>
      <c r="E370" s="82"/>
      <c r="G370" s="82"/>
      <c r="I370" s="84"/>
      <c r="K370" s="74"/>
      <c r="N370" s="114"/>
      <c r="Q370" s="82"/>
      <c r="R370" s="82"/>
      <c r="S370" s="84"/>
      <c r="T370" s="84"/>
      <c r="V370" s="82"/>
      <c r="W370" s="64"/>
      <c r="X370" s="84"/>
      <c r="Y370" s="114"/>
    </row>
    <row r="371">
      <c r="B371" s="81"/>
      <c r="E371" s="82"/>
      <c r="G371" s="82"/>
      <c r="I371" s="84"/>
      <c r="K371" s="74"/>
      <c r="N371" s="114"/>
      <c r="Q371" s="82"/>
      <c r="R371" s="82"/>
      <c r="S371" s="84"/>
      <c r="T371" s="84"/>
      <c r="V371" s="82"/>
      <c r="W371" s="64"/>
      <c r="X371" s="84"/>
      <c r="Y371" s="114"/>
    </row>
    <row r="372">
      <c r="B372" s="81"/>
      <c r="E372" s="82"/>
      <c r="G372" s="82"/>
      <c r="I372" s="84"/>
      <c r="K372" s="74"/>
      <c r="N372" s="114"/>
      <c r="Q372" s="82"/>
      <c r="R372" s="82"/>
      <c r="S372" s="84"/>
      <c r="T372" s="84"/>
      <c r="V372" s="82"/>
      <c r="W372" s="64"/>
      <c r="X372" s="84"/>
      <c r="Y372" s="114"/>
    </row>
    <row r="373">
      <c r="B373" s="81"/>
      <c r="E373" s="82"/>
      <c r="G373" s="82"/>
      <c r="I373" s="84"/>
      <c r="K373" s="74"/>
      <c r="N373" s="114"/>
      <c r="Q373" s="82"/>
      <c r="R373" s="82"/>
      <c r="S373" s="84"/>
      <c r="T373" s="84"/>
      <c r="V373" s="82"/>
      <c r="W373" s="64"/>
      <c r="X373" s="84"/>
      <c r="Y373" s="114"/>
    </row>
    <row r="374">
      <c r="B374" s="81"/>
      <c r="E374" s="82"/>
      <c r="G374" s="82"/>
      <c r="I374" s="84"/>
      <c r="K374" s="74"/>
      <c r="N374" s="114"/>
      <c r="Q374" s="82"/>
      <c r="R374" s="82"/>
      <c r="S374" s="84"/>
      <c r="T374" s="84"/>
      <c r="V374" s="82"/>
      <c r="W374" s="64"/>
      <c r="X374" s="84"/>
      <c r="Y374" s="114"/>
    </row>
    <row r="375">
      <c r="B375" s="81"/>
      <c r="E375" s="82"/>
      <c r="G375" s="82"/>
      <c r="I375" s="84"/>
      <c r="K375" s="74"/>
      <c r="N375" s="114"/>
      <c r="Q375" s="82"/>
      <c r="R375" s="82"/>
      <c r="S375" s="84"/>
      <c r="T375" s="84"/>
      <c r="V375" s="82"/>
      <c r="W375" s="64"/>
      <c r="X375" s="84"/>
      <c r="Y375" s="114"/>
    </row>
    <row r="376">
      <c r="B376" s="81"/>
      <c r="E376" s="82"/>
      <c r="G376" s="82"/>
      <c r="I376" s="84"/>
      <c r="K376" s="74"/>
      <c r="N376" s="114"/>
      <c r="Q376" s="82"/>
      <c r="R376" s="82"/>
      <c r="S376" s="84"/>
      <c r="T376" s="84"/>
      <c r="V376" s="82"/>
      <c r="W376" s="64"/>
      <c r="X376" s="84"/>
      <c r="Y376" s="114"/>
    </row>
    <row r="377">
      <c r="B377" s="81"/>
      <c r="E377" s="82"/>
      <c r="G377" s="82"/>
      <c r="I377" s="84"/>
      <c r="K377" s="74"/>
      <c r="N377" s="114"/>
      <c r="Q377" s="82"/>
      <c r="R377" s="82"/>
      <c r="S377" s="84"/>
      <c r="T377" s="84"/>
      <c r="V377" s="82"/>
      <c r="W377" s="64"/>
      <c r="X377" s="84"/>
      <c r="Y377" s="114"/>
    </row>
    <row r="378">
      <c r="B378" s="81"/>
      <c r="E378" s="82"/>
      <c r="G378" s="82"/>
      <c r="I378" s="84"/>
      <c r="K378" s="74"/>
      <c r="N378" s="114"/>
      <c r="Q378" s="82"/>
      <c r="R378" s="82"/>
      <c r="S378" s="84"/>
      <c r="T378" s="84"/>
      <c r="V378" s="82"/>
      <c r="W378" s="64"/>
      <c r="X378" s="84"/>
      <c r="Y378" s="114"/>
    </row>
    <row r="379">
      <c r="B379" s="81"/>
      <c r="E379" s="82"/>
      <c r="G379" s="82"/>
      <c r="I379" s="84"/>
      <c r="K379" s="74"/>
      <c r="N379" s="114"/>
      <c r="Q379" s="82"/>
      <c r="R379" s="82"/>
      <c r="S379" s="84"/>
      <c r="T379" s="84"/>
      <c r="V379" s="82"/>
      <c r="W379" s="64"/>
      <c r="X379" s="84"/>
      <c r="Y379" s="114"/>
    </row>
    <row r="380">
      <c r="B380" s="81"/>
      <c r="E380" s="82"/>
      <c r="G380" s="82"/>
      <c r="I380" s="84"/>
      <c r="K380" s="74"/>
      <c r="N380" s="114"/>
      <c r="Q380" s="82"/>
      <c r="R380" s="82"/>
      <c r="S380" s="84"/>
      <c r="T380" s="84"/>
      <c r="V380" s="82"/>
      <c r="W380" s="64"/>
      <c r="X380" s="84"/>
      <c r="Y380" s="114"/>
    </row>
    <row r="381">
      <c r="B381" s="81"/>
      <c r="E381" s="82"/>
      <c r="G381" s="82"/>
      <c r="I381" s="84"/>
      <c r="K381" s="74"/>
      <c r="N381" s="114"/>
      <c r="Q381" s="82"/>
      <c r="R381" s="82"/>
      <c r="S381" s="84"/>
      <c r="T381" s="84"/>
      <c r="V381" s="82"/>
      <c r="W381" s="64"/>
      <c r="X381" s="84"/>
      <c r="Y381" s="114"/>
    </row>
    <row r="382">
      <c r="B382" s="81"/>
      <c r="E382" s="82"/>
      <c r="G382" s="82"/>
      <c r="I382" s="84"/>
      <c r="K382" s="74"/>
      <c r="N382" s="114"/>
      <c r="Q382" s="82"/>
      <c r="R382" s="82"/>
      <c r="S382" s="84"/>
      <c r="T382" s="84"/>
      <c r="V382" s="82"/>
      <c r="W382" s="64"/>
      <c r="X382" s="84"/>
      <c r="Y382" s="114"/>
    </row>
    <row r="383">
      <c r="B383" s="81"/>
      <c r="E383" s="82"/>
      <c r="G383" s="82"/>
      <c r="I383" s="84"/>
      <c r="K383" s="74"/>
      <c r="N383" s="114"/>
      <c r="Q383" s="82"/>
      <c r="R383" s="82"/>
      <c r="S383" s="84"/>
      <c r="T383" s="84"/>
      <c r="V383" s="82"/>
      <c r="W383" s="64"/>
      <c r="X383" s="84"/>
      <c r="Y383" s="114"/>
    </row>
    <row r="384">
      <c r="B384" s="81"/>
      <c r="E384" s="82"/>
      <c r="G384" s="82"/>
      <c r="I384" s="84"/>
      <c r="K384" s="74"/>
      <c r="N384" s="114"/>
      <c r="Q384" s="82"/>
      <c r="R384" s="82"/>
      <c r="S384" s="84"/>
      <c r="T384" s="84"/>
      <c r="V384" s="82"/>
      <c r="W384" s="64"/>
      <c r="X384" s="84"/>
      <c r="Y384" s="114"/>
    </row>
    <row r="385">
      <c r="B385" s="81"/>
      <c r="E385" s="82"/>
      <c r="G385" s="82"/>
      <c r="I385" s="84"/>
      <c r="K385" s="74"/>
      <c r="N385" s="114"/>
      <c r="Q385" s="82"/>
      <c r="R385" s="82"/>
      <c r="S385" s="84"/>
      <c r="T385" s="84"/>
      <c r="V385" s="82"/>
      <c r="W385" s="64"/>
      <c r="X385" s="84"/>
      <c r="Y385" s="114"/>
    </row>
    <row r="386">
      <c r="B386" s="81"/>
      <c r="E386" s="82"/>
      <c r="G386" s="82"/>
      <c r="I386" s="84"/>
      <c r="K386" s="74"/>
      <c r="N386" s="114"/>
      <c r="Q386" s="82"/>
      <c r="R386" s="82"/>
      <c r="S386" s="84"/>
      <c r="T386" s="84"/>
      <c r="V386" s="82"/>
      <c r="W386" s="64"/>
      <c r="X386" s="84"/>
      <c r="Y386" s="114"/>
    </row>
    <row r="387">
      <c r="B387" s="81"/>
      <c r="E387" s="82"/>
      <c r="G387" s="82"/>
      <c r="I387" s="84"/>
      <c r="K387" s="74"/>
      <c r="N387" s="114"/>
      <c r="Q387" s="82"/>
      <c r="R387" s="82"/>
      <c r="S387" s="84"/>
      <c r="T387" s="84"/>
      <c r="V387" s="82"/>
      <c r="W387" s="64"/>
      <c r="X387" s="84"/>
      <c r="Y387" s="114"/>
    </row>
    <row r="388">
      <c r="B388" s="81"/>
      <c r="E388" s="82"/>
      <c r="G388" s="82"/>
      <c r="I388" s="84"/>
      <c r="K388" s="74"/>
      <c r="N388" s="114"/>
      <c r="Q388" s="82"/>
      <c r="R388" s="82"/>
      <c r="S388" s="84"/>
      <c r="T388" s="84"/>
      <c r="V388" s="82"/>
      <c r="W388" s="64"/>
      <c r="X388" s="84"/>
      <c r="Y388" s="114"/>
    </row>
    <row r="389">
      <c r="B389" s="81"/>
      <c r="E389" s="82"/>
      <c r="G389" s="82"/>
      <c r="I389" s="84"/>
      <c r="K389" s="74"/>
      <c r="N389" s="114"/>
      <c r="Q389" s="82"/>
      <c r="R389" s="82"/>
      <c r="S389" s="84"/>
      <c r="T389" s="84"/>
      <c r="V389" s="82"/>
      <c r="W389" s="64"/>
      <c r="X389" s="84"/>
      <c r="Y389" s="114"/>
    </row>
    <row r="390">
      <c r="B390" s="81"/>
      <c r="E390" s="82"/>
      <c r="G390" s="82"/>
      <c r="I390" s="84"/>
      <c r="K390" s="74"/>
      <c r="N390" s="114"/>
      <c r="Q390" s="82"/>
      <c r="R390" s="82"/>
      <c r="S390" s="84"/>
      <c r="T390" s="84"/>
      <c r="V390" s="82"/>
      <c r="W390" s="64"/>
      <c r="X390" s="84"/>
      <c r="Y390" s="114"/>
    </row>
    <row r="391">
      <c r="B391" s="81"/>
      <c r="E391" s="82"/>
      <c r="G391" s="82"/>
      <c r="I391" s="84"/>
      <c r="K391" s="74"/>
      <c r="N391" s="114"/>
      <c r="Q391" s="82"/>
      <c r="R391" s="82"/>
      <c r="S391" s="84"/>
      <c r="T391" s="84"/>
      <c r="V391" s="82"/>
      <c r="W391" s="64"/>
      <c r="X391" s="84"/>
      <c r="Y391" s="114"/>
    </row>
    <row r="392">
      <c r="B392" s="81"/>
      <c r="E392" s="82"/>
      <c r="G392" s="82"/>
      <c r="I392" s="84"/>
      <c r="K392" s="74"/>
      <c r="N392" s="114"/>
      <c r="Q392" s="82"/>
      <c r="R392" s="82"/>
      <c r="S392" s="84"/>
      <c r="T392" s="84"/>
      <c r="V392" s="82"/>
      <c r="W392" s="64"/>
      <c r="X392" s="84"/>
      <c r="Y392" s="114"/>
    </row>
    <row r="393">
      <c r="B393" s="81"/>
      <c r="E393" s="82"/>
      <c r="G393" s="82"/>
      <c r="I393" s="84"/>
      <c r="K393" s="74"/>
      <c r="N393" s="114"/>
      <c r="Q393" s="82"/>
      <c r="R393" s="82"/>
      <c r="S393" s="84"/>
      <c r="T393" s="84"/>
      <c r="V393" s="82"/>
      <c r="W393" s="64"/>
      <c r="X393" s="84"/>
      <c r="Y393" s="114"/>
    </row>
    <row r="394">
      <c r="B394" s="81"/>
      <c r="E394" s="82"/>
      <c r="G394" s="82"/>
      <c r="I394" s="84"/>
      <c r="K394" s="74"/>
      <c r="N394" s="114"/>
      <c r="Q394" s="82"/>
      <c r="R394" s="82"/>
      <c r="S394" s="84"/>
      <c r="T394" s="84"/>
      <c r="V394" s="82"/>
      <c r="W394" s="64"/>
      <c r="X394" s="84"/>
      <c r="Y394" s="114"/>
    </row>
    <row r="395">
      <c r="B395" s="81"/>
      <c r="E395" s="82"/>
      <c r="G395" s="82"/>
      <c r="I395" s="84"/>
      <c r="K395" s="74"/>
      <c r="N395" s="114"/>
      <c r="Q395" s="82"/>
      <c r="R395" s="82"/>
      <c r="S395" s="84"/>
      <c r="T395" s="84"/>
      <c r="V395" s="82"/>
      <c r="W395" s="64"/>
      <c r="X395" s="84"/>
      <c r="Y395" s="114"/>
    </row>
    <row r="396">
      <c r="B396" s="81"/>
      <c r="E396" s="82"/>
      <c r="G396" s="82"/>
      <c r="I396" s="84"/>
      <c r="K396" s="74"/>
      <c r="N396" s="114"/>
      <c r="Q396" s="82"/>
      <c r="R396" s="82"/>
      <c r="S396" s="84"/>
      <c r="T396" s="84"/>
      <c r="V396" s="82"/>
      <c r="W396" s="64"/>
      <c r="X396" s="84"/>
      <c r="Y396" s="114"/>
    </row>
    <row r="397">
      <c r="B397" s="81"/>
      <c r="E397" s="82"/>
      <c r="G397" s="82"/>
      <c r="I397" s="84"/>
      <c r="K397" s="74"/>
      <c r="N397" s="114"/>
      <c r="Q397" s="82"/>
      <c r="R397" s="82"/>
      <c r="S397" s="84"/>
      <c r="T397" s="84"/>
      <c r="V397" s="82"/>
      <c r="W397" s="64"/>
      <c r="X397" s="84"/>
      <c r="Y397" s="114"/>
    </row>
    <row r="398">
      <c r="B398" s="81"/>
      <c r="E398" s="82"/>
      <c r="G398" s="82"/>
      <c r="I398" s="84"/>
      <c r="K398" s="74"/>
      <c r="N398" s="114"/>
      <c r="Q398" s="82"/>
      <c r="R398" s="82"/>
      <c r="S398" s="84"/>
      <c r="T398" s="84"/>
      <c r="V398" s="82"/>
      <c r="W398" s="64"/>
      <c r="X398" s="84"/>
      <c r="Y398" s="114"/>
    </row>
    <row r="399">
      <c r="B399" s="81"/>
      <c r="E399" s="82"/>
      <c r="G399" s="82"/>
      <c r="I399" s="84"/>
      <c r="K399" s="74"/>
      <c r="N399" s="114"/>
      <c r="Q399" s="82"/>
      <c r="R399" s="82"/>
      <c r="S399" s="84"/>
      <c r="T399" s="84"/>
      <c r="V399" s="82"/>
      <c r="W399" s="64"/>
      <c r="X399" s="84"/>
      <c r="Y399" s="114"/>
    </row>
    <row r="400">
      <c r="B400" s="81"/>
      <c r="E400" s="82"/>
      <c r="G400" s="82"/>
      <c r="I400" s="84"/>
      <c r="K400" s="74"/>
      <c r="N400" s="114"/>
      <c r="Q400" s="82"/>
      <c r="R400" s="82"/>
      <c r="S400" s="84"/>
      <c r="T400" s="84"/>
      <c r="V400" s="82"/>
      <c r="W400" s="64"/>
      <c r="X400" s="84"/>
      <c r="Y400" s="114"/>
    </row>
  </sheetData>
  <conditionalFormatting sqref="C1:C400">
    <cfRule type="cellIs" dxfId="0" priority="1" operator="equal">
      <formula>"True"</formula>
    </cfRule>
  </conditionalFormatting>
  <conditionalFormatting sqref="J1:J400">
    <cfRule type="cellIs" dxfId="6" priority="2" operator="equal">
      <formula>"Breakfast"</formula>
    </cfRule>
  </conditionalFormatting>
  <conditionalFormatting sqref="J1:J400">
    <cfRule type="cellIs" dxfId="7" priority="3" operator="equal">
      <formula>"Breakfast/Lunch"</formula>
    </cfRule>
  </conditionalFormatting>
  <conditionalFormatting sqref="J1:J400">
    <cfRule type="cellIs" dxfId="8" priority="4" operator="equal">
      <formula>"Lunch"</formula>
    </cfRule>
  </conditionalFormatting>
  <conditionalFormatting sqref="J1:J400">
    <cfRule type="cellIs" dxfId="19" priority="5" operator="equal">
      <formula>"Lunch/Dinner"</formula>
    </cfRule>
  </conditionalFormatting>
  <conditionalFormatting sqref="J1:J400">
    <cfRule type="cellIs" dxfId="20" priority="6" operator="equal">
      <formula>"Dinner"</formula>
    </cfRule>
  </conditionalFormatting>
  <conditionalFormatting sqref="L1:L400">
    <cfRule type="cellIs" dxfId="11" priority="7" operator="equal">
      <formula>"Monday"</formula>
    </cfRule>
  </conditionalFormatting>
  <conditionalFormatting sqref="L1:L400">
    <cfRule type="cellIs" dxfId="12" priority="8" operator="equal">
      <formula>"Tuesday"</formula>
    </cfRule>
  </conditionalFormatting>
  <conditionalFormatting sqref="L1:L400">
    <cfRule type="cellIs" dxfId="13" priority="9" operator="equal">
      <formula>"Wednesday"</formula>
    </cfRule>
  </conditionalFormatting>
  <conditionalFormatting sqref="L1:L400">
    <cfRule type="cellIs" dxfId="14" priority="10" operator="equal">
      <formula>"Thursday"</formula>
    </cfRule>
  </conditionalFormatting>
  <conditionalFormatting sqref="L1:L400">
    <cfRule type="cellIs" dxfId="21" priority="11" operator="equal">
      <formula>"Friday"</formula>
    </cfRule>
  </conditionalFormatting>
  <conditionalFormatting sqref="M1:M400">
    <cfRule type="cellIs" dxfId="17" priority="12" operator="equal">
      <formula>"MF"</formula>
    </cfRule>
  </conditionalFormatting>
  <conditionalFormatting sqref="M1:M400">
    <cfRule type="cellIs" dxfId="18" priority="13" operator="equal">
      <formula>"BF"</formula>
    </cfRule>
  </conditionalFormatting>
  <conditionalFormatting sqref="O2:O400 Q2:Q400 S2:S400">
    <cfRule type="notContainsBlanks" dxfId="17" priority="14">
      <formula>LEN(TRIM(O2))&gt;0</formula>
    </cfRule>
  </conditionalFormatting>
  <conditionalFormatting sqref="P2:P400 R2:R400 T2:T400">
    <cfRule type="notContainsBlanks" dxfId="18" priority="15">
      <formula>LEN(TRIM(P2))&gt;0</formula>
    </cfRule>
  </conditionalFormatting>
  <conditionalFormatting sqref="U2:W400">
    <cfRule type="notContainsBlanks" dxfId="23" priority="16">
      <formula>LEN(TRIM(U2))&gt;0</formula>
    </cfRule>
  </conditionalFormatting>
  <conditionalFormatting sqref="X3:X400">
    <cfRule type="notContainsBlanks" dxfId="6" priority="17">
      <formula>LEN(TRIM(X3))&gt;0</formula>
    </cfRule>
  </conditionalFormatting>
  <conditionalFormatting sqref="I1:I400">
    <cfRule type="cellIs" dxfId="1" priority="18" operator="greaterThanOrEqual">
      <formula>100</formula>
    </cfRule>
  </conditionalFormatting>
  <conditionalFormatting sqref="I1:I400">
    <cfRule type="cellIs" dxfId="2" priority="19" operator="greaterThanOrEqual">
      <formula>70</formula>
    </cfRule>
  </conditionalFormatting>
  <conditionalFormatting sqref="I1:I400">
    <cfRule type="cellIs" dxfId="3" priority="20" operator="lessThanOrEqual">
      <formula>25</formula>
    </cfRule>
  </conditionalFormatting>
  <conditionalFormatting sqref="I1:I400">
    <cfRule type="cellIs" dxfId="4" priority="21" operator="lessThanOrEqual">
      <formula>30</formula>
    </cfRule>
  </conditionalFormatting>
  <conditionalFormatting sqref="I1:I400">
    <cfRule type="cellIs" dxfId="5" priority="22" operator="lessThanOrEqual">
      <formula>40</formula>
    </cfRule>
  </conditionalFormatting>
  <conditionalFormatting sqref="K3:K400">
    <cfRule type="expression" dxfId="16" priority="23">
      <formula>AND(K3&lt;&gt;"", ISEVEN(SUMPRODUCT((K$3:K3&lt;&gt;OFFSET(K$3:K3,-1,0))*(K$3:K3&lt;&gt;""))))</formula>
    </cfRule>
  </conditionalFormatting>
  <conditionalFormatting sqref="N3:N400">
    <cfRule type="colorScale" priority="24">
      <colorScale>
        <cfvo type="formula" val="0"/>
        <cfvo type="percent" val="1"/>
        <cfvo type="max"/>
        <color rgb="FFFF0000"/>
        <color rgb="FFF3F3F3"/>
        <color rgb="FF57BB8A"/>
      </colorScale>
    </cfRule>
  </conditionalFormatting>
  <conditionalFormatting sqref="Y3:Y400">
    <cfRule type="colorScale" priority="25">
      <colorScale>
        <cfvo type="formula" val="0"/>
        <cfvo type="percent" val="1"/>
        <cfvo type="max"/>
        <color rgb="FFFF0000"/>
        <color rgb="FFF3F3F3"/>
        <color rgb="FF57BB8A"/>
      </colorScale>
    </cfRule>
  </conditionalFormatting>
  <conditionalFormatting sqref="G3:G400">
    <cfRule type="cellIs" dxfId="22" priority="26" operator="lessThan">
      <formula>0</formula>
    </cfRule>
  </conditionalFormatting>
  <conditionalFormatting sqref="G3:G400">
    <cfRule type="cellIs" dxfId="22" priority="27" operator="greaterThan">
      <formula>0.25</formula>
    </cfRule>
  </conditionalFormatting>
  <drawing r:id="rId2"/>
  <legacyDrawing r:id="rId3"/>
</worksheet>
</file>